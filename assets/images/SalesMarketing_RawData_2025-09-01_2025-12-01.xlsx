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</sheets>
  <definedNames>
    <definedName name="_xlnm._FilterDatabase" localSheetId="0" hidden="1">'Raw Data'!$A$4:$U$3827</definedName>
  </definedNames>
  <calcPr calcId="124519" fullCalcOnLoad="1"/>
</workbook>
</file>

<file path=xl/sharedStrings.xml><?xml version="1.0" encoding="utf-8"?>
<sst xmlns="http://schemas.openxmlformats.org/spreadsheetml/2006/main" count="27719" uniqueCount="5150">
  <si>
    <t>Sample Report for Sales &amp; Marketing</t>
  </si>
  <si>
    <t>Period: 2025-09-01 to 2025-12-01</t>
  </si>
  <si>
    <t>BOOKING DETAILS</t>
  </si>
  <si>
    <t>DATE</t>
  </si>
  <si>
    <t>Guest's details</t>
  </si>
  <si>
    <t>TICKET DETAILS</t>
  </si>
  <si>
    <t>REVENUE</t>
  </si>
  <si>
    <t>Order ID</t>
  </si>
  <si>
    <t>Source of Booking</t>
  </si>
  <si>
    <t>Booking Date</t>
  </si>
  <si>
    <t>Visit Date</t>
  </si>
  <si>
    <t>Booking Window</t>
  </si>
  <si>
    <t>Name</t>
  </si>
  <si>
    <t>Email</t>
  </si>
  <si>
    <t>Nationality</t>
  </si>
  <si>
    <t>Market</t>
  </si>
  <si>
    <t>Total Adult</t>
  </si>
  <si>
    <t>Total Child</t>
  </si>
  <si>
    <t>Total Pax</t>
  </si>
  <si>
    <t>Ticket Type
(Adult, child, Family, or any package)</t>
  </si>
  <si>
    <t>Promo Code</t>
  </si>
  <si>
    <t>Qty Issued</t>
  </si>
  <si>
    <t>Booking Status</t>
  </si>
  <si>
    <t>Category</t>
  </si>
  <si>
    <t>Publish Price</t>
  </si>
  <si>
    <t>Discounted Price
(Total disc price)</t>
  </si>
  <si>
    <t>Ticket Value
(Final price per ticket type purchased)</t>
  </si>
  <si>
    <t>Total Value
(Total Ticket Value x Total Qty Issued)</t>
  </si>
  <si>
    <t>GB/20250902112622</t>
  </si>
  <si>
    <t>Ota</t>
  </si>
  <si>
    <t>Meksi Prihatinto Oi</t>
  </si>
  <si>
    <t>masse.prihatinto@gmail.com</t>
  </si>
  <si>
    <t>Indonesia</t>
  </si>
  <si>
    <t>Domestic</t>
  </si>
  <si>
    <t>GB/20250902124451</t>
  </si>
  <si>
    <t>GB/20250902145208</t>
  </si>
  <si>
    <t>Mahroza Pradana</t>
  </si>
  <si>
    <t>ozan@thinq-tech.id</t>
  </si>
  <si>
    <t>GB/20250903150933</t>
  </si>
  <si>
    <t>Walk In</t>
  </si>
  <si>
    <t>Widi Putri</t>
  </si>
  <si>
    <t>info@waterbom-bali.com</t>
  </si>
  <si>
    <t>Adult Domestic</t>
  </si>
  <si>
    <t>Done</t>
  </si>
  <si>
    <t>Default IDR pricelist (IDR)</t>
  </si>
  <si>
    <t>Splashband</t>
  </si>
  <si>
    <t>Child Domestic</t>
  </si>
  <si>
    <t>GB/20250903092849</t>
  </si>
  <si>
    <t>Website</t>
  </si>
  <si>
    <t>elly elly</t>
  </si>
  <si>
    <t>ellyelly708@gmail.com</t>
  </si>
  <si>
    <t>GB/20250903165152</t>
  </si>
  <si>
    <t>ACAS OFFICIAL STORE SHOPEE</t>
  </si>
  <si>
    <t xml:space="preserve">TOWEL </t>
  </si>
  <si>
    <t>GB/20250903165620</t>
  </si>
  <si>
    <t>ABUT PRODUCTION</t>
  </si>
  <si>
    <t>All Market</t>
  </si>
  <si>
    <t>GB/20250903100428</t>
  </si>
  <si>
    <t>asdasd asdasd</t>
  </si>
  <si>
    <t>wb@gmail.com</t>
  </si>
  <si>
    <t>GB/20250903105322</t>
  </si>
  <si>
    <t>Oliver Nathanuel Conan</t>
  </si>
  <si>
    <t>ONC@gmail.com</t>
  </si>
  <si>
    <t>GB/20250903113354</t>
  </si>
  <si>
    <t>Masse Prihatinto</t>
  </si>
  <si>
    <t>m.prihatinto@mailinator.com</t>
  </si>
  <si>
    <t>GB/20250903202702</t>
  </si>
  <si>
    <t>3MPP SHOP TOKPED</t>
  </si>
  <si>
    <t>GB/20250903203518</t>
  </si>
  <si>
    <t>880XPT TOKPED</t>
  </si>
  <si>
    <t>GB/20250903142031</t>
  </si>
  <si>
    <t>GB/20250903142339</t>
  </si>
  <si>
    <t>Upin Ipin</t>
  </si>
  <si>
    <t>linggadirgan4@gmail.com</t>
  </si>
  <si>
    <t>GB/20250903221112</t>
  </si>
  <si>
    <t>ABHIRAMA SPORTS TOKPED</t>
  </si>
  <si>
    <t>andri31@gmail.com</t>
  </si>
  <si>
    <t>GB/20250903223207</t>
  </si>
  <si>
    <t>Abadi Bali Wisata</t>
  </si>
  <si>
    <t>accounting@bali-tours.com</t>
  </si>
  <si>
    <t>Adult Foreigner</t>
  </si>
  <si>
    <t>Child Foreigner</t>
  </si>
  <si>
    <t>GB/20250903223258</t>
  </si>
  <si>
    <t>Pradana</t>
  </si>
  <si>
    <t>Pradana@gmail.com</t>
  </si>
  <si>
    <t>GB/20250903155306</t>
  </si>
  <si>
    <t>GB/20250903225513</t>
  </si>
  <si>
    <t>1M-BIO</t>
  </si>
  <si>
    <t>GB/20250903161840</t>
  </si>
  <si>
    <t>GB/20250903170105</t>
  </si>
  <si>
    <t>GB/20250903204841</t>
  </si>
  <si>
    <t>GB/20250903205019</t>
  </si>
  <si>
    <t>AMEX-BCA</t>
  </si>
  <si>
    <t>GB/20250903205217</t>
  </si>
  <si>
    <t>Andri  Ardiansyah</t>
  </si>
  <si>
    <t>GB/20250903222043</t>
  </si>
  <si>
    <t>Noval Lingga</t>
  </si>
  <si>
    <t>noval@gmail.com</t>
  </si>
  <si>
    <t>GB/20250903233601</t>
  </si>
  <si>
    <t>GB/20250903220727</t>
  </si>
  <si>
    <t>GB/20250904001632</t>
  </si>
  <si>
    <t>GB/20250904002259</t>
  </si>
  <si>
    <t>GB/20250904005610</t>
  </si>
  <si>
    <t>Agent</t>
  </si>
  <si>
    <t>Ana Travel</t>
  </si>
  <si>
    <t>anatravel@mailinator.com</t>
  </si>
  <si>
    <t>GB/20250904005652</t>
  </si>
  <si>
    <t>GB/20250904005754</t>
  </si>
  <si>
    <t>Jumeirah Bali</t>
  </si>
  <si>
    <t>GB/20250904010435</t>
  </si>
  <si>
    <t>GB/20250904080638</t>
  </si>
  <si>
    <t>GB/20250904102239</t>
  </si>
  <si>
    <t>Electric Bike</t>
  </si>
  <si>
    <t>GB/20250904102711</t>
  </si>
  <si>
    <t>Alex</t>
  </si>
  <si>
    <t>GB/20250904102023</t>
  </si>
  <si>
    <t>BALI CEMERLANG TOUR</t>
  </si>
  <si>
    <t>yanti@balicemerlangtours.com</t>
  </si>
  <si>
    <t>GB/20250904104008</t>
  </si>
  <si>
    <t>GB/20250904105608</t>
  </si>
  <si>
    <t>GB/20250904105702</t>
  </si>
  <si>
    <t>GB/20250904111251</t>
  </si>
  <si>
    <t>Group</t>
  </si>
  <si>
    <t>Thinq-Tech</t>
  </si>
  <si>
    <t>nurwan@gmail.com</t>
  </si>
  <si>
    <t>GB/20250904115256</t>
  </si>
  <si>
    <t>GB/20250904123136</t>
  </si>
  <si>
    <t>GB/20250904124654</t>
  </si>
  <si>
    <t>GB/20250904130553</t>
  </si>
  <si>
    <t>GB/20250904131654</t>
  </si>
  <si>
    <t>Oliver Nathanuel</t>
  </si>
  <si>
    <t>GB/20250904215006</t>
  </si>
  <si>
    <t>AGAPE MAJU BERSAMA PT.</t>
  </si>
  <si>
    <t>GB/20250904215857</t>
  </si>
  <si>
    <t>ALVON TIMOTIUS CONSULTANT</t>
  </si>
  <si>
    <t>Invoiced</t>
  </si>
  <si>
    <t>GB/20250904152403</t>
  </si>
  <si>
    <t>Bali Fun Testing</t>
  </si>
  <si>
    <t>balifuntest2@gmail.com</t>
  </si>
  <si>
    <t>GB/20250904152418</t>
  </si>
  <si>
    <t>Bali Holiday Ticket Centre</t>
  </si>
  <si>
    <t>ketutnyamprut@gmail.com</t>
  </si>
  <si>
    <t>GB/20250904152419</t>
  </si>
  <si>
    <t>Bali Tours</t>
  </si>
  <si>
    <t>bali2@tours.com</t>
  </si>
  <si>
    <t>GB/20250904152426</t>
  </si>
  <si>
    <t>GB/20250904152427</t>
  </si>
  <si>
    <t>Mutiara Tour</t>
  </si>
  <si>
    <t>mutiara@mail.com</t>
  </si>
  <si>
    <t>GB/20250904152245</t>
  </si>
  <si>
    <t>Dylan2025</t>
  </si>
  <si>
    <t>dylan2025@gmail.com</t>
  </si>
  <si>
    <t>GB/20250904152643</t>
  </si>
  <si>
    <t>Tomblos Travel</t>
  </si>
  <si>
    <t>tomblos@gmail.com</t>
  </si>
  <si>
    <t>GB/20250905002901</t>
  </si>
  <si>
    <t>ALI FIBERGLASS DENPASAR</t>
  </si>
  <si>
    <t>GB/20250905004700</t>
  </si>
  <si>
    <t>Angkasa Surya Tokped</t>
  </si>
  <si>
    <t>GB/20250904221444</t>
  </si>
  <si>
    <t>Natasya</t>
  </si>
  <si>
    <t>GB/20250904233557</t>
  </si>
  <si>
    <t>nurwan yuliadi</t>
  </si>
  <si>
    <t>Nurwan.yuliadi@gmail.com</t>
  </si>
  <si>
    <t>GB/20250905002416</t>
  </si>
  <si>
    <t>Masse Asli Gift</t>
  </si>
  <si>
    <t>GB/20250905004559</t>
  </si>
  <si>
    <t>GB/20250905005211</t>
  </si>
  <si>
    <t>GB/20250905094004</t>
  </si>
  <si>
    <t>BALI JIKIMI</t>
  </si>
  <si>
    <t>jikimabali@gmail.com</t>
  </si>
  <si>
    <t>GB/20250905102342</t>
  </si>
  <si>
    <t>Dayu Dwijayanti</t>
  </si>
  <si>
    <t>dayudj@waterbom-bali.com</t>
  </si>
  <si>
    <t>GB/20250905102343</t>
  </si>
  <si>
    <t>WIDI JEGEG</t>
  </si>
  <si>
    <t>asst.fo@waterbom-bali.com</t>
  </si>
  <si>
    <t>Iceland</t>
  </si>
  <si>
    <t>Low Seasons (IDR)</t>
  </si>
  <si>
    <t>GB/20250905102946</t>
  </si>
  <si>
    <t>Dewi</t>
  </si>
  <si>
    <t>it@waterbom-bali.com</t>
  </si>
  <si>
    <t>GB/20250905104041</t>
  </si>
  <si>
    <t>GB/20250905104917</t>
  </si>
  <si>
    <t>PT. BALI OCEAN MAGIC</t>
  </si>
  <si>
    <t>GB/20250905112033</t>
  </si>
  <si>
    <t>AREI</t>
  </si>
  <si>
    <t>GB/20250905120926</t>
  </si>
  <si>
    <t>Meksss</t>
  </si>
  <si>
    <t>Meks10@gmail.com</t>
  </si>
  <si>
    <t>AUSTRALIA</t>
  </si>
  <si>
    <t>GB/20250905122022</t>
  </si>
  <si>
    <t>GB/20250905124110</t>
  </si>
  <si>
    <t>Meksi Belgia</t>
  </si>
  <si>
    <t>Meks10@mailinator.com</t>
  </si>
  <si>
    <t>Belgium</t>
  </si>
  <si>
    <t>GB/20250905063513</t>
  </si>
  <si>
    <t>andri yana</t>
  </si>
  <si>
    <t>andriyana31@gmail.com</t>
  </si>
  <si>
    <t>GB/20250905063631</t>
  </si>
  <si>
    <t>GB/20250905064539</t>
  </si>
  <si>
    <t>Masse Prihatinto Yo</t>
  </si>
  <si>
    <t>ibradin@thinq-tech.id</t>
  </si>
  <si>
    <t>GB/20250905074304</t>
  </si>
  <si>
    <t>GB/20250905144517</t>
  </si>
  <si>
    <t>tes</t>
  </si>
  <si>
    <t>tes@test.com</t>
  </si>
  <si>
    <t>GB/20250905003945</t>
  </si>
  <si>
    <t>ANEKA SPARE PART SPONEVA</t>
  </si>
  <si>
    <t>GB/20250905142241</t>
  </si>
  <si>
    <t>Andri Yana</t>
  </si>
  <si>
    <t>andri@gmail.com</t>
  </si>
  <si>
    <t>GB/20250905142335</t>
  </si>
  <si>
    <t>meks meks</t>
  </si>
  <si>
    <t>masseprihatinto@mailinator.com</t>
  </si>
  <si>
    <t>GB/20250905142433</t>
  </si>
  <si>
    <t>Mahroza Oza</t>
  </si>
  <si>
    <t>oza@ozan.com</t>
  </si>
  <si>
    <t>GB/20250905152049</t>
  </si>
  <si>
    <t>Meks Meks</t>
  </si>
  <si>
    <t>meks@mailinator.com</t>
  </si>
  <si>
    <t>GB/20250905160645</t>
  </si>
  <si>
    <t>mekssep@mailinator.com</t>
  </si>
  <si>
    <t>GB/20250905160732</t>
  </si>
  <si>
    <t>GB/20250905161043</t>
  </si>
  <si>
    <t>GB/20250906092812</t>
  </si>
  <si>
    <t>GB/20250906095559</t>
  </si>
  <si>
    <t>GB/20250906095840</t>
  </si>
  <si>
    <t>GB/20250906100849</t>
  </si>
  <si>
    <t>GB/20250906102029</t>
  </si>
  <si>
    <t>GB/20250906102216</t>
  </si>
  <si>
    <t>GB/20250907001920</t>
  </si>
  <si>
    <t>GB/20250907002028</t>
  </si>
  <si>
    <t>GB/20250907150541</t>
  </si>
  <si>
    <t>Andy Putra</t>
  </si>
  <si>
    <t>limz.andy@gmail.com</t>
  </si>
  <si>
    <t>GB/20250908025849</t>
  </si>
  <si>
    <t>GB/20250908025959</t>
  </si>
  <si>
    <t>GB/20250908030248</t>
  </si>
  <si>
    <t>GB/20250908030342</t>
  </si>
  <si>
    <t>GB/20250908034659</t>
  </si>
  <si>
    <t>GB/20250908035453</t>
  </si>
  <si>
    <t>GB/20250908054835</t>
  </si>
  <si>
    <t>GB/20250908075641</t>
  </si>
  <si>
    <t>Gisela Putri</t>
  </si>
  <si>
    <t>gisela@mail.com</t>
  </si>
  <si>
    <t>GB/20250908075838</t>
  </si>
  <si>
    <t>Locker</t>
  </si>
  <si>
    <t>GB/20250908030152</t>
  </si>
  <si>
    <t>GB/20250908073528</t>
  </si>
  <si>
    <t>GB/20250908074816</t>
  </si>
  <si>
    <t>GB/20250908150141</t>
  </si>
  <si>
    <t>GB/20250908150200</t>
  </si>
  <si>
    <t>GB/20250908150740</t>
  </si>
  <si>
    <t>GAZEBO  (Regular)</t>
  </si>
  <si>
    <t>GB/20250908150743</t>
  </si>
  <si>
    <t>GB/20250908162601</t>
  </si>
  <si>
    <t>GB/20250908215702</t>
  </si>
  <si>
    <t>Jesica Nadia</t>
  </si>
  <si>
    <t>jes@gmail.com</t>
  </si>
  <si>
    <t>GB/20250908221755</t>
  </si>
  <si>
    <t>GB/20250908164703</t>
  </si>
  <si>
    <t>GB/20250908211327</t>
  </si>
  <si>
    <t>Nadia Nadia</t>
  </si>
  <si>
    <t>nad@mail.com</t>
  </si>
  <si>
    <t>GB/20250908215129</t>
  </si>
  <si>
    <t>GB/20250908223933</t>
  </si>
  <si>
    <t>Ika Ika</t>
  </si>
  <si>
    <t>ika@mail.com</t>
  </si>
  <si>
    <t>GB/20250908224424</t>
  </si>
  <si>
    <t>GB/20250908233529</t>
  </si>
  <si>
    <t>Adelia Adelia</t>
  </si>
  <si>
    <t>adelia@mail.com</t>
  </si>
  <si>
    <t>GB/20250909003353</t>
  </si>
  <si>
    <t>SHEILA ON 7</t>
  </si>
  <si>
    <t>so@mail.com</t>
  </si>
  <si>
    <t>GB/20250909091224</t>
  </si>
  <si>
    <t>GB/20250909091640</t>
  </si>
  <si>
    <t>GB/20250909143955</t>
  </si>
  <si>
    <t>GB/20250909144937</t>
  </si>
  <si>
    <t>GB/20250909145650</t>
  </si>
  <si>
    <t>GB/20250909085531</t>
  </si>
  <si>
    <t>mekstue2@mailinator.com</t>
  </si>
  <si>
    <t>GB/20250909085729</t>
  </si>
  <si>
    <t>GB/20250909093654</t>
  </si>
  <si>
    <t>GB/20250909120847</t>
  </si>
  <si>
    <t>Harris Kristanto</t>
  </si>
  <si>
    <t>senior.itm@waterbom-bali.com</t>
  </si>
  <si>
    <t>GB/20250909121224</t>
  </si>
  <si>
    <t>GB/20250909131855</t>
  </si>
  <si>
    <t>GB/20250909142822</t>
  </si>
  <si>
    <t>GB/20250909145254</t>
  </si>
  <si>
    <t>yuliadi nurwan</t>
  </si>
  <si>
    <t>yuliadi.nurwan@gmail.com</t>
  </si>
  <si>
    <t>GB/20250909155147</t>
  </si>
  <si>
    <t>GB/20250909155458</t>
  </si>
  <si>
    <t>atlas atlas</t>
  </si>
  <si>
    <t>atlas@gmail.com</t>
  </si>
  <si>
    <t>GB/20250909170242</t>
  </si>
  <si>
    <t>UAT TEST</t>
  </si>
  <si>
    <t>test@tvlk.jp</t>
  </si>
  <si>
    <t>GB/20250909175441</t>
  </si>
  <si>
    <t>GB/20250909182530</t>
  </si>
  <si>
    <t>Ichika Hoshino</t>
  </si>
  <si>
    <t>ichika@colorfulstage.jp</t>
  </si>
  <si>
    <t>Japan</t>
  </si>
  <si>
    <t>GB/20250909200547</t>
  </si>
  <si>
    <t>Ant Mania</t>
  </si>
  <si>
    <t>guest_e2e_test@yopmail.com</t>
  </si>
  <si>
    <t>GB/20250909200552</t>
  </si>
  <si>
    <t>GB/20250909221602</t>
  </si>
  <si>
    <t>GB/20250909223051</t>
  </si>
  <si>
    <t>GB/20250910124918</t>
  </si>
  <si>
    <t>GB/20250910131311</t>
  </si>
  <si>
    <t>Yahya</t>
  </si>
  <si>
    <t>yahya@gmail.com</t>
  </si>
  <si>
    <t>GB/20250910132616</t>
  </si>
  <si>
    <t>Alan</t>
  </si>
  <si>
    <t>alan@gmail.com</t>
  </si>
  <si>
    <t>American Samoa</t>
  </si>
  <si>
    <t>GB/20250910133458</t>
  </si>
  <si>
    <t>ANANTA SURYA KENCANA</t>
  </si>
  <si>
    <t>GB/20250910134002</t>
  </si>
  <si>
    <t>GB/20250910134618</t>
  </si>
  <si>
    <t>Customer Day</t>
  </si>
  <si>
    <t>customerday@example.com</t>
  </si>
  <si>
    <t>GB/20250910145525</t>
  </si>
  <si>
    <t>Raynaldi</t>
  </si>
  <si>
    <t>raynaldi@gmail.com</t>
  </si>
  <si>
    <t>GB/20250910150319</t>
  </si>
  <si>
    <t>GB/20250910150803</t>
  </si>
  <si>
    <t>GB/20250910153419</t>
  </si>
  <si>
    <t>GB/20250910153953</t>
  </si>
  <si>
    <t>GB/20250910154308</t>
  </si>
  <si>
    <t>GB/20250910155559</t>
  </si>
  <si>
    <t>GB/20250910100626</t>
  </si>
  <si>
    <t>GB/20250910111123</t>
  </si>
  <si>
    <t>GB/20250910131103</t>
  </si>
  <si>
    <t>Gerald P Salomo</t>
  </si>
  <si>
    <t>gerald.salomo@traveloka.com</t>
  </si>
  <si>
    <t>GB/20250910142521</t>
  </si>
  <si>
    <t>GB/20250910200621</t>
  </si>
  <si>
    <t>GB/20250910200624</t>
  </si>
  <si>
    <t>GB/20250910213637</t>
  </si>
  <si>
    <t>GB/20250910223307</t>
  </si>
  <si>
    <t>juli juli</t>
  </si>
  <si>
    <t>juli@gmail.com</t>
  </si>
  <si>
    <t>GB/20250910225608</t>
  </si>
  <si>
    <t>Lim Putra</t>
  </si>
  <si>
    <t>limputra@gmail.com</t>
  </si>
  <si>
    <t>GB/20250910230358</t>
  </si>
  <si>
    <t>Jack Jack</t>
  </si>
  <si>
    <t>jack@gmail.com</t>
  </si>
  <si>
    <t>GB/20250910230656</t>
  </si>
  <si>
    <t>Kiana Kiana</t>
  </si>
  <si>
    <t>kiana@gmail.com</t>
  </si>
  <si>
    <t>GB/20250911142122</t>
  </si>
  <si>
    <t>GB/20250911091922</t>
  </si>
  <si>
    <t>GB/20250911105729</t>
  </si>
  <si>
    <t>GB/20250911124510</t>
  </si>
  <si>
    <t>Chantelle Walsh</t>
  </si>
  <si>
    <t>GB/20250911124851</t>
  </si>
  <si>
    <t>GB/20250911153408</t>
  </si>
  <si>
    <t>GB/20250911174102</t>
  </si>
  <si>
    <t>GB/20250911223333</t>
  </si>
  <si>
    <t>GB/20250912140943</t>
  </si>
  <si>
    <t>GB/20250912142122</t>
  </si>
  <si>
    <t>GB/20250912151345</t>
  </si>
  <si>
    <t>GB/20250912160831</t>
  </si>
  <si>
    <t>GB/20250912162838</t>
  </si>
  <si>
    <t>In Park Credit</t>
  </si>
  <si>
    <t>GB/20250912110115</t>
  </si>
  <si>
    <t xml:space="preserve">Aldy </t>
  </si>
  <si>
    <t>digital.marketing@waterbom-bali.com</t>
  </si>
  <si>
    <t>GB/20250912110536</t>
  </si>
  <si>
    <t>GB/20250912125633</t>
  </si>
  <si>
    <t>GB/20250912131351</t>
  </si>
  <si>
    <t>GB/20250912132308</t>
  </si>
  <si>
    <t>Gita Gita</t>
  </si>
  <si>
    <t>gita@mail.com</t>
  </si>
  <si>
    <t>GB/20250912132605</t>
  </si>
  <si>
    <t>GB/20250912132940</t>
  </si>
  <si>
    <t>GB/20250912135648</t>
  </si>
  <si>
    <t>Lingga Lingga</t>
  </si>
  <si>
    <t>lingga@mail.com</t>
  </si>
  <si>
    <t>GB/20250912143943</t>
  </si>
  <si>
    <t>Baim Bain</t>
  </si>
  <si>
    <t>baim@mail.com</t>
  </si>
  <si>
    <t>GB/20250912144607</t>
  </si>
  <si>
    <t>GB/20250913001425</t>
  </si>
  <si>
    <t>GB/20250913005312</t>
  </si>
  <si>
    <t>GB/20250913000205</t>
  </si>
  <si>
    <t>GB/20250914231630</t>
  </si>
  <si>
    <t>Janet</t>
  </si>
  <si>
    <t>janet@gmail.com</t>
  </si>
  <si>
    <t>GB/20250915113150</t>
  </si>
  <si>
    <t>ADHI CANDRA</t>
  </si>
  <si>
    <t>GINGER ROOTBEER 330ML</t>
  </si>
  <si>
    <t>GB/20250915123224</t>
  </si>
  <si>
    <t>Risna Test3</t>
  </si>
  <si>
    <t>asst.fom@waterbom-bali.com</t>
  </si>
  <si>
    <t>GB/20250915125704</t>
  </si>
  <si>
    <t>GB/20250915130837</t>
  </si>
  <si>
    <t>ASRI KARYA</t>
  </si>
  <si>
    <t>GB/20250915131012</t>
  </si>
  <si>
    <t>ANDIKA</t>
  </si>
  <si>
    <t>GB/20250915131019</t>
  </si>
  <si>
    <t>GB/20250915131056</t>
  </si>
  <si>
    <t>GB/20250915131145</t>
  </si>
  <si>
    <t>April Strowger</t>
  </si>
  <si>
    <t>GB/20250915143119</t>
  </si>
  <si>
    <t>GB/20250915145035</t>
  </si>
  <si>
    <t>GB/20250915145517</t>
  </si>
  <si>
    <t>GB/20250915150250</t>
  </si>
  <si>
    <t>Dewik</t>
  </si>
  <si>
    <t>Sarah@gmail.com</t>
  </si>
  <si>
    <t>GB/20250915155632</t>
  </si>
  <si>
    <t>ALTEK DEWATA</t>
  </si>
  <si>
    <t>WB CARAMEL POPCORN</t>
  </si>
  <si>
    <t>GB/20250915094319</t>
  </si>
  <si>
    <t>meks1506@mailinator.com</t>
  </si>
  <si>
    <t>GB/20250915100121</t>
  </si>
  <si>
    <t>meks15b@mailinator.com</t>
  </si>
  <si>
    <t>GB/20250915102001</t>
  </si>
  <si>
    <t>Andri Andri</t>
  </si>
  <si>
    <t>andri@mail.com</t>
  </si>
  <si>
    <t>GB/20250915104016</t>
  </si>
  <si>
    <t>GB/20250915104648</t>
  </si>
  <si>
    <t>Alisa Alisa</t>
  </si>
  <si>
    <t>alis@mail.com</t>
  </si>
  <si>
    <t>GB/20250915104926</t>
  </si>
  <si>
    <t>Ikaa Check</t>
  </si>
  <si>
    <t>admin_fo@waterbom-bali.com</t>
  </si>
  <si>
    <t>GB/20250915113141</t>
  </si>
  <si>
    <t>GB/20250915120618</t>
  </si>
  <si>
    <t>mekss meksss</t>
  </si>
  <si>
    <t>meks5@mailinator.com</t>
  </si>
  <si>
    <t>GB/20250915124056</t>
  </si>
  <si>
    <t>mekss mekss</t>
  </si>
  <si>
    <t>meks15c@mailinator.com</t>
  </si>
  <si>
    <t>GB/20250915124714</t>
  </si>
  <si>
    <t>mekss meksii</t>
  </si>
  <si>
    <t>meks15d@mailinator.com</t>
  </si>
  <si>
    <t>GB/20250915125246</t>
  </si>
  <si>
    <t>GB/20250915131400</t>
  </si>
  <si>
    <t>GB/20250915132228</t>
  </si>
  <si>
    <t>Widi Arini</t>
  </si>
  <si>
    <t>GB/20250915132437</t>
  </si>
  <si>
    <t>andriyana@mailinator.com</t>
  </si>
  <si>
    <t>GB/20250915132806</t>
  </si>
  <si>
    <t>andri yana lagi</t>
  </si>
  <si>
    <t>andriyanalagi@mailinator.com</t>
  </si>
  <si>
    <t>GB/20250915134724</t>
  </si>
  <si>
    <t>utik</t>
  </si>
  <si>
    <t>cashier@waterbom-bali.com</t>
  </si>
  <si>
    <t>GB/20250915160402</t>
  </si>
  <si>
    <t>Gana Gana</t>
  </si>
  <si>
    <t>Gana@gmail.com</t>
  </si>
  <si>
    <t>GB/20250915232115</t>
  </si>
  <si>
    <t>Mekss</t>
  </si>
  <si>
    <t>mesirussia@mailinator.com</t>
  </si>
  <si>
    <t>Russian Federation</t>
  </si>
  <si>
    <t>GB/20250916075436</t>
  </si>
  <si>
    <t>meks16septpagi@mailinator.com</t>
  </si>
  <si>
    <t>GB/20250916080614</t>
  </si>
  <si>
    <t>meks16septpagi1@mailinator.com</t>
  </si>
  <si>
    <t>GB/20250916100154</t>
  </si>
  <si>
    <t>Perk</t>
  </si>
  <si>
    <t>perk@gmail.com</t>
  </si>
  <si>
    <t>GB/20250916100903</t>
  </si>
  <si>
    <t>Perk2</t>
  </si>
  <si>
    <t>perk2@gmail.com</t>
  </si>
  <si>
    <t>GB/20250916101355</t>
  </si>
  <si>
    <t>GB/20250916102820</t>
  </si>
  <si>
    <t>GB/20250916103244</t>
  </si>
  <si>
    <t>maspri1131@mailinator.com</t>
  </si>
  <si>
    <t>GB/20250916103709</t>
  </si>
  <si>
    <t>GB/20250916104213</t>
  </si>
  <si>
    <t>Jenniffer</t>
  </si>
  <si>
    <t>Jenniffer@gmail.com</t>
  </si>
  <si>
    <t>GB/20250916105000</t>
  </si>
  <si>
    <t>Michael Brown</t>
  </si>
  <si>
    <t>michael@gmail.com</t>
  </si>
  <si>
    <t>GB/20250916105123</t>
  </si>
  <si>
    <t>Jessica White</t>
  </si>
  <si>
    <t>jess@gmail.com</t>
  </si>
  <si>
    <t>Antarctica</t>
  </si>
  <si>
    <t>GB/20250916105354</t>
  </si>
  <si>
    <t>GB/20250916111512</t>
  </si>
  <si>
    <t>GB/20250916121039</t>
  </si>
  <si>
    <t>GB/20250916121106</t>
  </si>
  <si>
    <t>GB/20250916075151</t>
  </si>
  <si>
    <t>GB/20250916150107</t>
  </si>
  <si>
    <t>Discount 50 % Guest Supplies &amp; Service Recovery</t>
  </si>
  <si>
    <t>GB/20250916080431</t>
  </si>
  <si>
    <t>GB/20250916151405</t>
  </si>
  <si>
    <t>Sales Department</t>
  </si>
  <si>
    <t>GB/20250916152658</t>
  </si>
  <si>
    <t>Meksss Mekssss</t>
  </si>
  <si>
    <t>meks161624@mailinator.com</t>
  </si>
  <si>
    <t>GB/20250916153357</t>
  </si>
  <si>
    <t>GB/20250916154950</t>
  </si>
  <si>
    <t>GB/20250916155822</t>
  </si>
  <si>
    <t>Andriyana</t>
  </si>
  <si>
    <t>andriyana@gmail.com</t>
  </si>
  <si>
    <t>GB/20250916160020</t>
  </si>
  <si>
    <t>MEKS161646@MAILINATOR.COM</t>
  </si>
  <si>
    <t>GB/20250916160500</t>
  </si>
  <si>
    <t>MNM RESTAURANT</t>
  </si>
  <si>
    <t>GB/20250916163658</t>
  </si>
  <si>
    <t>GB/20250916164231</t>
  </si>
  <si>
    <t>GB/20250916164359</t>
  </si>
  <si>
    <t>GB/20250916164645</t>
  </si>
  <si>
    <t>GB/20250916100519</t>
  </si>
  <si>
    <t>meks1104@mailinator.com</t>
  </si>
  <si>
    <t>GB/20250916130058</t>
  </si>
  <si>
    <t>DRN4R4K</t>
  </si>
  <si>
    <t>GB/20250916130059</t>
  </si>
  <si>
    <t>DGSUPA6</t>
  </si>
  <si>
    <t>WR1GCF2</t>
  </si>
  <si>
    <t>GB/20250916130100</t>
  </si>
  <si>
    <t>W5YHYHV</t>
  </si>
  <si>
    <t>GB/20250916130101</t>
  </si>
  <si>
    <t>UVJJEUE</t>
  </si>
  <si>
    <t>HNQBEJ3</t>
  </si>
  <si>
    <t>GB/20250916130103</t>
  </si>
  <si>
    <t>WC3G5FN</t>
  </si>
  <si>
    <t>GB/20250916130104</t>
  </si>
  <si>
    <t>E7ENVZ2</t>
  </si>
  <si>
    <t>W7444JJ</t>
  </si>
  <si>
    <t>GB/20250916130106</t>
  </si>
  <si>
    <t>L2T12BU</t>
  </si>
  <si>
    <t>XTUTHMV</t>
  </si>
  <si>
    <t>GB/20250916130107</t>
  </si>
  <si>
    <t>YBMAHUX</t>
  </si>
  <si>
    <t>GB/20250916130109</t>
  </si>
  <si>
    <t>F9Z86E4</t>
  </si>
  <si>
    <t>GB/20250916133956</t>
  </si>
  <si>
    <t>susanti anak angkal muda</t>
  </si>
  <si>
    <t>rani@gmail.com</t>
  </si>
  <si>
    <t>Guyana</t>
  </si>
  <si>
    <t>GB/20250916142655</t>
  </si>
  <si>
    <t>HU LING</t>
  </si>
  <si>
    <t>DGSUPA61</t>
  </si>
  <si>
    <t>WR1GCF21</t>
  </si>
  <si>
    <t>GB/20250916142657</t>
  </si>
  <si>
    <t>W5YHYHV1</t>
  </si>
  <si>
    <t>UVJJEUE1</t>
  </si>
  <si>
    <t>GB/20250916142658</t>
  </si>
  <si>
    <t>HNQBEJ31</t>
  </si>
  <si>
    <t>GB/20250916142700</t>
  </si>
  <si>
    <t>WC3G5FN1</t>
  </si>
  <si>
    <t>E7ENVZ21</t>
  </si>
  <si>
    <t>GB/20250916142701</t>
  </si>
  <si>
    <t>W7444JJ1</t>
  </si>
  <si>
    <t>GB/20250916142702</t>
  </si>
  <si>
    <t>L2T12BU1</t>
  </si>
  <si>
    <t>GB/20250916142703</t>
  </si>
  <si>
    <t>XTUTHMV1</t>
  </si>
  <si>
    <t>YBMAHUX1</t>
  </si>
  <si>
    <t>GB/20250916142704</t>
  </si>
  <si>
    <t>F9Z86E41</t>
  </si>
  <si>
    <t>GB/20250916150923</t>
  </si>
  <si>
    <t>dewi ratna</t>
  </si>
  <si>
    <t>huling22@gmail.com</t>
  </si>
  <si>
    <t>GB/20250916152442</t>
  </si>
  <si>
    <t>GB/20250916154028</t>
  </si>
  <si>
    <t>GB/20250916154647</t>
  </si>
  <si>
    <t>GB/20250916161754</t>
  </si>
  <si>
    <t>meksi161717@mailinator.com</t>
  </si>
  <si>
    <t>GB/20250916232707</t>
  </si>
  <si>
    <t>GB/20250916163159</t>
  </si>
  <si>
    <t>meksi161731@mailinator.com</t>
  </si>
  <si>
    <t>GB/20250916164834</t>
  </si>
  <si>
    <t>Bapak Ibu</t>
  </si>
  <si>
    <t>bapakibu@gmail.com</t>
  </si>
  <si>
    <t>GB/20250916201401</t>
  </si>
  <si>
    <t>prikitiw prikitiw</t>
  </si>
  <si>
    <t>Prikitiw@gmail.com</t>
  </si>
  <si>
    <t>GB/20250916202405</t>
  </si>
  <si>
    <t>GB/20250916215151</t>
  </si>
  <si>
    <t>Komang Tomblos</t>
  </si>
  <si>
    <t>Nigeria</t>
  </si>
  <si>
    <t>GB/20250917000244</t>
  </si>
  <si>
    <t>GB/20250917010631</t>
  </si>
  <si>
    <t>GB/20250917010748</t>
  </si>
  <si>
    <t>GB/20250917081930</t>
  </si>
  <si>
    <t>mas170915@mailinator.com</t>
  </si>
  <si>
    <t>GB/20250917085526</t>
  </si>
  <si>
    <t>ahmad dani</t>
  </si>
  <si>
    <t>cashier@gmail.com</t>
  </si>
  <si>
    <t>GB/20250917020341</t>
  </si>
  <si>
    <t>GB/20250917024021</t>
  </si>
  <si>
    <t>GB/20250917031612</t>
  </si>
  <si>
    <t>GB/20250917031638</t>
  </si>
  <si>
    <t>GB/20250917034048</t>
  </si>
  <si>
    <t>meks171140@mailinator.com</t>
  </si>
  <si>
    <t>GB/20250917034201</t>
  </si>
  <si>
    <t>GB/20250917035219</t>
  </si>
  <si>
    <t>Masse Satu Prihatinto</t>
  </si>
  <si>
    <t>meks171151@mailinator.com</t>
  </si>
  <si>
    <t>GB/20250917035411</t>
  </si>
  <si>
    <t>GB/20250917040038</t>
  </si>
  <si>
    <t>GB/20250917040045</t>
  </si>
  <si>
    <t>GB/20250917042405</t>
  </si>
  <si>
    <t>meks171223@mailinator.com</t>
  </si>
  <si>
    <t>GB/20250917044559</t>
  </si>
  <si>
    <t>MEKSI POS 17</t>
  </si>
  <si>
    <t>MEKSIPOS17@MAILINATOR.COM</t>
  </si>
  <si>
    <t>TOWEL</t>
  </si>
  <si>
    <t>GB/20250917044807</t>
  </si>
  <si>
    <t>GB/20250917045939</t>
  </si>
  <si>
    <t>Masse Dua Prihatinto</t>
  </si>
  <si>
    <t>meks171258@mailinator.com</t>
  </si>
  <si>
    <t>GB/20250917053947</t>
  </si>
  <si>
    <t>GB/20250917062320</t>
  </si>
  <si>
    <t>GB/20250917062743</t>
  </si>
  <si>
    <t>GB/20250917064212</t>
  </si>
  <si>
    <t>Meksi POS 171441</t>
  </si>
  <si>
    <t>mekspos171441@mailinator.com</t>
  </si>
  <si>
    <t>GB/20250917064554</t>
  </si>
  <si>
    <t>joko</t>
  </si>
  <si>
    <t>joko@gmail.com</t>
  </si>
  <si>
    <t>GB/20250917070419</t>
  </si>
  <si>
    <t>Aldi</t>
  </si>
  <si>
    <t>GB/20250917074414</t>
  </si>
  <si>
    <t>Yuli</t>
  </si>
  <si>
    <t>sales.cempaka@waterbom-bali.com</t>
  </si>
  <si>
    <t>GB/20250917074630</t>
  </si>
  <si>
    <t>Masse AA Prihatinto</t>
  </si>
  <si>
    <t>meksi171545@mailinator.com</t>
  </si>
  <si>
    <t>GB/20250917075450</t>
  </si>
  <si>
    <t>Masse AB Prihatinto</t>
  </si>
  <si>
    <t>meksi171554@mailinator.com</t>
  </si>
  <si>
    <t>GB/20250917075617</t>
  </si>
  <si>
    <t>Masse AC Prihatinto</t>
  </si>
  <si>
    <t>meksi171555@mailinator.com</t>
  </si>
  <si>
    <t>GB/20250917075927</t>
  </si>
  <si>
    <t>meksi171558@mailinator.com</t>
  </si>
  <si>
    <t>GB/20250917080135</t>
  </si>
  <si>
    <t>Yuliati 2</t>
  </si>
  <si>
    <t>GB/20250917081612</t>
  </si>
  <si>
    <t>GB/20250917081855</t>
  </si>
  <si>
    <t>GB/20250917082225</t>
  </si>
  <si>
    <t>Nonik</t>
  </si>
  <si>
    <t>GB/20250917084209</t>
  </si>
  <si>
    <t>jijicoy</t>
  </si>
  <si>
    <t>jijicoy@gmail.com</t>
  </si>
  <si>
    <t>GB/20250917090130</t>
  </si>
  <si>
    <t>joko tingkir</t>
  </si>
  <si>
    <t>jokotingkir@gmail.com</t>
  </si>
  <si>
    <t>GB/20250918023006</t>
  </si>
  <si>
    <t>GB/20250918024936</t>
  </si>
  <si>
    <t>Jiki Jiki</t>
  </si>
  <si>
    <t>Jiki@gmail.com</t>
  </si>
  <si>
    <t>GB/20250918031036</t>
  </si>
  <si>
    <t>Masse B Prihatinto</t>
  </si>
  <si>
    <t>meks181109@mailinator.com</t>
  </si>
  <si>
    <t>GB/20250918031225</t>
  </si>
  <si>
    <t>GB/20250918032610</t>
  </si>
  <si>
    <t>arini</t>
  </si>
  <si>
    <t>arini.nym@gmail.com</t>
  </si>
  <si>
    <t>HONGKONG</t>
  </si>
  <si>
    <t>GB/20250918032854</t>
  </si>
  <si>
    <t>meks181128@mailinator.com</t>
  </si>
  <si>
    <t>GB/20250918033115</t>
  </si>
  <si>
    <t>GB/20250918034708</t>
  </si>
  <si>
    <t>Masse D Prihatinto</t>
  </si>
  <si>
    <t>meks181143@mailinator.com</t>
  </si>
  <si>
    <t>GB/20250918035108</t>
  </si>
  <si>
    <t>meks181150@mailinator.com</t>
  </si>
  <si>
    <t>GB/20250918035121</t>
  </si>
  <si>
    <t>KEVIN</t>
  </si>
  <si>
    <t>iddevteam@globaltix.com</t>
  </si>
  <si>
    <t>GB/20250918035124</t>
  </si>
  <si>
    <t>GB/20250918035127</t>
  </si>
  <si>
    <t>GB/20250918035131</t>
  </si>
  <si>
    <t>GB/20250918035136</t>
  </si>
  <si>
    <t>GB/20250918042942</t>
  </si>
  <si>
    <t>Masse E Prihatinto</t>
  </si>
  <si>
    <t>meks181229@mailinator.com</t>
  </si>
  <si>
    <t>GB/20250918043231</t>
  </si>
  <si>
    <t>GB/20250918043934</t>
  </si>
  <si>
    <t>meks181239@mailinator.com</t>
  </si>
  <si>
    <t>GB/20250918044912</t>
  </si>
  <si>
    <t>GB/20250918045144</t>
  </si>
  <si>
    <t>GB/20250918060025</t>
  </si>
  <si>
    <t>GB/20250918064020</t>
  </si>
  <si>
    <t>meksi181439@mailinator.com</t>
  </si>
  <si>
    <t>GB/20250918064429</t>
  </si>
  <si>
    <t>Wiyan</t>
  </si>
  <si>
    <t>wiyan@gmail.com</t>
  </si>
  <si>
    <t>GB/20250918064537</t>
  </si>
  <si>
    <t>Jaya</t>
  </si>
  <si>
    <t>jaya@gmail.com</t>
  </si>
  <si>
    <t>GB/20250918071154</t>
  </si>
  <si>
    <t>GB/20250918081027</t>
  </si>
  <si>
    <t>Arini 2</t>
  </si>
  <si>
    <t>wbcashier@gmail.com</t>
  </si>
  <si>
    <t>India</t>
  </si>
  <si>
    <t>GB/20250918134413</t>
  </si>
  <si>
    <t>GB/20250918153104</t>
  </si>
  <si>
    <t>GB/20250919063024</t>
  </si>
  <si>
    <t>Draft</t>
  </si>
  <si>
    <t>GB/20250919024950</t>
  </si>
  <si>
    <t>Michelle Smith</t>
  </si>
  <si>
    <t>michellesmith@gmail.com</t>
  </si>
  <si>
    <t>GB/20250919025229</t>
  </si>
  <si>
    <t>Amelia Amelia</t>
  </si>
  <si>
    <t>amelia@gmail.com</t>
  </si>
  <si>
    <t>GB/20250919033311</t>
  </si>
  <si>
    <t>GB/20250919033540</t>
  </si>
  <si>
    <t>meks191135@mailinator.com</t>
  </si>
  <si>
    <t>GB/20250919033656</t>
  </si>
  <si>
    <t>GB/20250919035723</t>
  </si>
  <si>
    <t>Ika Test</t>
  </si>
  <si>
    <t>charmanikadw@gmail.com</t>
  </si>
  <si>
    <t>GB/20250919035854</t>
  </si>
  <si>
    <t>Arini Test</t>
  </si>
  <si>
    <t>GB/20250919053509</t>
  </si>
  <si>
    <t>Jeki jeki</t>
  </si>
  <si>
    <t>jeki@gmail.com</t>
  </si>
  <si>
    <t>GB/20250919054526</t>
  </si>
  <si>
    <t>Mili</t>
  </si>
  <si>
    <t>mili@gmail.com</t>
  </si>
  <si>
    <t>GB/20250919060007</t>
  </si>
  <si>
    <t>meks191359@mailinator.com</t>
  </si>
  <si>
    <t>GB/20250919060141</t>
  </si>
  <si>
    <t>GB/20250919061054</t>
  </si>
  <si>
    <t>jimi lim</t>
  </si>
  <si>
    <t>jimi.lim@gmail.com</t>
  </si>
  <si>
    <t>BS 09 BLK/XL</t>
  </si>
  <si>
    <t>GB/20250919063954</t>
  </si>
  <si>
    <t>Hilton Nusadua</t>
  </si>
  <si>
    <t>GB/20250919071306</t>
  </si>
  <si>
    <t>Andy</t>
  </si>
  <si>
    <t>GB/20250919071811</t>
  </si>
  <si>
    <t>GB/20250919071904</t>
  </si>
  <si>
    <t>GB/20250919074051</t>
  </si>
  <si>
    <t>GB/20250919082237</t>
  </si>
  <si>
    <t>GB/20250919082423</t>
  </si>
  <si>
    <t>GB/20250919082638</t>
  </si>
  <si>
    <t>meks191625@mailinator.com</t>
  </si>
  <si>
    <t>GB/20250919083027</t>
  </si>
  <si>
    <t>GB/20250919083734</t>
  </si>
  <si>
    <t>meks191636@mailinator.com</t>
  </si>
  <si>
    <t>GB/20250919084117</t>
  </si>
  <si>
    <t>meks191640@mailinator.com</t>
  </si>
  <si>
    <t>GB/20250919084416</t>
  </si>
  <si>
    <t>GB/20250919085258</t>
  </si>
  <si>
    <t>meks191652@mailinator.com</t>
  </si>
  <si>
    <t>GB/20250919085412</t>
  </si>
  <si>
    <t>GB/20250919093426</t>
  </si>
  <si>
    <t>meks191733@mailinator.com</t>
  </si>
  <si>
    <t>GB/20250919093519</t>
  </si>
  <si>
    <t>GB/20250919095354</t>
  </si>
  <si>
    <t>meks191753@mailinator.com</t>
  </si>
  <si>
    <t>GB/20250919095836</t>
  </si>
  <si>
    <t>GB/20250919105337</t>
  </si>
  <si>
    <t>GB/20250919131000</t>
  </si>
  <si>
    <t>GB/20250919131013</t>
  </si>
  <si>
    <t>GB/20250920025754</t>
  </si>
  <si>
    <t>GB/20250920030020</t>
  </si>
  <si>
    <t>Jaka Jaka</t>
  </si>
  <si>
    <t>Jaka@gmail.com</t>
  </si>
  <si>
    <t>GB/20250920085517</t>
  </si>
  <si>
    <t>nyomanarini12@gmail.com</t>
  </si>
  <si>
    <t>GB/20250920092937</t>
  </si>
  <si>
    <t>Ojan Ojan</t>
  </si>
  <si>
    <t>Ojan@gmail.com</t>
  </si>
  <si>
    <t>GB/20250920135604</t>
  </si>
  <si>
    <t>GB/20250921023124</t>
  </si>
  <si>
    <t>Daruri Gilang</t>
  </si>
  <si>
    <t>darurigilang@gmail.com</t>
  </si>
  <si>
    <t>GB/20250921100608</t>
  </si>
  <si>
    <t>GB/20250921134923</t>
  </si>
  <si>
    <t>meks212148@mailinator.com</t>
  </si>
  <si>
    <t>GB/20250921135250</t>
  </si>
  <si>
    <t>meks212150@mailinator.com</t>
  </si>
  <si>
    <t>GB/20250921135628</t>
  </si>
  <si>
    <t>meks212155@mailinator.com</t>
  </si>
  <si>
    <t>GB/20250921141259</t>
  </si>
  <si>
    <t>meks212211@mailinator.com</t>
  </si>
  <si>
    <t>GB/20250921141842</t>
  </si>
  <si>
    <t>GB/20250921143446</t>
  </si>
  <si>
    <t>Meksi Korea</t>
  </si>
  <si>
    <t>meksikorea@mailinator.com</t>
  </si>
  <si>
    <t>South Korea</t>
  </si>
  <si>
    <t>GB/20250921144803</t>
  </si>
  <si>
    <t>Meksi Jepang</t>
  </si>
  <si>
    <t>meksijepang@mailinator.com</t>
  </si>
  <si>
    <t>GB/20250921145808</t>
  </si>
  <si>
    <t>Meksi Adelaide</t>
  </si>
  <si>
    <t>meksiadelaide@mailinator.com</t>
  </si>
  <si>
    <t>GB/20250921165110</t>
  </si>
  <si>
    <t>GB/20250921170100</t>
  </si>
  <si>
    <t>superqabout001</t>
  </si>
  <si>
    <t>GB/20250921170449</t>
  </si>
  <si>
    <t>Meksi 22 0103</t>
  </si>
  <si>
    <t>meksi220103@mailinator.com</t>
  </si>
  <si>
    <t>GB/20250921170920</t>
  </si>
  <si>
    <t>Meks 22 0105</t>
  </si>
  <si>
    <t>meksi220105@mailinator.com</t>
  </si>
  <si>
    <t>Donation</t>
  </si>
  <si>
    <t>GB/20250921171404</t>
  </si>
  <si>
    <t>Meks 0113</t>
  </si>
  <si>
    <t>meks0113@mailinator.com</t>
  </si>
  <si>
    <t>GB/20250921173142</t>
  </si>
  <si>
    <t>GB/20250922022940</t>
  </si>
  <si>
    <t>shas test 3</t>
  </si>
  <si>
    <t>socialmedia@waterbom-bali.com</t>
  </si>
  <si>
    <t>GB/20250922030557</t>
  </si>
  <si>
    <t>Florencia</t>
  </si>
  <si>
    <t>GB/20250922031436</t>
  </si>
  <si>
    <t>GB/20250922031438</t>
  </si>
  <si>
    <t>meks221056@mailinator.com</t>
  </si>
  <si>
    <t>GB/20250922031754</t>
  </si>
  <si>
    <t>GB/20250922032327</t>
  </si>
  <si>
    <t>meks221122@mailinator.com</t>
  </si>
  <si>
    <t>GB/20250922033620</t>
  </si>
  <si>
    <t>GB/20250922033830</t>
  </si>
  <si>
    <t>GB/20250922042033</t>
  </si>
  <si>
    <t>meks221220@mailinator.com</t>
  </si>
  <si>
    <t>GB/20250922053059</t>
  </si>
  <si>
    <t>GB/20250922053226</t>
  </si>
  <si>
    <t>Single Day Pass Family Foreign</t>
  </si>
  <si>
    <t>GB/20250922054433</t>
  </si>
  <si>
    <t>marshall</t>
  </si>
  <si>
    <t>marshall@gmail.com</t>
  </si>
  <si>
    <t>GB/20250922054524</t>
  </si>
  <si>
    <t>Herry</t>
  </si>
  <si>
    <t>herry@gmail.com</t>
  </si>
  <si>
    <t>GB/20250922064401</t>
  </si>
  <si>
    <t>Meks 22 14 43</t>
  </si>
  <si>
    <t>meks221443@mailinator.com</t>
  </si>
  <si>
    <t>GB/20250922065635</t>
  </si>
  <si>
    <t>GB/20250922070903</t>
  </si>
  <si>
    <t>meks221508@mailinator.com</t>
  </si>
  <si>
    <t>GB/20250922073819</t>
  </si>
  <si>
    <t>Kim Jung Un</t>
  </si>
  <si>
    <t>GB/20250922074331</t>
  </si>
  <si>
    <t>aca</t>
  </si>
  <si>
    <t>GB/20250922075902</t>
  </si>
  <si>
    <t>meks221558@mailinator.com</t>
  </si>
  <si>
    <t>GB/20250922081705</t>
  </si>
  <si>
    <t>meksss 1616</t>
  </si>
  <si>
    <t>meks1616@mailinator.com</t>
  </si>
  <si>
    <t>GB/20250922081847</t>
  </si>
  <si>
    <t>meks 221618</t>
  </si>
  <si>
    <t>meks221618@mailinator.com</t>
  </si>
  <si>
    <t>GB/20250922082151</t>
  </si>
  <si>
    <t>meks 22 1621</t>
  </si>
  <si>
    <t>meks221621@mailinator.com</t>
  </si>
  <si>
    <t>GB/20250922082242</t>
  </si>
  <si>
    <t>mekss</t>
  </si>
  <si>
    <t>meks221622@mailinator.com</t>
  </si>
  <si>
    <t>GB/20250922090208</t>
  </si>
  <si>
    <t>meks221701@mailinator.com</t>
  </si>
  <si>
    <t>GB/20250922162955</t>
  </si>
  <si>
    <t>GB/20250922164057</t>
  </si>
  <si>
    <t>meks230040@mailinator.com</t>
  </si>
  <si>
    <t>GB/20250923021136</t>
  </si>
  <si>
    <t>GB/20250923023416</t>
  </si>
  <si>
    <t>Test Ika</t>
  </si>
  <si>
    <t>GB/20250923031556</t>
  </si>
  <si>
    <t>GB/20250923053508</t>
  </si>
  <si>
    <t>St. Regis Bali Resort</t>
  </si>
  <si>
    <t>GB/20250923054957</t>
  </si>
  <si>
    <t>meks</t>
  </si>
  <si>
    <t>meks231349@mailinator.com</t>
  </si>
  <si>
    <t>Discount</t>
  </si>
  <si>
    <t>GB/20250923055318</t>
  </si>
  <si>
    <t>meks23sept1352@maillinator.com</t>
  </si>
  <si>
    <t>GB/20250923064235</t>
  </si>
  <si>
    <t>Elly Elly</t>
  </si>
  <si>
    <t>Elly@gmail.com</t>
  </si>
  <si>
    <t>GB/20250923070526</t>
  </si>
  <si>
    <t>Masse Dua Tiga A Prihatinto</t>
  </si>
  <si>
    <t>meks231504@mailinator.com</t>
  </si>
  <si>
    <t>GB/20250923070724</t>
  </si>
  <si>
    <t>GB/20250923074503</t>
  </si>
  <si>
    <t>GB/20250923074539</t>
  </si>
  <si>
    <t>Meks 231545</t>
  </si>
  <si>
    <t>meks231545@mailinator.com</t>
  </si>
  <si>
    <t>GAZEBO  (Regular Gazebo)</t>
  </si>
  <si>
    <t>GB/20250923080229</t>
  </si>
  <si>
    <t>GB/20250923081322</t>
  </si>
  <si>
    <t>GB/20250923083147</t>
  </si>
  <si>
    <t>Harris</t>
  </si>
  <si>
    <t>Harris@gmail.com</t>
  </si>
  <si>
    <t>GB/20250923083933</t>
  </si>
  <si>
    <t>GB/20250923092215</t>
  </si>
  <si>
    <t>Risna Test</t>
  </si>
  <si>
    <t>GB/20250923093152</t>
  </si>
  <si>
    <t>Aldy Pratama</t>
  </si>
  <si>
    <t>aldypratama240@gmai.com</t>
  </si>
  <si>
    <t>GB/20250923093613</t>
  </si>
  <si>
    <t>meks231735@mailinator.com</t>
  </si>
  <si>
    <t>GB/20250923094312</t>
  </si>
  <si>
    <t>meks231742@mailinator.com</t>
  </si>
  <si>
    <t>GB/20250923094829</t>
  </si>
  <si>
    <t>meks231746@mailinator.com</t>
  </si>
  <si>
    <t>GB/20250923095951</t>
  </si>
  <si>
    <t>yiha</t>
  </si>
  <si>
    <t>yiha@gmail.com</t>
  </si>
  <si>
    <t>GB/20250923100118</t>
  </si>
  <si>
    <t>GB/20250923100229</t>
  </si>
  <si>
    <t>omar</t>
  </si>
  <si>
    <t>omar@gmail.com</t>
  </si>
  <si>
    <t>GB/20250923100441</t>
  </si>
  <si>
    <t>Anjas</t>
  </si>
  <si>
    <t>anjas@gmail.com</t>
  </si>
  <si>
    <t>GB/20250923100634</t>
  </si>
  <si>
    <t>meks231805@mailinator.com</t>
  </si>
  <si>
    <t>GB/20250923104235</t>
  </si>
  <si>
    <t>Margherita</t>
  </si>
  <si>
    <t>Mango Tango</t>
  </si>
  <si>
    <t>GB/20250923112523</t>
  </si>
  <si>
    <t>Anton</t>
  </si>
  <si>
    <t>Anton@gmail.com</t>
  </si>
  <si>
    <t>Strawberry &amp; Tangerine Margarita</t>
  </si>
  <si>
    <t>CL-50% on Restaurant Product</t>
  </si>
  <si>
    <t>GB/20250923130842</t>
  </si>
  <si>
    <t>GB/20250923130854</t>
  </si>
  <si>
    <t>GB/20250923154235</t>
  </si>
  <si>
    <t>GB/20250923163729</t>
  </si>
  <si>
    <t>Kaka Kaka</t>
  </si>
  <si>
    <t>Kaka@gmail.com</t>
  </si>
  <si>
    <t>GB/20250923170118</t>
  </si>
  <si>
    <t>Mariam Debut</t>
  </si>
  <si>
    <t>GB/20250924011000</t>
  </si>
  <si>
    <t>Eki chandra</t>
  </si>
  <si>
    <t>eki@gmail.com</t>
  </si>
  <si>
    <t>GB/20250924025114</t>
  </si>
  <si>
    <t>Masse Dua Empat A Prihatinto</t>
  </si>
  <si>
    <t>meks241050@mailinator.com</t>
  </si>
  <si>
    <t>GB/20250924025946</t>
  </si>
  <si>
    <t>Masse Dua Empat B Prihatinto</t>
  </si>
  <si>
    <t>meks241058@mailinator.com</t>
  </si>
  <si>
    <t>GB/20250924030504</t>
  </si>
  <si>
    <t>Masse Dua Empat C Prihatinto</t>
  </si>
  <si>
    <t>meks241104@mailinator.com</t>
  </si>
  <si>
    <t>GB/20250924031703</t>
  </si>
  <si>
    <t>meks241113@mailinator.com</t>
  </si>
  <si>
    <t>GB/20250924033758</t>
  </si>
  <si>
    <t>meks241137@mailinator.com</t>
  </si>
  <si>
    <t>GB/20250924035345</t>
  </si>
  <si>
    <t>ira</t>
  </si>
  <si>
    <t>ira@mail.com</t>
  </si>
  <si>
    <t>GB/20250924035528</t>
  </si>
  <si>
    <t>meks241154@mailinator.com</t>
  </si>
  <si>
    <t>GB/20250924035822</t>
  </si>
  <si>
    <t>GB/20250924040449</t>
  </si>
  <si>
    <t>GB/20250924040729</t>
  </si>
  <si>
    <t>GB/20250924054839</t>
  </si>
  <si>
    <t>Ira 2</t>
  </si>
  <si>
    <t>ira2@mail.com</t>
  </si>
  <si>
    <t>GB/20250924055407</t>
  </si>
  <si>
    <t>Arin</t>
  </si>
  <si>
    <t>arin25@mail.com</t>
  </si>
  <si>
    <t>GB/20250924060001</t>
  </si>
  <si>
    <t>jana</t>
  </si>
  <si>
    <t>jana@gmail.com</t>
  </si>
  <si>
    <t>GB/20250924060649</t>
  </si>
  <si>
    <t>Meks Dua Empat</t>
  </si>
  <si>
    <t>meks241405@mailinator.com</t>
  </si>
  <si>
    <t>GB/20250924065734</t>
  </si>
  <si>
    <t>GB/20250924065518</t>
  </si>
  <si>
    <t>DUO PASS - Domestic</t>
  </si>
  <si>
    <t>GB/20250924070217</t>
  </si>
  <si>
    <t>GB/20250924070826</t>
  </si>
  <si>
    <t>GB/20250924070935</t>
  </si>
  <si>
    <t>GB/20250924071314</t>
  </si>
  <si>
    <t>putri 1</t>
  </si>
  <si>
    <t>putri1@mail.com</t>
  </si>
  <si>
    <t>Iran</t>
  </si>
  <si>
    <t>DUO PASS - All Market</t>
  </si>
  <si>
    <t>GB/20250924075733</t>
  </si>
  <si>
    <t>GB/20250924080048</t>
  </si>
  <si>
    <t>meilia</t>
  </si>
  <si>
    <t>meilia@mail.com</t>
  </si>
  <si>
    <t>GB/20250924080452</t>
  </si>
  <si>
    <t>GB/20250924081150</t>
  </si>
  <si>
    <t>meks241610@mailinator.com</t>
  </si>
  <si>
    <t>GB/20250924090304</t>
  </si>
  <si>
    <t>Nyoman Kepon</t>
  </si>
  <si>
    <t>gaysvsy@gmail.com</t>
  </si>
  <si>
    <t>GB/20250924090557</t>
  </si>
  <si>
    <t>GB/20250924090847</t>
  </si>
  <si>
    <t>GB/20250924142531</t>
  </si>
  <si>
    <t>Masse Dua Empat Prihatinto</t>
  </si>
  <si>
    <t>meks242224@mailinator.com</t>
  </si>
  <si>
    <t>GB/20250924144434</t>
  </si>
  <si>
    <t>Masse Dua Empat Malem Prihatinto</t>
  </si>
  <si>
    <t>meks242243@mailinator.com</t>
  </si>
  <si>
    <t>GB/20250924150451</t>
  </si>
  <si>
    <t>meks242303@mailinator.com</t>
  </si>
  <si>
    <t>GB/20250924153601</t>
  </si>
  <si>
    <t>Four Pack Pass Foreign</t>
  </si>
  <si>
    <t>GB/20250924153620</t>
  </si>
  <si>
    <t>meks242334@mailinator.com</t>
  </si>
  <si>
    <t>GB/20250924154114</t>
  </si>
  <si>
    <t>meks242340@mailinator.com</t>
  </si>
  <si>
    <t>GB/20250924162512</t>
  </si>
  <si>
    <t>GB/20250924162704</t>
  </si>
  <si>
    <t>Jimilim</t>
  </si>
  <si>
    <t>Jimilim@gmail.com</t>
  </si>
  <si>
    <t>GB/20250924163232</t>
  </si>
  <si>
    <t>GB/20250924163221</t>
  </si>
  <si>
    <t>Masse Dua Lima Prihatinto</t>
  </si>
  <si>
    <t>meks250031@mailinator.com</t>
  </si>
  <si>
    <t>GB/20250924165418</t>
  </si>
  <si>
    <t>Lina inverse</t>
  </si>
  <si>
    <t>lina.inverse@gmail.com</t>
  </si>
  <si>
    <t>GB/20250924165732</t>
  </si>
  <si>
    <t>GB/20250924170455</t>
  </si>
  <si>
    <t>GB/20250924171032</t>
  </si>
  <si>
    <t>GB/20250924171505</t>
  </si>
  <si>
    <t>aloha</t>
  </si>
  <si>
    <t>aloha@gmail.com</t>
  </si>
  <si>
    <t>GB/20250924180317</t>
  </si>
  <si>
    <t>Meks Satu</t>
  </si>
  <si>
    <t>meks25subuh@mailinator.com</t>
  </si>
  <si>
    <t>GB/20250924181131</t>
  </si>
  <si>
    <t>GB/20250924181337</t>
  </si>
  <si>
    <t>GB/20250925025137</t>
  </si>
  <si>
    <t>GB/20250925052610</t>
  </si>
  <si>
    <t>GB/20250925055124</t>
  </si>
  <si>
    <t>meks251350@mailinator.com</t>
  </si>
  <si>
    <t>GB/20250925060734</t>
  </si>
  <si>
    <t>meks251406@mailinator.com</t>
  </si>
  <si>
    <t>GB/20250925061414</t>
  </si>
  <si>
    <t>meks251413@mailinator.com</t>
  </si>
  <si>
    <t>GB/20250925061909</t>
  </si>
  <si>
    <t>GB/20250925062029</t>
  </si>
  <si>
    <t>meks251419@mailinator.com</t>
  </si>
  <si>
    <t>GB/20250925063252</t>
  </si>
  <si>
    <t>GB/20250925070438</t>
  </si>
  <si>
    <t>GB/20250925070528</t>
  </si>
  <si>
    <t>GB/20250925072306</t>
  </si>
  <si>
    <t>Meks Dls Lsdd</t>
  </si>
  <si>
    <t>meks25051522@mailinator.com</t>
  </si>
  <si>
    <t>GB/20250925073925</t>
  </si>
  <si>
    <t>Hilton Bali Resort</t>
  </si>
  <si>
    <t>hilton@hilton-com</t>
  </si>
  <si>
    <t>GB/20250925073939</t>
  </si>
  <si>
    <t>Grand Hyatt</t>
  </si>
  <si>
    <t>GB/20250925075941</t>
  </si>
  <si>
    <t>Ayu Melinia</t>
  </si>
  <si>
    <t>Tanty</t>
  </si>
  <si>
    <t>GB/20250925075942</t>
  </si>
  <si>
    <t>Desak</t>
  </si>
  <si>
    <t>GB/20250925081018</t>
  </si>
  <si>
    <t>GB/20250925081024</t>
  </si>
  <si>
    <t>GB/20250925081019</t>
  </si>
  <si>
    <t>GB/20250925090016</t>
  </si>
  <si>
    <t>Harum</t>
  </si>
  <si>
    <t>harum@gmail.com</t>
  </si>
  <si>
    <t>GB/20250925130937</t>
  </si>
  <si>
    <t>GB/20250925130950</t>
  </si>
  <si>
    <t>GB/20250925140128</t>
  </si>
  <si>
    <t>GB/20250925140341</t>
  </si>
  <si>
    <t>GB/20250925150134</t>
  </si>
  <si>
    <t>GB/20250926040236</t>
  </si>
  <si>
    <t>GB/20250926040501</t>
  </si>
  <si>
    <t>LIDYA</t>
  </si>
  <si>
    <t>lidya@mail.com</t>
  </si>
  <si>
    <t>GB/20250926044800</t>
  </si>
  <si>
    <t>Masse Jum Prihatinto</t>
  </si>
  <si>
    <t>meks261247@mailinator.com</t>
  </si>
  <si>
    <t>GB/20250926050142</t>
  </si>
  <si>
    <t>The Ritz-Carlton</t>
  </si>
  <si>
    <t>GAZEBO  (Premium Aquaplay Gazebo)</t>
  </si>
  <si>
    <t>GB/20250926064129</t>
  </si>
  <si>
    <t>lala</t>
  </si>
  <si>
    <t>Premium Aquaplay Gazebo</t>
  </si>
  <si>
    <t>GB/20250926064615</t>
  </si>
  <si>
    <t xml:space="preserve">I Wayan Agus  Arnawa </t>
  </si>
  <si>
    <t xml:space="preserve">FLOWRIDER </t>
  </si>
  <si>
    <t>GB/20250926064731</t>
  </si>
  <si>
    <t>Deluxe Gazebo</t>
  </si>
  <si>
    <t>GB/20250926084536</t>
  </si>
  <si>
    <t>GB/20250926091100</t>
  </si>
  <si>
    <t>GB/20250926095329</t>
  </si>
  <si>
    <t>GB/20250926095647</t>
  </si>
  <si>
    <t>GB/20250926100055</t>
  </si>
  <si>
    <t>GB/20250926171030</t>
  </si>
  <si>
    <t>Jiki jiki</t>
  </si>
  <si>
    <t>jiki@gmail.com</t>
  </si>
  <si>
    <t>GB/20250926171951</t>
  </si>
  <si>
    <t>GB/20250927054532</t>
  </si>
  <si>
    <t>GB/20250927055333</t>
  </si>
  <si>
    <t>GB/20250927055430</t>
  </si>
  <si>
    <t>GB/20250927150040</t>
  </si>
  <si>
    <t>meks272259@mailinator.com</t>
  </si>
  <si>
    <t>GB/20250927151712</t>
  </si>
  <si>
    <t>MEKS</t>
  </si>
  <si>
    <t>MEKS272316@MAILINATOR.COM</t>
  </si>
  <si>
    <t>GB/20250928042543</t>
  </si>
  <si>
    <t>GB/20250928071923</t>
  </si>
  <si>
    <t>Duo Pass - Combo</t>
  </si>
  <si>
    <t>GB/20250928072200</t>
  </si>
  <si>
    <t>GB/20250928080656</t>
  </si>
  <si>
    <t>GB/20250928141448</t>
  </si>
  <si>
    <t>GB/20250928165841</t>
  </si>
  <si>
    <t>GB/20250928194652</t>
  </si>
  <si>
    <t>GB/20250928194653</t>
  </si>
  <si>
    <t>GB/20250929090022</t>
  </si>
  <si>
    <t>GB/20250929091700</t>
  </si>
  <si>
    <t>GB/20250929093511</t>
  </si>
  <si>
    <t>GB/20250929130731</t>
  </si>
  <si>
    <t>GB/20250929151216</t>
  </si>
  <si>
    <t>GB/20250929151809</t>
  </si>
  <si>
    <t>GB/20250930024835</t>
  </si>
  <si>
    <t>meks301047@mailinator.com</t>
  </si>
  <si>
    <t>GB/20250930025307</t>
  </si>
  <si>
    <t>meks301051@mailinator.com</t>
  </si>
  <si>
    <t>GB/20250930030313</t>
  </si>
  <si>
    <t>GB/20250930030356</t>
  </si>
  <si>
    <t>meks301103@mailinator.com</t>
  </si>
  <si>
    <t>GB/20250930031018</t>
  </si>
  <si>
    <t>ANDREW</t>
  </si>
  <si>
    <t>ANDREW@GMAIL.COM</t>
  </si>
  <si>
    <t>IDR 50000 Student Rate</t>
  </si>
  <si>
    <t>50KSTD</t>
  </si>
  <si>
    <t>GB/20250930031857</t>
  </si>
  <si>
    <t>GB/20250930032501</t>
  </si>
  <si>
    <t>GB/20250930034145</t>
  </si>
  <si>
    <t>The Oberoi, Bali</t>
  </si>
  <si>
    <t>GB/20250930034843</t>
  </si>
  <si>
    <t>Sara Ayu</t>
  </si>
  <si>
    <t>sarahayu@gmail.com</t>
  </si>
  <si>
    <t>GB/20250930035231</t>
  </si>
  <si>
    <t>Michael William</t>
  </si>
  <si>
    <t>GB/20250930035657</t>
  </si>
  <si>
    <t>meks301154@mailinator.com</t>
  </si>
  <si>
    <t>GB/20250930040037</t>
  </si>
  <si>
    <t>meks301157@mailinator.com</t>
  </si>
  <si>
    <t>GB/20250930040317</t>
  </si>
  <si>
    <t>Juku Juku</t>
  </si>
  <si>
    <t>Juku@mail.com</t>
  </si>
  <si>
    <t>GB/20250930042151</t>
  </si>
  <si>
    <t>GB/20250930045302</t>
  </si>
  <si>
    <t>Engkel jo</t>
  </si>
  <si>
    <t>engkeljo@g.com</t>
  </si>
  <si>
    <t>GB/20250930045821</t>
  </si>
  <si>
    <t>GB/20250930050513</t>
  </si>
  <si>
    <t>GB/20250930051931</t>
  </si>
  <si>
    <t>Jamil jamil</t>
  </si>
  <si>
    <t>jamil@m.com</t>
  </si>
  <si>
    <t>GB/20250930053842</t>
  </si>
  <si>
    <t>GB/20250930054034</t>
  </si>
  <si>
    <t>Jaka jaka</t>
  </si>
  <si>
    <t>jaka@gmail.com</t>
  </si>
  <si>
    <t>GB/20250930054836</t>
  </si>
  <si>
    <t>Meci 30 13 47</t>
  </si>
  <si>
    <t>meci301347@mailinator.com</t>
  </si>
  <si>
    <t>GB/20250930060043</t>
  </si>
  <si>
    <t>kirik kirik</t>
  </si>
  <si>
    <t>kirik@m.com</t>
  </si>
  <si>
    <t>GB/20250930060103</t>
  </si>
  <si>
    <t>janta janta</t>
  </si>
  <si>
    <t>janta@m.com</t>
  </si>
  <si>
    <t>GB/20250930060213</t>
  </si>
  <si>
    <t>meks301332@mailinator.com</t>
  </si>
  <si>
    <t>GB/20250930060624</t>
  </si>
  <si>
    <t>GB/20250930061855</t>
  </si>
  <si>
    <t>I Ketut  Kurniawan</t>
  </si>
  <si>
    <t>GB/20250930063637</t>
  </si>
  <si>
    <t>GB/20250930064802</t>
  </si>
  <si>
    <t>GB/20250930064944</t>
  </si>
  <si>
    <t>GB/20250930065043</t>
  </si>
  <si>
    <t>cici</t>
  </si>
  <si>
    <t>cici@mail.com</t>
  </si>
  <si>
    <t>GB/20250930065125</t>
  </si>
  <si>
    <t>GB/20250930065202</t>
  </si>
  <si>
    <t>Meksi</t>
  </si>
  <si>
    <t>meksiklook1135@mailinator.com</t>
  </si>
  <si>
    <t>GB/20250930073642</t>
  </si>
  <si>
    <t>MEKS301536@MAILINATOR.COM</t>
  </si>
  <si>
    <t>GB/20250930074124</t>
  </si>
  <si>
    <t>GB/20250930080424</t>
  </si>
  <si>
    <t>Tania</t>
  </si>
  <si>
    <t>tania@gmail.com</t>
  </si>
  <si>
    <t>GB/20250930084023</t>
  </si>
  <si>
    <t>steffani</t>
  </si>
  <si>
    <t>steffani@gmail.com</t>
  </si>
  <si>
    <t>GB/20250930090349</t>
  </si>
  <si>
    <t>MEKS301703@MAILINATOR.COM</t>
  </si>
  <si>
    <t>GB/20250930090845</t>
  </si>
  <si>
    <t>Michelle Downy</t>
  </si>
  <si>
    <t>michelle@gmail.com</t>
  </si>
  <si>
    <t>GB/20250930110643</t>
  </si>
  <si>
    <t>ASIALINK HOLIDAY</t>
  </si>
  <si>
    <t>reservation_id@asialink-holidays.com</t>
  </si>
  <si>
    <t>GB/20250930150108</t>
  </si>
  <si>
    <t>MEKS302300POS</t>
  </si>
  <si>
    <t>GB/20250930150831</t>
  </si>
  <si>
    <t>MEKS302307@MAILINATOR.COM</t>
  </si>
  <si>
    <t>GB/20250930160404</t>
  </si>
  <si>
    <t>Putu Ngurah Surya Sastra  Windu</t>
  </si>
  <si>
    <t>GB/20250930163859</t>
  </si>
  <si>
    <t>MEKS1OCTPOS</t>
  </si>
  <si>
    <t>MEKS1OCTPOS@MAILINATOR.COM</t>
  </si>
  <si>
    <t>GB/20250930164646</t>
  </si>
  <si>
    <t>MEKS1OCTPOS0046</t>
  </si>
  <si>
    <t>MEKS1OCTPOS0046@MAILINATOR.COM</t>
  </si>
  <si>
    <t>GB/20250930165719</t>
  </si>
  <si>
    <t>MEKSPOSOCT0056</t>
  </si>
  <si>
    <t>MEKSPOSOCT0056@MAILINATOR.COM</t>
  </si>
  <si>
    <t>GB/20250930170800</t>
  </si>
  <si>
    <t>GB/20250930171350</t>
  </si>
  <si>
    <t>MEKS1OCTPOS0112</t>
  </si>
  <si>
    <t>MEKS1OCTPOS0112@MAILINATOR.COM</t>
  </si>
  <si>
    <t>GB/20250930171846</t>
  </si>
  <si>
    <t>Oliver Morgan Ganteng</t>
  </si>
  <si>
    <t>ollym@me.com</t>
  </si>
  <si>
    <t>United Kingdom</t>
  </si>
  <si>
    <t>GB/20250930172637</t>
  </si>
  <si>
    <t>MEKS1OCT0126</t>
  </si>
  <si>
    <t>MEKS1OCT0126@MAILINATOR.COM</t>
  </si>
  <si>
    <t>GB/20250930173529</t>
  </si>
  <si>
    <t>GB/20250930174542</t>
  </si>
  <si>
    <t>MEKS1OCT0145</t>
  </si>
  <si>
    <t>MEKS1OCT0145@MAILINATOR.COM</t>
  </si>
  <si>
    <t>GB/20250930180031</t>
  </si>
  <si>
    <t>MEKS010200@MAILINATOR.COM</t>
  </si>
  <si>
    <t>GB/20250930180141</t>
  </si>
  <si>
    <t>GB/20250930180945</t>
  </si>
  <si>
    <t xml:space="preserve">Dian  Handoko </t>
  </si>
  <si>
    <t>GB/20250930181045</t>
  </si>
  <si>
    <t>MEKS129POS</t>
  </si>
  <si>
    <t>MEKS129POS@MAILINATOR.COM</t>
  </si>
  <si>
    <t>GB/20250930181745</t>
  </si>
  <si>
    <t>MEKS10217</t>
  </si>
  <si>
    <t>MEKS10217@MAILINATOR.COM</t>
  </si>
  <si>
    <t>GB/20250930183622</t>
  </si>
  <si>
    <t>GB/20250930185623</t>
  </si>
  <si>
    <t>GB/20250930185916</t>
  </si>
  <si>
    <t>MEKSS</t>
  </si>
  <si>
    <t>MEKS1OCT0258@MAILINATOR.COM</t>
  </si>
  <si>
    <t>GB/20250930190757</t>
  </si>
  <si>
    <t>MEKS1OCT306@MAILINATOR.COM</t>
  </si>
  <si>
    <t>GB/20250930191742</t>
  </si>
  <si>
    <t>MEKS316@MAILINATOR.COM</t>
  </si>
  <si>
    <t>GB/20250930195134</t>
  </si>
  <si>
    <t>meks1oct0350@mailinator.com</t>
  </si>
  <si>
    <t>GB/20250930195258</t>
  </si>
  <si>
    <t>meks1oct0351@mailinator.com</t>
  </si>
  <si>
    <t>GB/20250930200027</t>
  </si>
  <si>
    <t>MEKS0359@MAILINATOR.COM</t>
  </si>
  <si>
    <t>GB/20250930202119</t>
  </si>
  <si>
    <t>GB/20250930202812</t>
  </si>
  <si>
    <t>MEKSS01427</t>
  </si>
  <si>
    <t>MEKSS01427@MAILINATOR.COM</t>
  </si>
  <si>
    <t>GB/20250930203214</t>
  </si>
  <si>
    <t>GB/20251001023913</t>
  </si>
  <si>
    <t>Ikuji</t>
  </si>
  <si>
    <t>Ikuji@m.com</t>
  </si>
  <si>
    <t>GB/20251001024257</t>
  </si>
  <si>
    <t>Imin</t>
  </si>
  <si>
    <t>imin@m.com</t>
  </si>
  <si>
    <t>Afghanistan</t>
  </si>
  <si>
    <t>GB/20251001025224</t>
  </si>
  <si>
    <t>nana</t>
  </si>
  <si>
    <t>nana@gmail.com</t>
  </si>
  <si>
    <t>GB/20251001030236</t>
  </si>
  <si>
    <t>Nunu</t>
  </si>
  <si>
    <t>Nunu@ma.com</t>
  </si>
  <si>
    <t>GB/20251001030650</t>
  </si>
  <si>
    <t>Mitha</t>
  </si>
  <si>
    <t>mitha@gmail.com</t>
  </si>
  <si>
    <t>GB/20251001040540</t>
  </si>
  <si>
    <t>GB/20251001040824</t>
  </si>
  <si>
    <t>GB/20251001040852</t>
  </si>
  <si>
    <t>Vincent Vincent</t>
  </si>
  <si>
    <t>vincent@gmail.com</t>
  </si>
  <si>
    <t>GB/20251001054230</t>
  </si>
  <si>
    <t>MEKS1OCT1341</t>
  </si>
  <si>
    <t>MEKS1OCT1341@MAILINATOR.COM</t>
  </si>
  <si>
    <t>GB/20251001062341</t>
  </si>
  <si>
    <t>GB/20251001064310</t>
  </si>
  <si>
    <t>MEKS1OCT1442</t>
  </si>
  <si>
    <t>MEKS1OCT1442@MAILINATOR.COM</t>
  </si>
  <si>
    <t>GB/20251001065726</t>
  </si>
  <si>
    <t>REFUND DEPOSIT</t>
  </si>
  <si>
    <t>GB/20251001071118</t>
  </si>
  <si>
    <t>Meks11510</t>
  </si>
  <si>
    <t>meks11510@mailinator.com</t>
  </si>
  <si>
    <t>GB/20251001071529</t>
  </si>
  <si>
    <t>Ayunda</t>
  </si>
  <si>
    <t>ayunda@waterbom-bali.com</t>
  </si>
  <si>
    <t>GB/20251001072704</t>
  </si>
  <si>
    <t>GB/20251001072939</t>
  </si>
  <si>
    <t>Bianca Liza</t>
  </si>
  <si>
    <t>bianca@gmail.com</t>
  </si>
  <si>
    <t>GB/20251001073705</t>
  </si>
  <si>
    <t>GB/20251001074719</t>
  </si>
  <si>
    <t>Putu Ayu</t>
  </si>
  <si>
    <t>putuayu@gmail.com</t>
  </si>
  <si>
    <t>GB/20251001074802</t>
  </si>
  <si>
    <t>GB/20251001075610</t>
  </si>
  <si>
    <t>GB/20251001082912</t>
  </si>
  <si>
    <t>GB/20251001083105</t>
  </si>
  <si>
    <t>wijayanti</t>
  </si>
  <si>
    <t>wijayanti@mail.com</t>
  </si>
  <si>
    <t>GB/20251001083232</t>
  </si>
  <si>
    <t>GB/20251001083904</t>
  </si>
  <si>
    <t>GB/20251001085453</t>
  </si>
  <si>
    <t>GB/20251001091612</t>
  </si>
  <si>
    <t>MEKSI11715@MAILINATOR.COM</t>
  </si>
  <si>
    <t>GB/20251001093125</t>
  </si>
  <si>
    <t>GB/20251001094625</t>
  </si>
  <si>
    <t>AYANA RESORT</t>
  </si>
  <si>
    <t>GB/20251001095040</t>
  </si>
  <si>
    <t>Iwan Prasetyo</t>
  </si>
  <si>
    <t>GB/20251001102518</t>
  </si>
  <si>
    <t>andy putra</t>
  </si>
  <si>
    <t>Zimbabwe</t>
  </si>
  <si>
    <t>GB/20251001131105</t>
  </si>
  <si>
    <t>GB/20251001131116</t>
  </si>
  <si>
    <t>GB/20251001152534</t>
  </si>
  <si>
    <t>MEKS01TENGAHMALEM@MAILINATOR.COM</t>
  </si>
  <si>
    <t>GB/20251001152725</t>
  </si>
  <si>
    <t>GB/20251001153255</t>
  </si>
  <si>
    <t>Masse 0</t>
  </si>
  <si>
    <t>MEKS1OCT2332@MAILINATOR.COM</t>
  </si>
  <si>
    <t>GB/20251001161755</t>
  </si>
  <si>
    <t>Masse Sama Prihatinto</t>
  </si>
  <si>
    <t>meks2oct0017@mailinator.com</t>
  </si>
  <si>
    <t>GB/20251001161822</t>
  </si>
  <si>
    <t>GB/20251001161832</t>
  </si>
  <si>
    <t>GB/20251001163114</t>
  </si>
  <si>
    <t>GB/20251001163307</t>
  </si>
  <si>
    <t>Dewa Ayu Lydia Wulandari</t>
  </si>
  <si>
    <t>Magic Ice Lemoned</t>
  </si>
  <si>
    <t>GB/20251001163559</t>
  </si>
  <si>
    <t xml:space="preserve">I Gusti Ayu  Asri Noviani, SE </t>
  </si>
  <si>
    <t>GB/20251001173313</t>
  </si>
  <si>
    <t>meks2oct0132@mailinator.com</t>
  </si>
  <si>
    <t>GB/20251001175300</t>
  </si>
  <si>
    <t>meks020152@mailinator.com</t>
  </si>
  <si>
    <t>GB/20251001181215</t>
  </si>
  <si>
    <t>Meks</t>
  </si>
  <si>
    <t>meks020208@mailinator.com</t>
  </si>
  <si>
    <t>GB/20251001181845</t>
  </si>
  <si>
    <t>meks020218@mailinator.com</t>
  </si>
  <si>
    <t>GB/20251001184102</t>
  </si>
  <si>
    <t>meks20240@mailinator.com</t>
  </si>
  <si>
    <t>GB/20251001185702</t>
  </si>
  <si>
    <t>Meksssssss</t>
  </si>
  <si>
    <t>mekss2256@mailinator.com</t>
  </si>
  <si>
    <t>GB/20251001190847</t>
  </si>
  <si>
    <t>meksss020308@mailinator.com</t>
  </si>
  <si>
    <t>GB/20251002003849</t>
  </si>
  <si>
    <t>PAIGE1</t>
  </si>
  <si>
    <t>test1@mail.com</t>
  </si>
  <si>
    <t>GB/20251002004251</t>
  </si>
  <si>
    <t>michael</t>
  </si>
  <si>
    <t>test2@mail.com</t>
  </si>
  <si>
    <t>GB/20251002004417</t>
  </si>
  <si>
    <t>Mega</t>
  </si>
  <si>
    <t>test3@mail.com</t>
  </si>
  <si>
    <t>GB/20251002004650</t>
  </si>
  <si>
    <t>TEST 3 MNM</t>
  </si>
  <si>
    <t>test3@gmail.com</t>
  </si>
  <si>
    <t>GB/20251002004839</t>
  </si>
  <si>
    <t>YAYUK</t>
  </si>
  <si>
    <t>test4@gmail.com</t>
  </si>
  <si>
    <t>GB/20251002004934</t>
  </si>
  <si>
    <t>TEST 5 MNM</t>
  </si>
  <si>
    <t>test5@gmail.com</t>
  </si>
  <si>
    <t>GB/20251002015950</t>
  </si>
  <si>
    <t>TEST 6 MNM</t>
  </si>
  <si>
    <t>test6@gmail.com</t>
  </si>
  <si>
    <t>GB/20251002030756</t>
  </si>
  <si>
    <t>Meks Hai</t>
  </si>
  <si>
    <t>meks021107@mailinator.com</t>
  </si>
  <si>
    <t>GB/20251002031845</t>
  </si>
  <si>
    <t>GB/20251002032903</t>
  </si>
  <si>
    <t>Masse Atu</t>
  </si>
  <si>
    <t>meks21119@mailinator.com</t>
  </si>
  <si>
    <t>GB/20251002040500</t>
  </si>
  <si>
    <t>Kikan</t>
  </si>
  <si>
    <t>kikan@gmail.com</t>
  </si>
  <si>
    <t>GB/20251002042356</t>
  </si>
  <si>
    <t>GB/20251002042740</t>
  </si>
  <si>
    <t>Gionino</t>
  </si>
  <si>
    <t>gio@gmail.com</t>
  </si>
  <si>
    <t>GB/20251002043635</t>
  </si>
  <si>
    <t>meks21230@mailinator.com</t>
  </si>
  <si>
    <t>GB/20251002043958</t>
  </si>
  <si>
    <t>Masse Ua</t>
  </si>
  <si>
    <t>meks21239@mailinator.com</t>
  </si>
  <si>
    <t>GB/20251002054839</t>
  </si>
  <si>
    <t>GB/20251002062427</t>
  </si>
  <si>
    <t>Arini</t>
  </si>
  <si>
    <t>arini@gmail.com</t>
  </si>
  <si>
    <t>GB/20251002063908</t>
  </si>
  <si>
    <t>Boim Boim</t>
  </si>
  <si>
    <t>GB/20251002065441</t>
  </si>
  <si>
    <t>Meks21454</t>
  </si>
  <si>
    <t>Meks21454@mailinator.com</t>
  </si>
  <si>
    <t>GB/20251002070046</t>
  </si>
  <si>
    <t>Meks21500</t>
  </si>
  <si>
    <t>meks21500@Mailinator.com</t>
  </si>
  <si>
    <t>GB/20251002070307</t>
  </si>
  <si>
    <t>Udara Bali</t>
  </si>
  <si>
    <t>reservation@waterbom-bali.com</t>
  </si>
  <si>
    <t>GB/20251002072301</t>
  </si>
  <si>
    <t>Made Dian</t>
  </si>
  <si>
    <t>madedian@gmail.com</t>
  </si>
  <si>
    <t>GB/20251002074308</t>
  </si>
  <si>
    <t>The Alantara Sanur</t>
  </si>
  <si>
    <t>GB/20251002075945</t>
  </si>
  <si>
    <t>test Testing</t>
  </si>
  <si>
    <t>synthetics@mail.co</t>
  </si>
  <si>
    <t>GB/20251002080622</t>
  </si>
  <si>
    <t>GB/20251002081346</t>
  </si>
  <si>
    <t>Smokey BBQ Burger</t>
  </si>
  <si>
    <t>Chicken Baguette</t>
  </si>
  <si>
    <t>044f-c367-46ae</t>
  </si>
  <si>
    <t>GB/20251002081516</t>
  </si>
  <si>
    <t>GB/20251002081959</t>
  </si>
  <si>
    <t>GB/20251002082000</t>
  </si>
  <si>
    <t>GB/20251002082556</t>
  </si>
  <si>
    <t>GB/20251002090019</t>
  </si>
  <si>
    <t>Janet test</t>
  </si>
  <si>
    <t>test@test.com</t>
  </si>
  <si>
    <t>GB/20251002091720</t>
  </si>
  <si>
    <t>INTERCONTINENTAL BALI SANUR</t>
  </si>
  <si>
    <t>GB/20251002104450</t>
  </si>
  <si>
    <t>GB/20251002113319</t>
  </si>
  <si>
    <t>KCe KC TEST</t>
  </si>
  <si>
    <t>kokchun.lee@klook.com</t>
  </si>
  <si>
    <t>Malaysia</t>
  </si>
  <si>
    <t>GB/20251002131010</t>
  </si>
  <si>
    <t>GB/20251002132014</t>
  </si>
  <si>
    <t>GB/20251002132222</t>
  </si>
  <si>
    <t xml:space="preserve">Agus Botak </t>
  </si>
  <si>
    <t>botak@gmail.com</t>
  </si>
  <si>
    <t>GB/20251002141141</t>
  </si>
  <si>
    <t>GB/20251002141742</t>
  </si>
  <si>
    <t>GB/20251002142548</t>
  </si>
  <si>
    <t>meks02225@mailinator.com</t>
  </si>
  <si>
    <t>GB/20251002145312</t>
  </si>
  <si>
    <t>Meks22251</t>
  </si>
  <si>
    <t>Meks22251@mailinator.com</t>
  </si>
  <si>
    <t>GB/20251002152930</t>
  </si>
  <si>
    <t>meks2oc2328@mailinator.com</t>
  </si>
  <si>
    <t>GB/20251002163055</t>
  </si>
  <si>
    <t>GB/20251002163754</t>
  </si>
  <si>
    <t>MEKS30037</t>
  </si>
  <si>
    <t>MEKS30037@MAILINATOR.COM</t>
  </si>
  <si>
    <t>GB/20251002164345</t>
  </si>
  <si>
    <t>MEKS30043</t>
  </si>
  <si>
    <t>MEKS30043@MAILINATOR.COM</t>
  </si>
  <si>
    <t>Deluxe Plus Gazebo</t>
  </si>
  <si>
    <t>GB/20251002164730</t>
  </si>
  <si>
    <t>MEKS30047</t>
  </si>
  <si>
    <t>MEKS30047@MAILINATOR.COM</t>
  </si>
  <si>
    <t>GB/20251002165639</t>
  </si>
  <si>
    <t>MEKS3OCT0056</t>
  </si>
  <si>
    <t>MEKS3OCT0056@MAILINATOR.COM</t>
  </si>
  <si>
    <t>VIP Gazebo</t>
  </si>
  <si>
    <t>GB/20251002170359</t>
  </si>
  <si>
    <t>MEKSI030102</t>
  </si>
  <si>
    <t>MEKSI030102@MAILINATOR.COM</t>
  </si>
  <si>
    <t>GB/20251002170854</t>
  </si>
  <si>
    <t>MEKS30108</t>
  </si>
  <si>
    <t>MEKS30108@MAILINATOR.COM</t>
  </si>
  <si>
    <t>GB/20251003012952</t>
  </si>
  <si>
    <t>Risna FO</t>
  </si>
  <si>
    <t>Virgin Islands (USA)</t>
  </si>
  <si>
    <t>GB/20251003014116</t>
  </si>
  <si>
    <t xml:space="preserve">I Wayan Gede  Nuriastha </t>
  </si>
  <si>
    <t>GB/20251003020230</t>
  </si>
  <si>
    <t>GB/20251003020319</t>
  </si>
  <si>
    <t>GB/20251003020448</t>
  </si>
  <si>
    <t>GB/20251003020723</t>
  </si>
  <si>
    <t>GB/20251003020936</t>
  </si>
  <si>
    <t>GB/20251003021031</t>
  </si>
  <si>
    <t>GB/20251003032605</t>
  </si>
  <si>
    <t>BILLY</t>
  </si>
  <si>
    <t>testretail@gmail.com</t>
  </si>
  <si>
    <t>GB/20251003033226</t>
  </si>
  <si>
    <t>GB/20251003035026</t>
  </si>
  <si>
    <t>RETAIL TEST 2</t>
  </si>
  <si>
    <t>retailtest2@gmail.com</t>
  </si>
  <si>
    <t>GB/20251003043132</t>
  </si>
  <si>
    <t>Annisa Rachmawati</t>
  </si>
  <si>
    <t>Agent Price ANA (IDR)</t>
  </si>
  <si>
    <t>GB/20251003043456</t>
  </si>
  <si>
    <t>Biaya</t>
  </si>
  <si>
    <t>GB/20251003054337</t>
  </si>
  <si>
    <t>GB/20251003073438</t>
  </si>
  <si>
    <t>GB/20251003074022</t>
  </si>
  <si>
    <t>Retail Redeem</t>
  </si>
  <si>
    <t>retailredeem@mailinator.com</t>
  </si>
  <si>
    <t>GB/20251003081033</t>
  </si>
  <si>
    <t>GB/20251003085559</t>
  </si>
  <si>
    <t>Redeem Lagi</t>
  </si>
  <si>
    <t>retailredeem1@mailinator.com</t>
  </si>
  <si>
    <t>GB/20251003090909</t>
  </si>
  <si>
    <t>GB/20251003130955</t>
  </si>
  <si>
    <t>GB/20251003131017</t>
  </si>
  <si>
    <t>GB/20251004060302</t>
  </si>
  <si>
    <t>PUTRI</t>
  </si>
  <si>
    <t>trial@gmail.com</t>
  </si>
  <si>
    <t>GB/20251004060448</t>
  </si>
  <si>
    <t>GB/20251004060624</t>
  </si>
  <si>
    <t>GB/20251004060724</t>
  </si>
  <si>
    <t>GB/20251004071504</t>
  </si>
  <si>
    <t>GB/20251004084036</t>
  </si>
  <si>
    <t>GB/20251004084147</t>
  </si>
  <si>
    <t>GB/20251004085557</t>
  </si>
  <si>
    <t>GB/20251004085631</t>
  </si>
  <si>
    <t>GB/20251004085659</t>
  </si>
  <si>
    <t>GB/20251004085812</t>
  </si>
  <si>
    <t>IKA CHECK</t>
  </si>
  <si>
    <t>ika@gmail.com</t>
  </si>
  <si>
    <t>GB/20251004132503</t>
  </si>
  <si>
    <t>Meksi A</t>
  </si>
  <si>
    <t>meksikaryawana@mailinator.com</t>
  </si>
  <si>
    <t>GB/20251005063444</t>
  </si>
  <si>
    <t>GB/20251005063803</t>
  </si>
  <si>
    <t>GB/20251005063903</t>
  </si>
  <si>
    <t>GB/20251005063950</t>
  </si>
  <si>
    <t>GB/20251005064102</t>
  </si>
  <si>
    <t>GB/20251005065514</t>
  </si>
  <si>
    <t>GB/20251005114003</t>
  </si>
  <si>
    <t>a bb</t>
  </si>
  <si>
    <t>aaaa@gmail.com</t>
  </si>
  <si>
    <t>Double Decker Grilled Cheese</t>
  </si>
  <si>
    <t>GB/20251005155508</t>
  </si>
  <si>
    <t>Nurwan Yuliadi</t>
  </si>
  <si>
    <t>GB/20251005160413</t>
  </si>
  <si>
    <t>GB/20251006004902</t>
  </si>
  <si>
    <t>GB/20251006004958</t>
  </si>
  <si>
    <t>GB/20251006005258</t>
  </si>
  <si>
    <t>GB/20251006005502</t>
  </si>
  <si>
    <t>GB/20251006005608</t>
  </si>
  <si>
    <t>GB/20251006012643</t>
  </si>
  <si>
    <t>French Fries</t>
  </si>
  <si>
    <t>Spicy Tuna</t>
  </si>
  <si>
    <t>GB/20251006013913</t>
  </si>
  <si>
    <t>meks060938@maiinator.com</t>
  </si>
  <si>
    <t>GB/20251006014019</t>
  </si>
  <si>
    <t>meks060939@mailinator.com</t>
  </si>
  <si>
    <t>GB/20251006014234</t>
  </si>
  <si>
    <t>meks060942@mailinator.com</t>
  </si>
  <si>
    <t>WB BUTTER POPCORN</t>
  </si>
  <si>
    <t>GB/20251006014403</t>
  </si>
  <si>
    <t>Meks060943</t>
  </si>
  <si>
    <t>meks060943@mailinator.com</t>
  </si>
  <si>
    <t>GB/20251006014644</t>
  </si>
  <si>
    <t>Meks060945</t>
  </si>
  <si>
    <t>Meks060945@mailinator.com</t>
  </si>
  <si>
    <t>Chicken Gyoza</t>
  </si>
  <si>
    <t>Veggie Gyoza</t>
  </si>
  <si>
    <t>GB/20251006014929</t>
  </si>
  <si>
    <t>Meks060949</t>
  </si>
  <si>
    <t>Meks060949@mailinator.com</t>
  </si>
  <si>
    <t>GB/20251006025533</t>
  </si>
  <si>
    <t>GB/20251006025837</t>
  </si>
  <si>
    <t>GB/20251006030441</t>
  </si>
  <si>
    <t>WARSINI</t>
  </si>
  <si>
    <t xml:space="preserve">trial@waterbom-bali.com </t>
  </si>
  <si>
    <t>GB/20251006034412</t>
  </si>
  <si>
    <t>meks061143@mailinator.com</t>
  </si>
  <si>
    <t>GB/20251006034513</t>
  </si>
  <si>
    <t>GB/20251006035004</t>
  </si>
  <si>
    <t>GB/20251006040300</t>
  </si>
  <si>
    <t>BRAD</t>
  </si>
  <si>
    <t>brad@gmail.com</t>
  </si>
  <si>
    <t>GB/20251006040912</t>
  </si>
  <si>
    <t>GB/20251006042333</t>
  </si>
  <si>
    <t>Meks061222</t>
  </si>
  <si>
    <t>Meks061222@mailinator.com</t>
  </si>
  <si>
    <t>GB/20251006042813</t>
  </si>
  <si>
    <t>Oza Oza</t>
  </si>
  <si>
    <t>meks61227@mailinator.com</t>
  </si>
  <si>
    <t>GB/20251006043918</t>
  </si>
  <si>
    <t>Meks061233</t>
  </si>
  <si>
    <t>Meks061233@mailinator.com</t>
  </si>
  <si>
    <t>GB/20251006050044</t>
  </si>
  <si>
    <t>Meks61300</t>
  </si>
  <si>
    <t>Meks61300@mailinator.com</t>
  </si>
  <si>
    <t>GB/20251006050347</t>
  </si>
  <si>
    <t>MeksiLocker</t>
  </si>
  <si>
    <t>meksilocker@mailinator.com</t>
  </si>
  <si>
    <t>GB/20251006055227</t>
  </si>
  <si>
    <t>Meks61351</t>
  </si>
  <si>
    <t>Meks61351@mailinator.com</t>
  </si>
  <si>
    <t>GB/20251006055504</t>
  </si>
  <si>
    <t>meks61354@mailinator.com</t>
  </si>
  <si>
    <t>GB/20251006064900</t>
  </si>
  <si>
    <t>Test rental</t>
  </si>
  <si>
    <t>rent.test@mail.com</t>
  </si>
  <si>
    <t>GB/20251006065708</t>
  </si>
  <si>
    <t>meks1456@mailinator.com</t>
  </si>
  <si>
    <t>GB/20251006065916</t>
  </si>
  <si>
    <t>Elly elly</t>
  </si>
  <si>
    <t>ellyellly@gmail.com</t>
  </si>
  <si>
    <t>GB/20251006070902</t>
  </si>
  <si>
    <t>MEKS061508@MAILINATOR.COM</t>
  </si>
  <si>
    <t>GB/20251006071507</t>
  </si>
  <si>
    <t>Calamari &amp; Curly Fries</t>
  </si>
  <si>
    <t>Chicken Nuggets</t>
  </si>
  <si>
    <t>GB/20251006071624</t>
  </si>
  <si>
    <t>GB/20251006073809</t>
  </si>
  <si>
    <t>meks61537@mailinator.com</t>
  </si>
  <si>
    <t>GB/20251006073853</t>
  </si>
  <si>
    <t>made test</t>
  </si>
  <si>
    <t>made@mail.com</t>
  </si>
  <si>
    <t>GB/20251006074437</t>
  </si>
  <si>
    <t>made trial</t>
  </si>
  <si>
    <t>madee@mail.com</t>
  </si>
  <si>
    <t>GB/20251006075520</t>
  </si>
  <si>
    <t>nurwan</t>
  </si>
  <si>
    <t>DECAF Americano hot</t>
  </si>
  <si>
    <t>Extra shot coffee</t>
  </si>
  <si>
    <t>GB/20251006075551</t>
  </si>
  <si>
    <t>Meks61555</t>
  </si>
  <si>
    <t>Meks61555@mailinator.com</t>
  </si>
  <si>
    <t>GB/20251006081655</t>
  </si>
  <si>
    <t>GB/20251006085419</t>
  </si>
  <si>
    <t>Made dian</t>
  </si>
  <si>
    <t>Madedian@gmail.com</t>
  </si>
  <si>
    <t>GB/20251006093118</t>
  </si>
  <si>
    <t>Tester</t>
  </si>
  <si>
    <t>tester@mailinator.com</t>
  </si>
  <si>
    <t>GB/20251006100055</t>
  </si>
  <si>
    <t>GB/20251006101327</t>
  </si>
  <si>
    <t>GB/20251006115955</t>
  </si>
  <si>
    <t>Meks061959@mailinator.com</t>
  </si>
  <si>
    <t>GB/20251006130821</t>
  </si>
  <si>
    <t>GB/20251006130822</t>
  </si>
  <si>
    <t>GB/20251006133708</t>
  </si>
  <si>
    <t>GB/20251006155116</t>
  </si>
  <si>
    <t>Meks62350</t>
  </si>
  <si>
    <t>Meks62350@mailinator.com</t>
  </si>
  <si>
    <t>GB/20251006155715</t>
  </si>
  <si>
    <t>meks62355@mailinator.com</t>
  </si>
  <si>
    <t>GB/20251006164905</t>
  </si>
  <si>
    <t>Family Tickets - All Market</t>
  </si>
  <si>
    <t>GB/20251006172843</t>
  </si>
  <si>
    <t>boleh banget</t>
  </si>
  <si>
    <t>bolehbanget@gmail.com</t>
  </si>
  <si>
    <t>GB/20251006181422</t>
  </si>
  <si>
    <t>kalobisaoke</t>
  </si>
  <si>
    <t>kalobisaoke@gmail.com</t>
  </si>
  <si>
    <t>GB/20251006182908</t>
  </si>
  <si>
    <t>okejooja</t>
  </si>
  <si>
    <t>okejooja@gmail.com</t>
  </si>
  <si>
    <t>GB/20251007024612</t>
  </si>
  <si>
    <t>Meks7oct1045@mailinator.com</t>
  </si>
  <si>
    <t>GB/20251007025800</t>
  </si>
  <si>
    <t>MEKS71057@MAILINATOR.COM</t>
  </si>
  <si>
    <t>GB/20251007032130</t>
  </si>
  <si>
    <t>MEKS71120@MAILINATOR.COM</t>
  </si>
  <si>
    <t>GB/20251007032319</t>
  </si>
  <si>
    <t>GB/20251007032332</t>
  </si>
  <si>
    <t>Jessica Brown</t>
  </si>
  <si>
    <t>jessbrown@gmail.com</t>
  </si>
  <si>
    <t>GB/20251007034232</t>
  </si>
  <si>
    <t>Masse Atu Prihatinto</t>
  </si>
  <si>
    <t>meks71141@mailinator.com</t>
  </si>
  <si>
    <t>GB/20251007035328</t>
  </si>
  <si>
    <t>Meksi071152</t>
  </si>
  <si>
    <t>Meksi071152@mailinator.com</t>
  </si>
  <si>
    <t>GB/20251007040846</t>
  </si>
  <si>
    <t>MEKS71208@MAILINATOR.COM</t>
  </si>
  <si>
    <t>GB/20251007041250</t>
  </si>
  <si>
    <t>GB/20251007041330</t>
  </si>
  <si>
    <t>MAUREEN</t>
  </si>
  <si>
    <t>maureen@gmail.com</t>
  </si>
  <si>
    <t>GB/20251007042210</t>
  </si>
  <si>
    <t>MEKS71221</t>
  </si>
  <si>
    <t>MEKS71221@MAILINATOR.COM</t>
  </si>
  <si>
    <t>GB/20251007043515</t>
  </si>
  <si>
    <t>MEKS71234@MAILINATOR.COM</t>
  </si>
  <si>
    <t>GB/20251007052727</t>
  </si>
  <si>
    <t>KL01</t>
  </si>
  <si>
    <t>KL01@MAILINATOR.COM</t>
  </si>
  <si>
    <t>GB/20251007052847</t>
  </si>
  <si>
    <t>KL02</t>
  </si>
  <si>
    <t>KL02@mailinator.com</t>
  </si>
  <si>
    <t>GB/20251007053628</t>
  </si>
  <si>
    <t>KL03</t>
  </si>
  <si>
    <t>KL03@MAILINATOR.COM</t>
  </si>
  <si>
    <t>GB/20251007053952</t>
  </si>
  <si>
    <t>KL04</t>
  </si>
  <si>
    <t>KL04@MAILINATOR.COM</t>
  </si>
  <si>
    <t>GB/20251007054218</t>
  </si>
  <si>
    <t>KL05</t>
  </si>
  <si>
    <t>KL05@MAILINATOR.COM</t>
  </si>
  <si>
    <t>GB/20251007054951</t>
  </si>
  <si>
    <t>KL06</t>
  </si>
  <si>
    <t>KL06@MAILINATOR.COM</t>
  </si>
  <si>
    <t>GB/20251007055209</t>
  </si>
  <si>
    <t>KL07</t>
  </si>
  <si>
    <t>KL07@MAILINATOR.COM</t>
  </si>
  <si>
    <t>GB/20251007060249</t>
  </si>
  <si>
    <t>KL09</t>
  </si>
  <si>
    <t>KL09@MAILINATOR.COM</t>
  </si>
  <si>
    <t>GB/20251007061049</t>
  </si>
  <si>
    <t>GB/20251007061203</t>
  </si>
  <si>
    <t>GB/20251007061237</t>
  </si>
  <si>
    <t>071412@MAILINATOR.COM</t>
  </si>
  <si>
    <t>GB/20251007061239</t>
  </si>
  <si>
    <t>GB/20251007061355</t>
  </si>
  <si>
    <t>GB/20251007065912</t>
  </si>
  <si>
    <t>GB/20251007073922</t>
  </si>
  <si>
    <t>Tamara Ayu</t>
  </si>
  <si>
    <t>tamaraayu@gmail.com</t>
  </si>
  <si>
    <t>GB/20251007074649</t>
  </si>
  <si>
    <t>Jason Mark</t>
  </si>
  <si>
    <t>jason@gmail.com</t>
  </si>
  <si>
    <t>GB/20251007080017</t>
  </si>
  <si>
    <t>Ayuninda</t>
  </si>
  <si>
    <t>ayuninda@gmail.com</t>
  </si>
  <si>
    <t>GB/20251007080517</t>
  </si>
  <si>
    <t>Andrew White</t>
  </si>
  <si>
    <t>andre@gil.com</t>
  </si>
  <si>
    <t>GB/20251007081013</t>
  </si>
  <si>
    <t>Grilled Veg Pesto</t>
  </si>
  <si>
    <t>Potato &amp; anchovies</t>
  </si>
  <si>
    <t>GB/20251007081516</t>
  </si>
  <si>
    <t>GB/20251007084637</t>
  </si>
  <si>
    <t>25% on specific products</t>
  </si>
  <si>
    <t>GB/20251007084819</t>
  </si>
  <si>
    <t>GB/20251007092431</t>
  </si>
  <si>
    <t>Masse Aja Prihatinto</t>
  </si>
  <si>
    <t>meks71717@mailinator.com</t>
  </si>
  <si>
    <t>GB/20251007092511</t>
  </si>
  <si>
    <t>meks71710@mailinator.com</t>
  </si>
  <si>
    <t>GB/20251007092531</t>
  </si>
  <si>
    <t>meks71714@mailinator.com</t>
  </si>
  <si>
    <t>GB/20251007092927</t>
  </si>
  <si>
    <t>GB/20251007093502</t>
  </si>
  <si>
    <t>Hair oil 60ML (Wellkiss)</t>
  </si>
  <si>
    <t>GB/20251007100014</t>
  </si>
  <si>
    <t>Masse Hihi Prihatinto</t>
  </si>
  <si>
    <t>meks71759@mailinator.com</t>
  </si>
  <si>
    <t>GB/20251007100140</t>
  </si>
  <si>
    <t>meks71801@mailinator.com</t>
  </si>
  <si>
    <t>GB/20251007114342</t>
  </si>
  <si>
    <t>Masse Hai Prihatinto</t>
  </si>
  <si>
    <t>meks71942@mailinator.com</t>
  </si>
  <si>
    <t>GB/20251007130949</t>
  </si>
  <si>
    <t>GB/20251007130951</t>
  </si>
  <si>
    <t>GB/20251007131222</t>
  </si>
  <si>
    <t>Meks72111</t>
  </si>
  <si>
    <t>Meks72111@mailinator.com</t>
  </si>
  <si>
    <t>GB/20251007131801</t>
  </si>
  <si>
    <t>Meks72117</t>
  </si>
  <si>
    <t>Meks72117@mailinator.com</t>
  </si>
  <si>
    <t>GB/20251007133951</t>
  </si>
  <si>
    <t>Meks72137</t>
  </si>
  <si>
    <t>Meks72137@mailinator.com</t>
  </si>
  <si>
    <t>GB/20251007151703</t>
  </si>
  <si>
    <t>GB/20251008004538</t>
  </si>
  <si>
    <t>GB/20251008004620</t>
  </si>
  <si>
    <t>GB/20251008004658</t>
  </si>
  <si>
    <t>GB/20251008004857</t>
  </si>
  <si>
    <t>GB/20251008004949</t>
  </si>
  <si>
    <t>TEST MNM 5</t>
  </si>
  <si>
    <t>test5@mail.com</t>
  </si>
  <si>
    <t>TAIWAN</t>
  </si>
  <si>
    <t>GB/20251008005037</t>
  </si>
  <si>
    <t xml:space="preserve">TEST MNM 6 </t>
  </si>
  <si>
    <t>test6@mai.com</t>
  </si>
  <si>
    <t>GB/20251008012011</t>
  </si>
  <si>
    <t>Classic Burger</t>
  </si>
  <si>
    <t>Sprite 250ml by can</t>
  </si>
  <si>
    <t>GB/20251008014812</t>
  </si>
  <si>
    <t>Ravioli</t>
  </si>
  <si>
    <t>GB/20251008023915</t>
  </si>
  <si>
    <t>GB/20251008031109</t>
  </si>
  <si>
    <t>SB01</t>
  </si>
  <si>
    <t>SB01@EMAILPALSU.COM</t>
  </si>
  <si>
    <t>GB/20251008032215</t>
  </si>
  <si>
    <t>SBNOLDUA</t>
  </si>
  <si>
    <t>SB02@EMAILPALSU.COM</t>
  </si>
  <si>
    <t>GB/20251008032930</t>
  </si>
  <si>
    <t>SBNOLTIGA</t>
  </si>
  <si>
    <t>SBNOLTIGA@EMAILPALSU.COM</t>
  </si>
  <si>
    <t>GB/20251008033618</t>
  </si>
  <si>
    <t>SBNOLEMPAT</t>
  </si>
  <si>
    <t>SBNOLEMPAT@emailpalsu.com</t>
  </si>
  <si>
    <t>GB/20251008041024</t>
  </si>
  <si>
    <t>SBNOLLIMA</t>
  </si>
  <si>
    <t>SBNOLLIMA@emailpalsu.com</t>
  </si>
  <si>
    <t>GB/20251008042216</t>
  </si>
  <si>
    <t>SBNOLENAM</t>
  </si>
  <si>
    <t>SBNOLENAM@mailinator.com</t>
  </si>
  <si>
    <t>GB/20251008042844</t>
  </si>
  <si>
    <t>GB/20251008052514</t>
  </si>
  <si>
    <t>GB/20251008054033</t>
  </si>
  <si>
    <t>Training Satu FO</t>
  </si>
  <si>
    <t>trainingsatufo@mailinator.com</t>
  </si>
  <si>
    <t>GB/20251008054210</t>
  </si>
  <si>
    <t>Training Dua FO</t>
  </si>
  <si>
    <t>trainingduafo@mailinator.com</t>
  </si>
  <si>
    <t>GB/20251008054416</t>
  </si>
  <si>
    <t>utik lagi</t>
  </si>
  <si>
    <t>trainingtigafo@mailinator.com</t>
  </si>
  <si>
    <t>GB/20251008055220</t>
  </si>
  <si>
    <t>GB/20251008061523</t>
  </si>
  <si>
    <t>GB/20251008062253</t>
  </si>
  <si>
    <t>UTIK</t>
  </si>
  <si>
    <t>utik@emailpalsu.com</t>
  </si>
  <si>
    <t>GB/20251008065730</t>
  </si>
  <si>
    <t>wijayantites@mail.com</t>
  </si>
  <si>
    <t>GB/20251008071548</t>
  </si>
  <si>
    <t xml:space="preserve">meitri puspita </t>
  </si>
  <si>
    <t>cashier@waterbom</t>
  </si>
  <si>
    <t>GB/20251008071640</t>
  </si>
  <si>
    <t>Utik Globaltix</t>
  </si>
  <si>
    <t>utikglobaltix@mailinator.com</t>
  </si>
  <si>
    <t>GB/20251008073711</t>
  </si>
  <si>
    <t>GB/20251008075230</t>
  </si>
  <si>
    <t>Utik Dua Globaltix</t>
  </si>
  <si>
    <t>utikduaglobaltix@mailinator.com</t>
  </si>
  <si>
    <t>GB/20251008075426</t>
  </si>
  <si>
    <t>Espresso Hot Double</t>
  </si>
  <si>
    <t>GB/20251008080508</t>
  </si>
  <si>
    <t>Spicy Chicken Burger</t>
  </si>
  <si>
    <t>GB/20251008085739</t>
  </si>
  <si>
    <t>meks81655@mailinator.com</t>
  </si>
  <si>
    <t>GB/20251008090258</t>
  </si>
  <si>
    <t>GB/20251008090303</t>
  </si>
  <si>
    <t>Kadek</t>
  </si>
  <si>
    <t>GB/20251008090344</t>
  </si>
  <si>
    <t>GB/20251008090703</t>
  </si>
  <si>
    <t>F Clarissa</t>
  </si>
  <si>
    <t>GB/20251008091542</t>
  </si>
  <si>
    <t>Reuben</t>
  </si>
  <si>
    <t>GB/20251008091615</t>
  </si>
  <si>
    <t>Veggie Skewer</t>
  </si>
  <si>
    <t>GB/20251008093705</t>
  </si>
  <si>
    <t>GB/20251008102448</t>
  </si>
  <si>
    <t>meks81822@mailinator.com</t>
  </si>
  <si>
    <t>GB/20251008124022</t>
  </si>
  <si>
    <t>alek mania</t>
  </si>
  <si>
    <t>alekmania@mail.com</t>
  </si>
  <si>
    <t>GB/20251008130652</t>
  </si>
  <si>
    <t>GB/20251008130724</t>
  </si>
  <si>
    <t>GB/20251008144456</t>
  </si>
  <si>
    <t>Masse HEHE Prihatinto</t>
  </si>
  <si>
    <t>MEKS82244@MAILINATOR.COM</t>
  </si>
  <si>
    <t>GB/20251008151929</t>
  </si>
  <si>
    <t>Masse HAHAI Prihatinto</t>
  </si>
  <si>
    <t>MEKS82318@MALINATOR.COM</t>
  </si>
  <si>
    <t>GB/20251008152933</t>
  </si>
  <si>
    <t>WISATU</t>
  </si>
  <si>
    <t>WISATU@MAILINATOR.COM</t>
  </si>
  <si>
    <t>GB/20251008153221</t>
  </si>
  <si>
    <t>WIDUA</t>
  </si>
  <si>
    <t>WIDUA@mailinator.com</t>
  </si>
  <si>
    <t>GB/20251008153429</t>
  </si>
  <si>
    <t>WITIGA</t>
  </si>
  <si>
    <t>WITIGA@MAILINATOR.COM</t>
  </si>
  <si>
    <t>GB/20251008153619</t>
  </si>
  <si>
    <t>WIEMPAT</t>
  </si>
  <si>
    <t>WIEMPAT@MAILINATOR.COM</t>
  </si>
  <si>
    <t>GB/20251008154029</t>
  </si>
  <si>
    <t>Mems</t>
  </si>
  <si>
    <t>Mems@mailinator.com</t>
  </si>
  <si>
    <t>GB/20251009004820</t>
  </si>
  <si>
    <t>GB/20251009005003</t>
  </si>
  <si>
    <t>GB/20251009005037</t>
  </si>
  <si>
    <t>GB/20251009005109</t>
  </si>
  <si>
    <t>GB/20251009005140</t>
  </si>
  <si>
    <t>GB/20251009005220</t>
  </si>
  <si>
    <t>GB/20251009034129</t>
  </si>
  <si>
    <t>GB/20251009052034</t>
  </si>
  <si>
    <t>GB/20251009053038</t>
  </si>
  <si>
    <t>meks91330@mailinator.com</t>
  </si>
  <si>
    <t>GB/20251009053527</t>
  </si>
  <si>
    <t>Masse Hehe Prihatinto</t>
  </si>
  <si>
    <t>meks9oct1334@mailinator.com</t>
  </si>
  <si>
    <t>GB/20251009053815</t>
  </si>
  <si>
    <t>William Smith</t>
  </si>
  <si>
    <t>GB/20251009055814</t>
  </si>
  <si>
    <t>PT ABC</t>
  </si>
  <si>
    <t>Nyuliadi@gmail.com</t>
  </si>
  <si>
    <t>GB/20251009061344</t>
  </si>
  <si>
    <t>GB/20251009063127</t>
  </si>
  <si>
    <t>GB/20251009063128</t>
  </si>
  <si>
    <t>GB/20251009064355</t>
  </si>
  <si>
    <t>Nurwan</t>
  </si>
  <si>
    <t>AndruXX</t>
  </si>
  <si>
    <t>GB/20251009064357</t>
  </si>
  <si>
    <t>Andy putra</t>
  </si>
  <si>
    <t>GB/20251009130937</t>
  </si>
  <si>
    <t>GB/20251010025007</t>
  </si>
  <si>
    <t>GB/20251010043556</t>
  </si>
  <si>
    <t>GB/20251010043815</t>
  </si>
  <si>
    <t>KC TEST</t>
  </si>
  <si>
    <t>GB/20251010045242</t>
  </si>
  <si>
    <t>GB/20251010050026</t>
  </si>
  <si>
    <t>GB/20251010052705</t>
  </si>
  <si>
    <t>Maureen</t>
  </si>
  <si>
    <t>maur@gail.com</t>
  </si>
  <si>
    <t>GB/20251010054634</t>
  </si>
  <si>
    <t>Lupita M</t>
  </si>
  <si>
    <t>marketing@waterbom-bali.com</t>
  </si>
  <si>
    <t>GB/20251010060312</t>
  </si>
  <si>
    <t>GB/20251010061319</t>
  </si>
  <si>
    <t>GB/20251010061852</t>
  </si>
  <si>
    <t>GB/20251010063349</t>
  </si>
  <si>
    <t>Sukma Test</t>
  </si>
  <si>
    <t>GB/20251010065419</t>
  </si>
  <si>
    <t>SITI NUR</t>
  </si>
  <si>
    <t>test1@ma.com</t>
  </si>
  <si>
    <t>France</t>
  </si>
  <si>
    <t>GB/20251010065944</t>
  </si>
  <si>
    <t>GB/20251010070405</t>
  </si>
  <si>
    <t>GB/20251010070542</t>
  </si>
  <si>
    <t>GB/20251010071328</t>
  </si>
  <si>
    <t>GB/20251010071524</t>
  </si>
  <si>
    <t>GB/20251010075320</t>
  </si>
  <si>
    <t>Coconut water by glass</t>
  </si>
  <si>
    <t>GB/20251010075630</t>
  </si>
  <si>
    <t>Strawberry</t>
  </si>
  <si>
    <t>GB/20251010082330</t>
  </si>
  <si>
    <t>GB/20251010082421</t>
  </si>
  <si>
    <t>GB/20251010084752</t>
  </si>
  <si>
    <t>GB/20251010091318</t>
  </si>
  <si>
    <t>arini 1</t>
  </si>
  <si>
    <t>blabla.com</t>
  </si>
  <si>
    <t>Albania</t>
  </si>
  <si>
    <t>GB/20251010091612</t>
  </si>
  <si>
    <t>arini2</t>
  </si>
  <si>
    <t>blabla.co.id</t>
  </si>
  <si>
    <t>GB/20251010091801</t>
  </si>
  <si>
    <t>arini tes 3</t>
  </si>
  <si>
    <t>cekcek.co.id</t>
  </si>
  <si>
    <t>GB/20251010093929</t>
  </si>
  <si>
    <t>meks1734@mailinatorcom</t>
  </si>
  <si>
    <t>GB/20251010094935</t>
  </si>
  <si>
    <t>BMG7CDK35BJ</t>
  </si>
  <si>
    <t>GB/20251010095112</t>
  </si>
  <si>
    <t>GB/20251010124512</t>
  </si>
  <si>
    <t>GB/20251010130917</t>
  </si>
  <si>
    <t>GB/20251010130937</t>
  </si>
  <si>
    <t>GB/20251010163817</t>
  </si>
  <si>
    <t>GB/20251011004405</t>
  </si>
  <si>
    <t>GB/20251011004952</t>
  </si>
  <si>
    <t>GB/20251011005102</t>
  </si>
  <si>
    <t>GB/20251011005142</t>
  </si>
  <si>
    <t>GB/20251011005218</t>
  </si>
  <si>
    <t>GB/20251011005258</t>
  </si>
  <si>
    <t>GB/20251011041621</t>
  </si>
  <si>
    <t>GB/20251011080938</t>
  </si>
  <si>
    <t>GB/20251011100354</t>
  </si>
  <si>
    <t>GB/20251011115350</t>
  </si>
  <si>
    <t>GB/20251011115920</t>
  </si>
  <si>
    <t>Bagus Prasetio</t>
  </si>
  <si>
    <t>alek@alek.com</t>
  </si>
  <si>
    <t>GB/20251011134725</t>
  </si>
  <si>
    <t>GB/20251012172320</t>
  </si>
  <si>
    <t>GB/20251012172321</t>
  </si>
  <si>
    <t>GB/20251012172322</t>
  </si>
  <si>
    <t>GB/20251012172324</t>
  </si>
  <si>
    <t>GB/20251012173601</t>
  </si>
  <si>
    <t>GB/20251012173602</t>
  </si>
  <si>
    <t>GB/20251012173603</t>
  </si>
  <si>
    <t>GB/20251012173604</t>
  </si>
  <si>
    <t>GB/20251012173605</t>
  </si>
  <si>
    <t>GB/20251012173606</t>
  </si>
  <si>
    <t>GB/20251012175212</t>
  </si>
  <si>
    <t>GB/20251012175213</t>
  </si>
  <si>
    <t>GB/20251012175214</t>
  </si>
  <si>
    <t>GB/20251012175215</t>
  </si>
  <si>
    <t>GB/20251012175216</t>
  </si>
  <si>
    <t>GB/20251012175217</t>
  </si>
  <si>
    <t>GB/20251012180500</t>
  </si>
  <si>
    <t>GB/20251012180501</t>
  </si>
  <si>
    <t>GB/20251012180502</t>
  </si>
  <si>
    <t>GB/20251012180503</t>
  </si>
  <si>
    <t>GB/20251012180504</t>
  </si>
  <si>
    <t>GB/20251012000116</t>
  </si>
  <si>
    <t>1208@mailinator.com</t>
  </si>
  <si>
    <t>GB/20251012010511</t>
  </si>
  <si>
    <t>GB/20251012010620</t>
  </si>
  <si>
    <t>GB/20251012010842</t>
  </si>
  <si>
    <t>GB/20251012010935</t>
  </si>
  <si>
    <t>GB/20251012014952</t>
  </si>
  <si>
    <t>GB/20251012045128</t>
  </si>
  <si>
    <t>meks121250@mailinator.com</t>
  </si>
  <si>
    <t>GB/20251012045401</t>
  </si>
  <si>
    <t>meks121253@Mailinator.com</t>
  </si>
  <si>
    <t>GB/20251012045714</t>
  </si>
  <si>
    <t>meks121256@mailinator.com</t>
  </si>
  <si>
    <t>GB/20251012073432</t>
  </si>
  <si>
    <t>GB/20251012075436</t>
  </si>
  <si>
    <t>GB/20251012084255</t>
  </si>
  <si>
    <t>meks121641@mailinator.com</t>
  </si>
  <si>
    <t>GB/20251012090242</t>
  </si>
  <si>
    <t>Masse Hahai Prihatinto</t>
  </si>
  <si>
    <t>meks121701@mailinator.com</t>
  </si>
  <si>
    <t>GB/20251012092004</t>
  </si>
  <si>
    <t>meks121719@mailinator.com</t>
  </si>
  <si>
    <t>GB/20251012092157</t>
  </si>
  <si>
    <t>meks121720@mailinator.com</t>
  </si>
  <si>
    <t>GB/20251012092449</t>
  </si>
  <si>
    <t>GB/20251012092754</t>
  </si>
  <si>
    <t>mems@mailinator.com</t>
  </si>
  <si>
    <t>GB/20251012092944</t>
  </si>
  <si>
    <t>Mems Mem</t>
  </si>
  <si>
    <t>mekss@mailinator.com</t>
  </si>
  <si>
    <t>GB/20251012093219</t>
  </si>
  <si>
    <t>GB/20251012093531</t>
  </si>
  <si>
    <t>GB/20251012174350</t>
  </si>
  <si>
    <t>GB/20251012180032</t>
  </si>
  <si>
    <t>GB/20251012180122</t>
  </si>
  <si>
    <t>GB/20251012180216</t>
  </si>
  <si>
    <t>GB/20251012182126</t>
  </si>
  <si>
    <t>Narelle Bravo</t>
  </si>
  <si>
    <t>Jason Jones</t>
  </si>
  <si>
    <t>Colomines OcÃ©ane</t>
  </si>
  <si>
    <t>GB/20251012182127</t>
  </si>
  <si>
    <t>Gemma Graham</t>
  </si>
  <si>
    <t>Benjamin Jesser</t>
  </si>
  <si>
    <t>Morgan Snow</t>
  </si>
  <si>
    <t>GB/20251012182128</t>
  </si>
  <si>
    <t>Rose Scott</t>
  </si>
  <si>
    <t>Susan dundas</t>
  </si>
  <si>
    <t>Kasho Ong</t>
  </si>
  <si>
    <t>GB/20251012182129</t>
  </si>
  <si>
    <t>Lisa Evans</t>
  </si>
  <si>
    <t>Nicole Belbin</t>
  </si>
  <si>
    <t>Victoria Lee</t>
  </si>
  <si>
    <t>Amanda Fricker</t>
  </si>
  <si>
    <t>GB/20251012182130</t>
  </si>
  <si>
    <t>Minku Lee</t>
  </si>
  <si>
    <t>Michael Roberts</t>
  </si>
  <si>
    <t>GB/20251012182131</t>
  </si>
  <si>
    <t>Tara Chandrasegran</t>
  </si>
  <si>
    <t>GB/20251012182431</t>
  </si>
  <si>
    <t>GB/20251012182546</t>
  </si>
  <si>
    <t>GB/20251013173213</t>
  </si>
  <si>
    <t>GB/20251013173214</t>
  </si>
  <si>
    <t>GB/20251013173215</t>
  </si>
  <si>
    <t>GB/20251013173216</t>
  </si>
  <si>
    <t>GB/20251013173217</t>
  </si>
  <si>
    <t>GB/20251013173218</t>
  </si>
  <si>
    <t>GB/20251013173219</t>
  </si>
  <si>
    <t>GB/20251013173220</t>
  </si>
  <si>
    <t>GB/20251013173224</t>
  </si>
  <si>
    <t>GB/20251013173225</t>
  </si>
  <si>
    <t>GB/20251013173226</t>
  </si>
  <si>
    <t>GB/20251013173227</t>
  </si>
  <si>
    <t>GB/20251013173228</t>
  </si>
  <si>
    <t>GB/20251013173229</t>
  </si>
  <si>
    <t>GB/20251013173230</t>
  </si>
  <si>
    <t>GB/20251013173231</t>
  </si>
  <si>
    <t>GB/20251013173232</t>
  </si>
  <si>
    <t>GB/20251013173233</t>
  </si>
  <si>
    <t>GB/20251013173234</t>
  </si>
  <si>
    <t>GB/20251013173236</t>
  </si>
  <si>
    <t>GB/20251013173238</t>
  </si>
  <si>
    <t>GB/20251013173240</t>
  </si>
  <si>
    <t>GB/20251013173241</t>
  </si>
  <si>
    <t>GB/20251013173242</t>
  </si>
  <si>
    <t>GB/20251013173246</t>
  </si>
  <si>
    <t>GB/20251013005230</t>
  </si>
  <si>
    <t>TRIAL MNM 1</t>
  </si>
  <si>
    <t>test1@gail.com</t>
  </si>
  <si>
    <t>GB/20251013005311</t>
  </si>
  <si>
    <t>TRIAL MNM 2</t>
  </si>
  <si>
    <t>test2@gail.com</t>
  </si>
  <si>
    <t>GB/20251013005351</t>
  </si>
  <si>
    <t>TRIAL MNM 3</t>
  </si>
  <si>
    <t>test3@gail.com</t>
  </si>
  <si>
    <t>GB/20251013005436</t>
  </si>
  <si>
    <t>TRIAL MNM 4</t>
  </si>
  <si>
    <t>test4@gail.com</t>
  </si>
  <si>
    <t>GB/20251013005509</t>
  </si>
  <si>
    <t>TRIAL MNM 5</t>
  </si>
  <si>
    <t>test5@gail.com</t>
  </si>
  <si>
    <t>GB/20251013005551</t>
  </si>
  <si>
    <t>GB/20251013014006</t>
  </si>
  <si>
    <t>Mandala</t>
  </si>
  <si>
    <t>mandala@gail.com</t>
  </si>
  <si>
    <t>GB/20251013014423</t>
  </si>
  <si>
    <t>Putri Ayu</t>
  </si>
  <si>
    <t>puttay@ayu.com</t>
  </si>
  <si>
    <t>GB/20251013014917</t>
  </si>
  <si>
    <t>Ayu Dinda</t>
  </si>
  <si>
    <t>ayu@gail.com</t>
  </si>
  <si>
    <t>GB/20251013015153</t>
  </si>
  <si>
    <t>Amanda White</t>
  </si>
  <si>
    <t>amandawhite@mail.com</t>
  </si>
  <si>
    <t>GB/20251013015512</t>
  </si>
  <si>
    <t>ADINDA THOMAS 2</t>
  </si>
  <si>
    <t>adinda@gail.co</t>
  </si>
  <si>
    <t>GB/20251013015627</t>
  </si>
  <si>
    <t>GB/20251013020921</t>
  </si>
  <si>
    <t>GB/20251013021041</t>
  </si>
  <si>
    <t>Shinta</t>
  </si>
  <si>
    <t>sinta@ma.com</t>
  </si>
  <si>
    <t>GB/20251013030121</t>
  </si>
  <si>
    <t>GB/20251013030155</t>
  </si>
  <si>
    <t>GB/20251013030438</t>
  </si>
  <si>
    <t>GB/20251013030552</t>
  </si>
  <si>
    <t>GB/20251013033050</t>
  </si>
  <si>
    <t>meks131129@mailinator.com</t>
  </si>
  <si>
    <t>GB/20251013033809</t>
  </si>
  <si>
    <t>MEKS131137@MAILINATOR.COM</t>
  </si>
  <si>
    <t>GB/20251013035037</t>
  </si>
  <si>
    <t>GB/20251013035117</t>
  </si>
  <si>
    <t>GB/20251013040059</t>
  </si>
  <si>
    <t>GB/20251013050910</t>
  </si>
  <si>
    <t>GB/20251013051633</t>
  </si>
  <si>
    <t>Masse Eee Prihatinto</t>
  </si>
  <si>
    <t>meks131316@mailinator.com</t>
  </si>
  <si>
    <t>GB/20251013054939</t>
  </si>
  <si>
    <t>Masse Aaa Prihatinto</t>
  </si>
  <si>
    <t>meks131349@mailinator.com</t>
  </si>
  <si>
    <t>GB/20251013070504</t>
  </si>
  <si>
    <t>GB/20251013071850</t>
  </si>
  <si>
    <t>GB/20251013073931</t>
  </si>
  <si>
    <t>Widi Test</t>
  </si>
  <si>
    <t>asst.fom@gmail.com</t>
  </si>
  <si>
    <t>GB/20251013080124</t>
  </si>
  <si>
    <t>Masse Ee Prihatinto</t>
  </si>
  <si>
    <t>Meks131600@mailinator.com</t>
  </si>
  <si>
    <t>GB/20251013082234</t>
  </si>
  <si>
    <t>meks131621@mailinator.com</t>
  </si>
  <si>
    <t>GB/20251013085109</t>
  </si>
  <si>
    <t>meks131650@mailinator.com</t>
  </si>
  <si>
    <t>GB/20251013091925</t>
  </si>
  <si>
    <t>GB/20251013125017</t>
  </si>
  <si>
    <t>GB/20251013130924</t>
  </si>
  <si>
    <t>GB/20251013130949</t>
  </si>
  <si>
    <t>GB/20251013133339</t>
  </si>
  <si>
    <t>meks132133@mailinator.com</t>
  </si>
  <si>
    <t>GB/20251013140248</t>
  </si>
  <si>
    <t>Masse Oo Prihatinto</t>
  </si>
  <si>
    <t>meks132202@mailinator.com</t>
  </si>
  <si>
    <t>GB/20251013142420</t>
  </si>
  <si>
    <t>Masse LL Prihatinto</t>
  </si>
  <si>
    <t>meks132223@mailiantor.com</t>
  </si>
  <si>
    <t>GB/20251013144203</t>
  </si>
  <si>
    <t>GB/20251013145502</t>
  </si>
  <si>
    <t>ALEK@alek.com</t>
  </si>
  <si>
    <t>GB/20251013145608</t>
  </si>
  <si>
    <t>meks132254@mailinator.com</t>
  </si>
  <si>
    <t>GB/20251013151409</t>
  </si>
  <si>
    <t>meks132313@mailinator.com</t>
  </si>
  <si>
    <t>GB/20251013154149</t>
  </si>
  <si>
    <t>Masse Ma Prihatinto</t>
  </si>
  <si>
    <t>meks132341@mailinator.com</t>
  </si>
  <si>
    <t>GB/20251013161237</t>
  </si>
  <si>
    <t>GB/20251013162056</t>
  </si>
  <si>
    <t>meks12@mailinator.com</t>
  </si>
  <si>
    <t>GB/20251013165756</t>
  </si>
  <si>
    <t>GB/20251014002115</t>
  </si>
  <si>
    <t>GB/20251014005207</t>
  </si>
  <si>
    <t>MNM 1</t>
  </si>
  <si>
    <t>trial1@ma.com</t>
  </si>
  <si>
    <t>GB/20251014005254</t>
  </si>
  <si>
    <t>MNM 2</t>
  </si>
  <si>
    <t>trial2@ga.com</t>
  </si>
  <si>
    <t>GB/20251014005324</t>
  </si>
  <si>
    <t>MNM 3</t>
  </si>
  <si>
    <t>trial3@ga.com</t>
  </si>
  <si>
    <t>GB/20251014005401</t>
  </si>
  <si>
    <t>MNM 4</t>
  </si>
  <si>
    <t>trial4@ga.com</t>
  </si>
  <si>
    <t>GB/20251014005428</t>
  </si>
  <si>
    <t>MNM 5</t>
  </si>
  <si>
    <t>trial5@ga.com</t>
  </si>
  <si>
    <t>GB/20251014005551</t>
  </si>
  <si>
    <t>YAYUK TEST 5</t>
  </si>
  <si>
    <t>trial@ga.com</t>
  </si>
  <si>
    <t>GB/20251014014728</t>
  </si>
  <si>
    <t>GB/20251014020447</t>
  </si>
  <si>
    <t>Masse Be Prihatinto</t>
  </si>
  <si>
    <t>meks141003@mailinator.com</t>
  </si>
  <si>
    <t>GB/20251014025727</t>
  </si>
  <si>
    <t>meks141056@mailinator.com</t>
  </si>
  <si>
    <t>GB/20251014032044</t>
  </si>
  <si>
    <t>meks141119@mailinator.com</t>
  </si>
  <si>
    <t>GB/20251014033427</t>
  </si>
  <si>
    <t>Masse Ce Prihatinto</t>
  </si>
  <si>
    <t>meks141133@mailinator.com</t>
  </si>
  <si>
    <t>GB/20251014033947</t>
  </si>
  <si>
    <t>Masse De Prihatinto</t>
  </si>
  <si>
    <t>meks141139@mailinator.com</t>
  </si>
  <si>
    <t>GB/20251014034510</t>
  </si>
  <si>
    <t>Masse eF Prihatinto</t>
  </si>
  <si>
    <t>meks141144@mailinator.com</t>
  </si>
  <si>
    <t>GB/20251014042408</t>
  </si>
  <si>
    <t>GB/20251014053846</t>
  </si>
  <si>
    <t>GB/20251014055650</t>
  </si>
  <si>
    <t>GB/20251014060730</t>
  </si>
  <si>
    <t>GB/20251014061945</t>
  </si>
  <si>
    <t>GB/20251014064353</t>
  </si>
  <si>
    <t>meks141443@mailinator.com</t>
  </si>
  <si>
    <t>GB/20251014070100</t>
  </si>
  <si>
    <t>meks141500@mailinator.com</t>
  </si>
  <si>
    <t>GB/20251014070935</t>
  </si>
  <si>
    <t>GB/20251014070937</t>
  </si>
  <si>
    <t>GB/20251014070938</t>
  </si>
  <si>
    <t>GB/20251014071102</t>
  </si>
  <si>
    <t>Masse Gg Prihatinto</t>
  </si>
  <si>
    <t>meks141510@mailinator.com</t>
  </si>
  <si>
    <t>GB/20251014071938</t>
  </si>
  <si>
    <t>Masse Jj Prihatinto</t>
  </si>
  <si>
    <t>meks141519@mailinator.com</t>
  </si>
  <si>
    <t>GB/20251014075916</t>
  </si>
  <si>
    <t>meks141556@mailinator.com</t>
  </si>
  <si>
    <t>GB/20251014080241</t>
  </si>
  <si>
    <t>GB/20251014084153</t>
  </si>
  <si>
    <t>GB/20251014091555</t>
  </si>
  <si>
    <t>GB/20251014114838</t>
  </si>
  <si>
    <t>meks141947@mailinator.com</t>
  </si>
  <si>
    <t>GB/20251014115208</t>
  </si>
  <si>
    <t>meks141951@mailinator.com</t>
  </si>
  <si>
    <t>GB/20251014141926</t>
  </si>
  <si>
    <t>GB/20251014160008</t>
  </si>
  <si>
    <t>Meks pos</t>
  </si>
  <si>
    <t>mekspos2359@mailinator.com</t>
  </si>
  <si>
    <t>GB/20251015004557</t>
  </si>
  <si>
    <t>GB/20251015005038</t>
  </si>
  <si>
    <t>Meks pos lg</t>
  </si>
  <si>
    <t>meksposlg@mailinator.com</t>
  </si>
  <si>
    <t>GB/20251015010116</t>
  </si>
  <si>
    <t>meks pos aj</t>
  </si>
  <si>
    <t>meksposaj@mailinator.com</t>
  </si>
  <si>
    <t>GB/20251015010621</t>
  </si>
  <si>
    <t>GB/20251015010652</t>
  </si>
  <si>
    <t>GB/20251015010730</t>
  </si>
  <si>
    <t>AYU ANDRA</t>
  </si>
  <si>
    <t>ayy@gail.com</t>
  </si>
  <si>
    <t>GB/20251015010806</t>
  </si>
  <si>
    <t>JANA</t>
  </si>
  <si>
    <t>jana@gai.co</t>
  </si>
  <si>
    <t>GB/20251015010854</t>
  </si>
  <si>
    <t>MADE MNM</t>
  </si>
  <si>
    <t>made@ga.com</t>
  </si>
  <si>
    <t>GB/20251015010912</t>
  </si>
  <si>
    <t>Meks pos aj lg</t>
  </si>
  <si>
    <t>meksposajlg@mailinator.com</t>
  </si>
  <si>
    <t>GB/20251015010941</t>
  </si>
  <si>
    <t>PUTU PUTU</t>
  </si>
  <si>
    <t>putu@ga.com</t>
  </si>
  <si>
    <t>GB/20251015012815</t>
  </si>
  <si>
    <t>Meks hihi</t>
  </si>
  <si>
    <t>mekshihi@mailinator.com</t>
  </si>
  <si>
    <t>GB/20251015014219</t>
  </si>
  <si>
    <t>GB/20251015014822</t>
  </si>
  <si>
    <t>GB/20251015022825</t>
  </si>
  <si>
    <t>Meks wbpos</t>
  </si>
  <si>
    <t>mekswbpos@mailinator.com</t>
  </si>
  <si>
    <t>GB/20251015023640</t>
  </si>
  <si>
    <t>Meks151035</t>
  </si>
  <si>
    <t>Meks151035@mailinator.com</t>
  </si>
  <si>
    <t>GB/20251015024605</t>
  </si>
  <si>
    <t>Meks151043</t>
  </si>
  <si>
    <t>Meks151043@mailinator.com</t>
  </si>
  <si>
    <t>GB/20251015025402</t>
  </si>
  <si>
    <t>Mekspos151053</t>
  </si>
  <si>
    <t>Mekspos151053@mailinator.com</t>
  </si>
  <si>
    <t>GB/20251015031442</t>
  </si>
  <si>
    <t>Meks151113</t>
  </si>
  <si>
    <t>Meks151113@mailinator.com</t>
  </si>
  <si>
    <t>GB/20251015032153</t>
  </si>
  <si>
    <t>Meks151121</t>
  </si>
  <si>
    <t>Meks151121@mailinator.com</t>
  </si>
  <si>
    <t>GB/20251015035758</t>
  </si>
  <si>
    <t>Meks151157</t>
  </si>
  <si>
    <t>Meks151157@mailinator.com</t>
  </si>
  <si>
    <t>GB/20251015040815</t>
  </si>
  <si>
    <t>GB/20251015042922</t>
  </si>
  <si>
    <t>Meks151228</t>
  </si>
  <si>
    <t>Meks151228@mailinator.com</t>
  </si>
  <si>
    <t>GB/20251015044614</t>
  </si>
  <si>
    <t>Meks151245</t>
  </si>
  <si>
    <t>Meks151245@mailinator.com</t>
  </si>
  <si>
    <t>GB/20251015050050</t>
  </si>
  <si>
    <t>meks151259@mailinator.com</t>
  </si>
  <si>
    <t>GB/20251015061657</t>
  </si>
  <si>
    <t>GB/20251015062412</t>
  </si>
  <si>
    <t>Stephanie White</t>
  </si>
  <si>
    <t>steph@g.com</t>
  </si>
  <si>
    <t>Family Tickets - Domestic</t>
  </si>
  <si>
    <t>GB/20251015062857</t>
  </si>
  <si>
    <t>Bianca Putri</t>
  </si>
  <si>
    <t>bput@g.co</t>
  </si>
  <si>
    <t>GB/20251015063309</t>
  </si>
  <si>
    <t>Bapak Burhan</t>
  </si>
  <si>
    <t>burhan@g.co</t>
  </si>
  <si>
    <t>GB/20251015063623</t>
  </si>
  <si>
    <t>MIRANDA SMITH</t>
  </si>
  <si>
    <t>miranda@g.co</t>
  </si>
  <si>
    <t>GB/20251015063927</t>
  </si>
  <si>
    <t>NICOLE BROWN</t>
  </si>
  <si>
    <t>nicbr@g.co</t>
  </si>
  <si>
    <t>GB/20251015065647</t>
  </si>
  <si>
    <t>GB/20251015070132</t>
  </si>
  <si>
    <t>meks151500@mailinator.com</t>
  </si>
  <si>
    <t>GB/20251015071551</t>
  </si>
  <si>
    <t>GB/20251015074101</t>
  </si>
  <si>
    <t>Jonathan</t>
  </si>
  <si>
    <t>China</t>
  </si>
  <si>
    <t>GB/20251015074702</t>
  </si>
  <si>
    <t>meksisales@mailinator.com</t>
  </si>
  <si>
    <t>GB/20251015081341</t>
  </si>
  <si>
    <t>Meks151613</t>
  </si>
  <si>
    <t>meks151613@mailinator.com</t>
  </si>
  <si>
    <t>GB/20251015082223</t>
  </si>
  <si>
    <t>GB/20251015082739</t>
  </si>
  <si>
    <t>GB/20251015082807</t>
  </si>
  <si>
    <t>GB/20251015082843</t>
  </si>
  <si>
    <t>GB/20251015082925</t>
  </si>
  <si>
    <t>GB/20251015131040</t>
  </si>
  <si>
    <t>GB/20251015131043</t>
  </si>
  <si>
    <t>GB/20251015152856</t>
  </si>
  <si>
    <t>GB/20251015235141</t>
  </si>
  <si>
    <t>GB/20251015235245</t>
  </si>
  <si>
    <t>meks160752@mailinator.com</t>
  </si>
  <si>
    <t>GB/20251015235836</t>
  </si>
  <si>
    <t>meks160757@mailinator.com</t>
  </si>
  <si>
    <t>GB/20251016000242</t>
  </si>
  <si>
    <t>meks160801@mailinator.com</t>
  </si>
  <si>
    <t>GB/20251016000505</t>
  </si>
  <si>
    <t>meks160804@mailinator.com</t>
  </si>
  <si>
    <t>GB/20251016001013</t>
  </si>
  <si>
    <t>Masse Aa Prihatinto</t>
  </si>
  <si>
    <t>meks160809@mailinator.com</t>
  </si>
  <si>
    <t>GB/20251016001429</t>
  </si>
  <si>
    <t>GB/20251016013011</t>
  </si>
  <si>
    <t>KETUT KETUT</t>
  </si>
  <si>
    <t>ketut@g.com</t>
  </si>
  <si>
    <t>GB/20251016013047</t>
  </si>
  <si>
    <t>WAYAN</t>
  </si>
  <si>
    <t>wyn@g.co</t>
  </si>
  <si>
    <t>GB/20251016013126</t>
  </si>
  <si>
    <t>KOMANG</t>
  </si>
  <si>
    <t>KM@G.COM</t>
  </si>
  <si>
    <t>GB/20251016013159</t>
  </si>
  <si>
    <t>MADE MADE</t>
  </si>
  <si>
    <t>md@g.co</t>
  </si>
  <si>
    <t>GB/20251016013243</t>
  </si>
  <si>
    <t>YAYUK TEST</t>
  </si>
  <si>
    <t>yayuk@g.co</t>
  </si>
  <si>
    <t>GB/20251016013341</t>
  </si>
  <si>
    <t>ayu@g.co</t>
  </si>
  <si>
    <t>GB/20251016021705</t>
  </si>
  <si>
    <t>Meks161016</t>
  </si>
  <si>
    <t>Meks161016@mailinator.com</t>
  </si>
  <si>
    <t>GB/20251016022207</t>
  </si>
  <si>
    <t>Meks161021</t>
  </si>
  <si>
    <t>Meks161021@mailinator.com</t>
  </si>
  <si>
    <t>GB/20251016025412</t>
  </si>
  <si>
    <t>Meks161053</t>
  </si>
  <si>
    <t>Meks161053@mailinator.com</t>
  </si>
  <si>
    <t>GB/20251016025748</t>
  </si>
  <si>
    <t>AMIE SMITH DUO</t>
  </si>
  <si>
    <t>am@g.co</t>
  </si>
  <si>
    <t>GB/20251016025821</t>
  </si>
  <si>
    <t>M161058</t>
  </si>
  <si>
    <t>M161058@mailinator.com</t>
  </si>
  <si>
    <t>GB/20251016030433</t>
  </si>
  <si>
    <t>AMELIA SMITH</t>
  </si>
  <si>
    <t>ams@g.com</t>
  </si>
  <si>
    <t>GB/20251016033204</t>
  </si>
  <si>
    <t>Sukma Arsani</t>
  </si>
  <si>
    <t>suk@g.ai.co</t>
  </si>
  <si>
    <t>GB/20251016033325</t>
  </si>
  <si>
    <t>GB/20251016035809</t>
  </si>
  <si>
    <t>meks161157@mailinator.com</t>
  </si>
  <si>
    <t>GB/20251016041638</t>
  </si>
  <si>
    <t>GB/20251016042028</t>
  </si>
  <si>
    <t>meks161219gift@mailinator.com</t>
  </si>
  <si>
    <t>GB/20251016042305</t>
  </si>
  <si>
    <t>Meks Gift</t>
  </si>
  <si>
    <t>meks161221gift@mailinator.com</t>
  </si>
  <si>
    <t>GB/20251016042416</t>
  </si>
  <si>
    <t>Meksi Gift</t>
  </si>
  <si>
    <t>penerimagift161222@mailinator.com</t>
  </si>
  <si>
    <t>GB/20251016043056</t>
  </si>
  <si>
    <t>GB/20251016044209</t>
  </si>
  <si>
    <t>Meksi161241</t>
  </si>
  <si>
    <t>Meksi161241@mailinator.com</t>
  </si>
  <si>
    <t>GB/20251016045109</t>
  </si>
  <si>
    <t>GB/20251016045429</t>
  </si>
  <si>
    <t>GB/20251016052107</t>
  </si>
  <si>
    <t>GB/20251016052356</t>
  </si>
  <si>
    <t>GB/20251016054004</t>
  </si>
  <si>
    <t>Meksi Portal</t>
  </si>
  <si>
    <t>meksiportal@mailinator.com</t>
  </si>
  <si>
    <t>GB/20251016054250</t>
  </si>
  <si>
    <t>GB/20251016054555</t>
  </si>
  <si>
    <t>GB/20251016055113</t>
  </si>
  <si>
    <t>GB/20251016055245</t>
  </si>
  <si>
    <t>meks161352@mailinator.com</t>
  </si>
  <si>
    <t>GB/20251016060031</t>
  </si>
  <si>
    <t>masse.prihatinto@mailinator.com</t>
  </si>
  <si>
    <t>GB/20251016061313</t>
  </si>
  <si>
    <t>GB/20251016062728</t>
  </si>
  <si>
    <t>GB/20251016062857</t>
  </si>
  <si>
    <t>Meksi Prihatinto</t>
  </si>
  <si>
    <t>GB/20251016065418</t>
  </si>
  <si>
    <t>GB/20251016065552</t>
  </si>
  <si>
    <t>Natalie Hockey</t>
  </si>
  <si>
    <t>Emily Williams</t>
  </si>
  <si>
    <t>GB/20251016065553</t>
  </si>
  <si>
    <t>Susan Sancbergs</t>
  </si>
  <si>
    <t>GB/20251016065555</t>
  </si>
  <si>
    <t>Alex Spencer</t>
  </si>
  <si>
    <t>Alana Newall</t>
  </si>
  <si>
    <t>Angela Lamp</t>
  </si>
  <si>
    <t>Jaime Lee</t>
  </si>
  <si>
    <t>GB/20251016065556</t>
  </si>
  <si>
    <t>Carol Thompson</t>
  </si>
  <si>
    <t>Sarah Grundy</t>
  </si>
  <si>
    <t>Alyse Tina</t>
  </si>
  <si>
    <t>GB/20251016065559</t>
  </si>
  <si>
    <t>GB/20251016065600</t>
  </si>
  <si>
    <t>meagan thompson</t>
  </si>
  <si>
    <t>GB/20251016065602</t>
  </si>
  <si>
    <t>Lucas Bell</t>
  </si>
  <si>
    <t>GB/20251016065557</t>
  </si>
  <si>
    <t>ALLIRA N</t>
  </si>
  <si>
    <t>Brandon Finnerty</t>
  </si>
  <si>
    <t>Tim Mead</t>
  </si>
  <si>
    <t>Emma Boden</t>
  </si>
  <si>
    <t>GB/20251016065558</t>
  </si>
  <si>
    <t>Kasey Gilchrist</t>
  </si>
  <si>
    <t>Kate Danielle</t>
  </si>
  <si>
    <t>Kate Dyer</t>
  </si>
  <si>
    <t>holly wuest</t>
  </si>
  <si>
    <t>Ilze Murgatroyd</t>
  </si>
  <si>
    <t>GB/20251016065607</t>
  </si>
  <si>
    <t>Dieuwertje van</t>
  </si>
  <si>
    <t>Elise Mills</t>
  </si>
  <si>
    <t>Nicola Howe</t>
  </si>
  <si>
    <t>GB/20251016065608</t>
  </si>
  <si>
    <t>Robert Moulton</t>
  </si>
  <si>
    <t>Luke Pearce</t>
  </si>
  <si>
    <t>harris harris</t>
  </si>
  <si>
    <t>Danielle white</t>
  </si>
  <si>
    <t>Cath Dwyer</t>
  </si>
  <si>
    <t>GB/20251016065609</t>
  </si>
  <si>
    <t>Anastasia Lazareva</t>
  </si>
  <si>
    <t>Michelle Cox</t>
  </si>
  <si>
    <t>Celeste Cox</t>
  </si>
  <si>
    <t>Lynne Neate</t>
  </si>
  <si>
    <t>Samara Grace</t>
  </si>
  <si>
    <t>GB/20251016065610</t>
  </si>
  <si>
    <t>Tim Le</t>
  </si>
  <si>
    <t>Dale Jeffery</t>
  </si>
  <si>
    <t>GB/20251016065616</t>
  </si>
  <si>
    <t>Titova Irina</t>
  </si>
  <si>
    <t>Shane Whitmore</t>
  </si>
  <si>
    <t>GB/20251016065611</t>
  </si>
  <si>
    <t>Sam Golliker</t>
  </si>
  <si>
    <t>Sophie cochrane</t>
  </si>
  <si>
    <t>Stephi Nicholas</t>
  </si>
  <si>
    <t>GB/20251016065612</t>
  </si>
  <si>
    <t>Chantelle Parkinson</t>
  </si>
  <si>
    <t>Vignesh Seetharaman</t>
  </si>
  <si>
    <t>Ella Manning</t>
  </si>
  <si>
    <t>GB/20251016065613</t>
  </si>
  <si>
    <t>Jayne Horton</t>
  </si>
  <si>
    <t>GB/20251016065620</t>
  </si>
  <si>
    <t>GB/20251016065621</t>
  </si>
  <si>
    <t>Daisy Sievewright</t>
  </si>
  <si>
    <t>Kyle Glasspool</t>
  </si>
  <si>
    <t>GB/20251016065622</t>
  </si>
  <si>
    <t>Jessica Amey</t>
  </si>
  <si>
    <t>Joel Dixon</t>
  </si>
  <si>
    <t>Toni Parish</t>
  </si>
  <si>
    <t>Julia Ruta</t>
  </si>
  <si>
    <t>GB/20251016065623</t>
  </si>
  <si>
    <t>Karly Halcro</t>
  </si>
  <si>
    <t>Sarah McGregor</t>
  </si>
  <si>
    <t>GB/20251016075326</t>
  </si>
  <si>
    <t>GB/20251016081952</t>
  </si>
  <si>
    <t>GB/20251016083717</t>
  </si>
  <si>
    <t>meks161634penerima@mailinator.com</t>
  </si>
  <si>
    <t>GB/20251016085037</t>
  </si>
  <si>
    <t>Meksi Sama</t>
  </si>
  <si>
    <t>meksisama161649@mailinator.com</t>
  </si>
  <si>
    <t>GB/20251016085116</t>
  </si>
  <si>
    <t>GB/20251016090328</t>
  </si>
  <si>
    <t>GB/20251016090700</t>
  </si>
  <si>
    <t>Meksi Gift Prihatinto</t>
  </si>
  <si>
    <t>meks161705@mailinator.com</t>
  </si>
  <si>
    <t>GB/20251016090833</t>
  </si>
  <si>
    <t>GB/20251016091206</t>
  </si>
  <si>
    <t>GB/20251016091243</t>
  </si>
  <si>
    <t>GB/20251016091759</t>
  </si>
  <si>
    <t>GB/20251016092903</t>
  </si>
  <si>
    <t>GB/20251016094117</t>
  </si>
  <si>
    <t>Masse Ew Prihatinto</t>
  </si>
  <si>
    <t>meks1617439@mailinator.com</t>
  </si>
  <si>
    <t>GB/20251016094824</t>
  </si>
  <si>
    <t>meks161747@mailinator.com</t>
  </si>
  <si>
    <t>GB/20251016100405</t>
  </si>
  <si>
    <t>GB/20251016102601</t>
  </si>
  <si>
    <t>mek161825</t>
  </si>
  <si>
    <t>mek161825@mailinator.com</t>
  </si>
  <si>
    <t>GB/20251016104757</t>
  </si>
  <si>
    <t>Masse Aq Prihatinto</t>
  </si>
  <si>
    <t>meks161847@mailinator.com</t>
  </si>
  <si>
    <t>GB/20251016111101</t>
  </si>
  <si>
    <t>meks161909@mailinator.com</t>
  </si>
  <si>
    <t>GB/20251016113353</t>
  </si>
  <si>
    <t>Meks161933</t>
  </si>
  <si>
    <t>Meks161933@mailinator.com</t>
  </si>
  <si>
    <t>GB/20251016113756</t>
  </si>
  <si>
    <t>Meks161936</t>
  </si>
  <si>
    <t>Meks161936@mailinator.com</t>
  </si>
  <si>
    <t>GB/20251016123359</t>
  </si>
  <si>
    <t>GB/20251016131014</t>
  </si>
  <si>
    <t>GB/20251016131046</t>
  </si>
  <si>
    <t>GB/20251017021702</t>
  </si>
  <si>
    <t>GB/20251017024323</t>
  </si>
  <si>
    <t>GB/20251017024543</t>
  </si>
  <si>
    <t>GB/20251017024652</t>
  </si>
  <si>
    <t>Chukimak</t>
  </si>
  <si>
    <t>CANADA</t>
  </si>
  <si>
    <t>GB/20251017024940</t>
  </si>
  <si>
    <t>Hallo</t>
  </si>
  <si>
    <t>yoo@gmail.com</t>
  </si>
  <si>
    <t>GB/20251017031403</t>
  </si>
  <si>
    <t>Yuliati</t>
  </si>
  <si>
    <t>GB/20251017035009</t>
  </si>
  <si>
    <t>M. VERSTEEG</t>
  </si>
  <si>
    <t>m@g.co</t>
  </si>
  <si>
    <t>Netherlands</t>
  </si>
  <si>
    <t>GB/20251017035428</t>
  </si>
  <si>
    <t>Meks171153</t>
  </si>
  <si>
    <t>Meks171153@maiinator.com</t>
  </si>
  <si>
    <t>GB/20251017040007</t>
  </si>
  <si>
    <t>Mek</t>
  </si>
  <si>
    <t>meks171138@mailinator.com</t>
  </si>
  <si>
    <t>GB/20251017042521</t>
  </si>
  <si>
    <t>AMARA AMARA</t>
  </si>
  <si>
    <t>ama@g.co</t>
  </si>
  <si>
    <t>GB/20251017043913</t>
  </si>
  <si>
    <t>meks171238@mailinator.com</t>
  </si>
  <si>
    <t>GB/20251017044626</t>
  </si>
  <si>
    <t>Masse Er Prihatinto</t>
  </si>
  <si>
    <t>meks171244@mailinator.com</t>
  </si>
  <si>
    <t>GB/20251017045155</t>
  </si>
  <si>
    <t>Meks171251</t>
  </si>
  <si>
    <t>Meks171251@mailinator.com</t>
  </si>
  <si>
    <t>GB/20251017045331</t>
  </si>
  <si>
    <t>PRITA JACKSON</t>
  </si>
  <si>
    <t>prit@g.co</t>
  </si>
  <si>
    <t>GB/20251017051722</t>
  </si>
  <si>
    <t>In Park Credit (Void)</t>
  </si>
  <si>
    <t>GB/20251017064156</t>
  </si>
  <si>
    <t>GB/20251017064447</t>
  </si>
  <si>
    <t>CONCIERGE</t>
  </si>
  <si>
    <t>con@g.co</t>
  </si>
  <si>
    <t>GB/20251017071539</t>
  </si>
  <si>
    <t>Meks1512</t>
  </si>
  <si>
    <t>Meks1512@mailinator.com</t>
  </si>
  <si>
    <t>GB/20251017072346</t>
  </si>
  <si>
    <t>Meks171522</t>
  </si>
  <si>
    <t>meksheahea171522@mailinator.com</t>
  </si>
  <si>
    <t>GB/20251017072359</t>
  </si>
  <si>
    <t>Wija Test</t>
  </si>
  <si>
    <t>Wija@g.co</t>
  </si>
  <si>
    <t>GB/20251017073540</t>
  </si>
  <si>
    <t>Meks171534</t>
  </si>
  <si>
    <t>Meks171534@mailinator.com</t>
  </si>
  <si>
    <t>GB/20251017073610</t>
  </si>
  <si>
    <t>GB/20251017074125</t>
  </si>
  <si>
    <t xml:space="preserve">Jessica tes </t>
  </si>
  <si>
    <t>jes@mael.com</t>
  </si>
  <si>
    <t>Argentina</t>
  </si>
  <si>
    <t>GB/20251017074522</t>
  </si>
  <si>
    <t>Meks171543</t>
  </si>
  <si>
    <t>Meks171543@mailinator.com</t>
  </si>
  <si>
    <t>GB/20251017074652</t>
  </si>
  <si>
    <t>Meks171546</t>
  </si>
  <si>
    <t>meks171546@mailinator.com</t>
  </si>
  <si>
    <t>GB/20251017075238</t>
  </si>
  <si>
    <t>Meks1618</t>
  </si>
  <si>
    <t>Meks1618@mailinator.com</t>
  </si>
  <si>
    <t>GB/20251017080058</t>
  </si>
  <si>
    <t>Meks1716000</t>
  </si>
  <si>
    <t>Meks1716000@mailinator.com</t>
  </si>
  <si>
    <t>GB/20251017082347</t>
  </si>
  <si>
    <t>Meks17622</t>
  </si>
  <si>
    <t>Meks17622@mailinator.com</t>
  </si>
  <si>
    <t>GB/20251017082945</t>
  </si>
  <si>
    <t>Putri Test</t>
  </si>
  <si>
    <t>pt@m.com</t>
  </si>
  <si>
    <t>GB/20251017083242</t>
  </si>
  <si>
    <t>Meks171631</t>
  </si>
  <si>
    <t>Meks171631@mailinator.com</t>
  </si>
  <si>
    <t>GB/20251017084038</t>
  </si>
  <si>
    <t>Meks171638</t>
  </si>
  <si>
    <t>Meks171638@mailinator.com</t>
  </si>
  <si>
    <t>GB/20251017084835</t>
  </si>
  <si>
    <t>Meks171647</t>
  </si>
  <si>
    <t>Meks171647@mailinator.com</t>
  </si>
  <si>
    <t>GB/20251017085209</t>
  </si>
  <si>
    <t>Masse Ll Prihatinto</t>
  </si>
  <si>
    <t>meks171650@mailinator.com</t>
  </si>
  <si>
    <t>GB/20251017090950</t>
  </si>
  <si>
    <t>utik utik</t>
  </si>
  <si>
    <t>utik-bawel@mail.com</t>
  </si>
  <si>
    <t>GB/20251017091421</t>
  </si>
  <si>
    <t>Meks171713</t>
  </si>
  <si>
    <t>Meks171713@mailinator.com</t>
  </si>
  <si>
    <t>GB/20251017092909</t>
  </si>
  <si>
    <t>Meks171728</t>
  </si>
  <si>
    <t>Meks171728@mailinator.com</t>
  </si>
  <si>
    <t>GB/20251017093732</t>
  </si>
  <si>
    <t>GB/20251017093743</t>
  </si>
  <si>
    <t>Meksrefund171736</t>
  </si>
  <si>
    <t>Meksrefund171736@mailinator.com</t>
  </si>
  <si>
    <t>GB/20251017094807</t>
  </si>
  <si>
    <t>Selina Saree</t>
  </si>
  <si>
    <t>ds@gm.com</t>
  </si>
  <si>
    <t>GB/20251017095544</t>
  </si>
  <si>
    <t>Putri Arini</t>
  </si>
  <si>
    <t>putria@gmail.co</t>
  </si>
  <si>
    <t>GB/20251017131019</t>
  </si>
  <si>
    <t>GB/20251018041635</t>
  </si>
  <si>
    <t>Meks181216</t>
  </si>
  <si>
    <t>Meks181216@mailinator.com</t>
  </si>
  <si>
    <t>GB/20251018113015</t>
  </si>
  <si>
    <t>Meks Meksi</t>
  </si>
  <si>
    <t>meks181929@mailinator.com</t>
  </si>
  <si>
    <t>GB/20251018171923</t>
  </si>
  <si>
    <t>aaaa</t>
  </si>
  <si>
    <t>aaa@aa.com</t>
  </si>
  <si>
    <t>GB/20251018172242</t>
  </si>
  <si>
    <t>GB/20251019031125</t>
  </si>
  <si>
    <t>Meks191110</t>
  </si>
  <si>
    <t>Meks191110@mailinator.com</t>
  </si>
  <si>
    <t>GB/20251019052617</t>
  </si>
  <si>
    <t>Meksiiii</t>
  </si>
  <si>
    <t>meks191325@mailinator.com</t>
  </si>
  <si>
    <t>GB/20251019055743</t>
  </si>
  <si>
    <t>Masse Ep Prihatinto</t>
  </si>
  <si>
    <t>Meks191357@mailinator.com</t>
  </si>
  <si>
    <t>GB/20251019061406</t>
  </si>
  <si>
    <t>meks191412@mailinator.com</t>
  </si>
  <si>
    <t>GB/20251019063505</t>
  </si>
  <si>
    <t>Mwka</t>
  </si>
  <si>
    <t>meks191434@mailinator.com</t>
  </si>
  <si>
    <t>GB/20251019072256</t>
  </si>
  <si>
    <t>Meks191522</t>
  </si>
  <si>
    <t>Meks191522@mailinator.com</t>
  </si>
  <si>
    <t>GB/20251019073800</t>
  </si>
  <si>
    <t>Meks191536</t>
  </si>
  <si>
    <t>Meks191536@mailinator.com</t>
  </si>
  <si>
    <t>GB/20251019075812</t>
  </si>
  <si>
    <t>Meks191557</t>
  </si>
  <si>
    <t>Meks191557@mailinator.com</t>
  </si>
  <si>
    <t>GB/20251019080234</t>
  </si>
  <si>
    <t>Meks191601</t>
  </si>
  <si>
    <t>Meks191601@mailinator.com</t>
  </si>
  <si>
    <t>GB/20251019081612</t>
  </si>
  <si>
    <t>Meks191615</t>
  </si>
  <si>
    <t>Meks191615@mailinator.com</t>
  </si>
  <si>
    <t>GB/20251019081850</t>
  </si>
  <si>
    <t>Meks191617</t>
  </si>
  <si>
    <t>Meks191617@mailinator.com</t>
  </si>
  <si>
    <t>GB/20251019082832</t>
  </si>
  <si>
    <t>Meks191626</t>
  </si>
  <si>
    <t>Meks191626@mailinator.com</t>
  </si>
  <si>
    <t>GB/20251019083823</t>
  </si>
  <si>
    <t>meks191637@mailinator.com</t>
  </si>
  <si>
    <t>GB/20251019093524</t>
  </si>
  <si>
    <t>meks191734@mailinator.com</t>
  </si>
  <si>
    <t>GB/20251019094412</t>
  </si>
  <si>
    <t>Meks191743</t>
  </si>
  <si>
    <t>Meks191743@mailinator.com</t>
  </si>
  <si>
    <t>GB/20251019100646</t>
  </si>
  <si>
    <t>Meks191806</t>
  </si>
  <si>
    <t>Meks191806@mailinator.com</t>
  </si>
  <si>
    <t>GB/20251019102109</t>
  </si>
  <si>
    <t>Meks191820</t>
  </si>
  <si>
    <t>Meks191820@mailinator.com</t>
  </si>
  <si>
    <t>GB/20251019102852</t>
  </si>
  <si>
    <t>Meks191828</t>
  </si>
  <si>
    <t>Meks191828@mailinator.com</t>
  </si>
  <si>
    <t>GB/20251019103752</t>
  </si>
  <si>
    <t>Meks191837</t>
  </si>
  <si>
    <t>Meks191837@mailinator.com</t>
  </si>
  <si>
    <t>GB/20251019104633</t>
  </si>
  <si>
    <t>Meks191845</t>
  </si>
  <si>
    <t>Meks191845@mailinator.com</t>
  </si>
  <si>
    <t>Premium Oasis Gazebo</t>
  </si>
  <si>
    <t>GB/20251019105119</t>
  </si>
  <si>
    <t>Meks191850</t>
  </si>
  <si>
    <t>Meks191850@mailinatorcom</t>
  </si>
  <si>
    <t>GB/20251019105540</t>
  </si>
  <si>
    <t>Meks191855</t>
  </si>
  <si>
    <t>Meks191855@mailinator.com</t>
  </si>
  <si>
    <t>GB/20251019112440</t>
  </si>
  <si>
    <t>Meks191923</t>
  </si>
  <si>
    <t>Meks191923@mailinator.com</t>
  </si>
  <si>
    <t>GB/20251019115224</t>
  </si>
  <si>
    <t>Meks191951</t>
  </si>
  <si>
    <t>Meks191951@mailinator.com</t>
  </si>
  <si>
    <t>GB/20251019115459</t>
  </si>
  <si>
    <t>Meks191954</t>
  </si>
  <si>
    <t>Meks191954@mailinator.com</t>
  </si>
  <si>
    <t>GB/20251019153551</t>
  </si>
  <si>
    <t>info@meksi.com</t>
  </si>
  <si>
    <t>GB/20251019153620</t>
  </si>
  <si>
    <t>GB/20251020024140</t>
  </si>
  <si>
    <t>GB/20251020032111</t>
  </si>
  <si>
    <t>Meks201120</t>
  </si>
  <si>
    <t>Meks201120@mailinator.com</t>
  </si>
  <si>
    <t>GB/20251020035437</t>
  </si>
  <si>
    <t>Meks201153</t>
  </si>
  <si>
    <t>Meks201153@mailinator.com</t>
  </si>
  <si>
    <t>GB/20251020041431</t>
  </si>
  <si>
    <t>Meks201213</t>
  </si>
  <si>
    <t>Meks201213@mailinator.com</t>
  </si>
  <si>
    <t>GB/20251020045459</t>
  </si>
  <si>
    <t>Risna Test4</t>
  </si>
  <si>
    <t>dhdhdd@mail.com</t>
  </si>
  <si>
    <t>GB/20251020052628</t>
  </si>
  <si>
    <t>Meks201325</t>
  </si>
  <si>
    <t>Meks201325@mailinator.com</t>
  </si>
  <si>
    <t>GB/20251020060411</t>
  </si>
  <si>
    <t>Meks201403</t>
  </si>
  <si>
    <t>Meks201403@mailinator.com</t>
  </si>
  <si>
    <t>GB/20251020065130</t>
  </si>
  <si>
    <t>GB/20251020070910</t>
  </si>
  <si>
    <t>Meks201508</t>
  </si>
  <si>
    <t>Meks201508@mailinator.com</t>
  </si>
  <si>
    <t>GB/20251020071648</t>
  </si>
  <si>
    <t>GB/20251020072153</t>
  </si>
  <si>
    <t>GB/20251020072251</t>
  </si>
  <si>
    <t>putri warsini 1</t>
  </si>
  <si>
    <t>putri@gmail.com</t>
  </si>
  <si>
    <t>GB/20251020072736</t>
  </si>
  <si>
    <t>arini tes</t>
  </si>
  <si>
    <t>arini@mail.com</t>
  </si>
  <si>
    <t>GB/20251020072901</t>
  </si>
  <si>
    <t>info1@waterbom-bali.com</t>
  </si>
  <si>
    <t>GB/20251020073118</t>
  </si>
  <si>
    <t>widi mei tes tes</t>
  </si>
  <si>
    <t>cashier@wb.com</t>
  </si>
  <si>
    <t>GB/20251020073259</t>
  </si>
  <si>
    <t>MNM Trial2</t>
  </si>
  <si>
    <t>test@gmail.com</t>
  </si>
  <si>
    <t>GB/20251020073327</t>
  </si>
  <si>
    <t>GB/20251020075059</t>
  </si>
  <si>
    <t>GB/20251020075854</t>
  </si>
  <si>
    <t>gusde niko</t>
  </si>
  <si>
    <t>putriwar@gmail.com</t>
  </si>
  <si>
    <t>GB/20251020083156</t>
  </si>
  <si>
    <t>Efo Satu</t>
  </si>
  <si>
    <t>efosatu@mailinator.com</t>
  </si>
  <si>
    <t>GB/20251020085208</t>
  </si>
  <si>
    <t>Efo Empat</t>
  </si>
  <si>
    <t>efoempat@mailinator.com</t>
  </si>
  <si>
    <t>Efo Tiga</t>
  </si>
  <si>
    <t>efotiga@mailinator.com</t>
  </si>
  <si>
    <t>Efo Lima</t>
  </si>
  <si>
    <t>efolima@mailinator.com</t>
  </si>
  <si>
    <t>Efo Enam</t>
  </si>
  <si>
    <t>efoenam@mailinator.com</t>
  </si>
  <si>
    <t>Efo Dua</t>
  </si>
  <si>
    <t>efodua@mailinator.com</t>
  </si>
  <si>
    <t>GB/20251020085457</t>
  </si>
  <si>
    <t>Michael</t>
  </si>
  <si>
    <t>Michael@gmail.com</t>
  </si>
  <si>
    <t>GB/20251020094619</t>
  </si>
  <si>
    <t>Sukma Komang</t>
  </si>
  <si>
    <t>sukma@ga.com</t>
  </si>
  <si>
    <t>GB/20251020095340</t>
  </si>
  <si>
    <t>RETAIL TEST</t>
  </si>
  <si>
    <t>RET@ga.com</t>
  </si>
  <si>
    <t>GB/20251020095425</t>
  </si>
  <si>
    <t>retail@g.co</t>
  </si>
  <si>
    <t>GB/20251020101313</t>
  </si>
  <si>
    <t>Meks201812@mailinator.com</t>
  </si>
  <si>
    <t xml:space="preserve">Regular Plus Gazebo </t>
  </si>
  <si>
    <t>GB/20251020120448</t>
  </si>
  <si>
    <t>WB BUTTER POPCORN old</t>
  </si>
  <si>
    <t>GB/20251020123819</t>
  </si>
  <si>
    <t>Meks202034</t>
  </si>
  <si>
    <t>Meks202034@mailinator.com</t>
  </si>
  <si>
    <t>GB/20251020124538</t>
  </si>
  <si>
    <t>GB/20251020131253</t>
  </si>
  <si>
    <t>GB/20251020151719</t>
  </si>
  <si>
    <t>Meks202315</t>
  </si>
  <si>
    <t>Meks202315@mailinator.com</t>
  </si>
  <si>
    <t>GB/20251021013610</t>
  </si>
  <si>
    <t>GB/20251021021547</t>
  </si>
  <si>
    <t>GB/20251021021732</t>
  </si>
  <si>
    <t>Dan Morr</t>
  </si>
  <si>
    <t>motion@waterbom-bali.com</t>
  </si>
  <si>
    <t>GB/20251021021859</t>
  </si>
  <si>
    <t>GB/20251021021921</t>
  </si>
  <si>
    <t>K T</t>
  </si>
  <si>
    <t>kylie@waterbom-bali.com</t>
  </si>
  <si>
    <t>GB/20251021022531</t>
  </si>
  <si>
    <t>gede nuriastha</t>
  </si>
  <si>
    <t>creative@waterbom-bali.com</t>
  </si>
  <si>
    <t>GB/20251021022615</t>
  </si>
  <si>
    <t>GB/20251021023004</t>
  </si>
  <si>
    <t>ab cd</t>
  </si>
  <si>
    <t>abisena31@gmail.com</t>
  </si>
  <si>
    <t>GB/20251021023115</t>
  </si>
  <si>
    <t>IKA TESST</t>
  </si>
  <si>
    <t>ika@g.com</t>
  </si>
  <si>
    <t>GB/20251021023345</t>
  </si>
  <si>
    <t>GB/20251021024018</t>
  </si>
  <si>
    <t>GB/20251021024811</t>
  </si>
  <si>
    <t>Daniel M</t>
  </si>
  <si>
    <t>shasqiakirana@gmail.com</t>
  </si>
  <si>
    <t>GB/20251021025049</t>
  </si>
  <si>
    <t>RISNA TESST</t>
  </si>
  <si>
    <t>risna@g.co</t>
  </si>
  <si>
    <t>GB/20251021034042</t>
  </si>
  <si>
    <t>Fran Pim</t>
  </si>
  <si>
    <t>gm@waterbom-bali.com</t>
  </si>
  <si>
    <t>GB/20251021050650</t>
  </si>
  <si>
    <t>GB/20251021052518</t>
  </si>
  <si>
    <t>meks211324@mailinator.com</t>
  </si>
  <si>
    <t>GB/20251021060312</t>
  </si>
  <si>
    <t xml:space="preserve">Alex </t>
  </si>
  <si>
    <t>alex.yahoo.id</t>
  </si>
  <si>
    <t>GB/20251021060326</t>
  </si>
  <si>
    <t>ay@gmail.com</t>
  </si>
  <si>
    <t>GB/20251021060720</t>
  </si>
  <si>
    <t>Ketut</t>
  </si>
  <si>
    <t>ketutwirawan7940@gmail.com</t>
  </si>
  <si>
    <t>GB/20251021060809</t>
  </si>
  <si>
    <t>Gus</t>
  </si>
  <si>
    <t>gus.pandith@yahoo.com</t>
  </si>
  <si>
    <t>Algeria</t>
  </si>
  <si>
    <t>GB/20251021064706</t>
  </si>
  <si>
    <t xml:space="preserve">Yuli test </t>
  </si>
  <si>
    <t>y@gmail.com</t>
  </si>
  <si>
    <t>Germany</t>
  </si>
  <si>
    <t>GB/20251021065005</t>
  </si>
  <si>
    <t>aaavvv</t>
  </si>
  <si>
    <t>aa@kkk.cim</t>
  </si>
  <si>
    <t>GB/20251021070401</t>
  </si>
  <si>
    <t xml:space="preserve">Agus </t>
  </si>
  <si>
    <t>agus.com</t>
  </si>
  <si>
    <t>GB/20251021071442</t>
  </si>
  <si>
    <t>GB/20251021074332</t>
  </si>
  <si>
    <t>GB/20251021074358</t>
  </si>
  <si>
    <t>Dewik Testing</t>
  </si>
  <si>
    <t>dew@g.com</t>
  </si>
  <si>
    <t>GB/20251021075314</t>
  </si>
  <si>
    <t>DELA TEST</t>
  </si>
  <si>
    <t>DELA@GMAIL.COM</t>
  </si>
  <si>
    <t>GB/20251021075543</t>
  </si>
  <si>
    <t>Kurnia</t>
  </si>
  <si>
    <t>kur@gmail.com</t>
  </si>
  <si>
    <t>GB/20251021080009</t>
  </si>
  <si>
    <t>Heni</t>
  </si>
  <si>
    <t>heni@test.com</t>
  </si>
  <si>
    <t>GB/20251021080332</t>
  </si>
  <si>
    <t>GB/20251021080947</t>
  </si>
  <si>
    <t>Dewikurnia</t>
  </si>
  <si>
    <t>dewdew@gmail.com</t>
  </si>
  <si>
    <t>GB/20251021081417</t>
  </si>
  <si>
    <t>Ni Luh Heni</t>
  </si>
  <si>
    <t>heni@mail.com</t>
  </si>
  <si>
    <t>GB/20251021081738</t>
  </si>
  <si>
    <t>ARI</t>
  </si>
  <si>
    <t>ARI8@gmail.com</t>
  </si>
  <si>
    <t>Greece</t>
  </si>
  <si>
    <t>GB/20251021082001</t>
  </si>
  <si>
    <t>Heni Tersting</t>
  </si>
  <si>
    <t>heni@g.co</t>
  </si>
  <si>
    <t>GB/20251021082331</t>
  </si>
  <si>
    <t>Hehehe</t>
  </si>
  <si>
    <t>hehe1001@mailinator.com</t>
  </si>
  <si>
    <t>GB/20251021082248</t>
  </si>
  <si>
    <t>WIJA CHECK</t>
  </si>
  <si>
    <t>wijakirei@gmail.com</t>
  </si>
  <si>
    <t>GB/20251021082302</t>
  </si>
  <si>
    <t>Dela Testing</t>
  </si>
  <si>
    <t>dela@g.co</t>
  </si>
  <si>
    <t>GB/20251021083121</t>
  </si>
  <si>
    <t>Dewi s</t>
  </si>
  <si>
    <t>wow@gmail.com</t>
  </si>
  <si>
    <t>GB/20251021083327</t>
  </si>
  <si>
    <t>GB/20251021085154</t>
  </si>
  <si>
    <t>Meks211651</t>
  </si>
  <si>
    <t>Meks211651@mailinator.com</t>
  </si>
  <si>
    <t>GB/20251021085735</t>
  </si>
  <si>
    <t>Meksi211657</t>
  </si>
  <si>
    <t>Meksi211657@mailinator.com</t>
  </si>
  <si>
    <t>GB/20251021091915</t>
  </si>
  <si>
    <t>Jenny Adelia</t>
  </si>
  <si>
    <t>jennyadelia@gmail.com</t>
  </si>
  <si>
    <t>Macau</t>
  </si>
  <si>
    <t>GB/20251021092013</t>
  </si>
  <si>
    <t>widyaa</t>
  </si>
  <si>
    <t>wid25@gmail.com</t>
  </si>
  <si>
    <t>GB/20251021095140</t>
  </si>
  <si>
    <t>Meks211751</t>
  </si>
  <si>
    <t>Meks211751@mailinator.com</t>
  </si>
  <si>
    <t>GB/20251021095245</t>
  </si>
  <si>
    <t>Meks211752</t>
  </si>
  <si>
    <t>Meks211752@mailinator.com</t>
  </si>
  <si>
    <t>GB/20251021095339</t>
  </si>
  <si>
    <t>Meks211753</t>
  </si>
  <si>
    <t>Meks211753@mailinator.com</t>
  </si>
  <si>
    <t>GB/20251021095559</t>
  </si>
  <si>
    <t>GB/20251021095954</t>
  </si>
  <si>
    <t>WULAN TEST</t>
  </si>
  <si>
    <t>wul@g.co</t>
  </si>
  <si>
    <t>GB/20251021100000</t>
  </si>
  <si>
    <t>GB/20251021101331</t>
  </si>
  <si>
    <t>TESTING RETAIL 1</t>
  </si>
  <si>
    <t>testingr@g.co</t>
  </si>
  <si>
    <t>GB/20251021101415</t>
  </si>
  <si>
    <t>TESTING RETAIL 2</t>
  </si>
  <si>
    <t>testr2@g.co</t>
  </si>
  <si>
    <t>GB/20251021101455</t>
  </si>
  <si>
    <t>TESTING RETAIL 3</t>
  </si>
  <si>
    <t>testr3@g.co</t>
  </si>
  <si>
    <t>GB/20251021101537</t>
  </si>
  <si>
    <t>TESTING RETAIL 4</t>
  </si>
  <si>
    <t>testr4@g.co</t>
  </si>
  <si>
    <t>GB/20251021101742</t>
  </si>
  <si>
    <t>GB/20251021103041</t>
  </si>
  <si>
    <t>GB/20251021104619</t>
  </si>
  <si>
    <t>GB/20251021125035</t>
  </si>
  <si>
    <t>GB/20251021131159</t>
  </si>
  <si>
    <t>meks212111@mailinator.com</t>
  </si>
  <si>
    <t>GB/20251021131517</t>
  </si>
  <si>
    <t>GB/20251021131527</t>
  </si>
  <si>
    <t>GB/20251021131616</t>
  </si>
  <si>
    <t>Masse Ooo Prihatinto</t>
  </si>
  <si>
    <t>meks212115@mailinator.com</t>
  </si>
  <si>
    <t>GB/20251021132249</t>
  </si>
  <si>
    <t>Masse Eq Prihatinto</t>
  </si>
  <si>
    <t>meks212121@mailinator.com</t>
  </si>
  <si>
    <t>GB/20251021135924</t>
  </si>
  <si>
    <t>Meks2121</t>
  </si>
  <si>
    <t>Meks2121@mailinator.com</t>
  </si>
  <si>
    <t>GB/20251021143811</t>
  </si>
  <si>
    <t>meks212237@mailinator.com</t>
  </si>
  <si>
    <t>GB/20251021144804</t>
  </si>
  <si>
    <t>meks212245@mailinator.com</t>
  </si>
  <si>
    <t>GB/20251022015157</t>
  </si>
  <si>
    <t>Test Satu</t>
  </si>
  <si>
    <t>testsatu@mailinator.com</t>
  </si>
  <si>
    <t>GB/20251022021127</t>
  </si>
  <si>
    <t>D</t>
  </si>
  <si>
    <t>dsd</t>
  </si>
  <si>
    <t>Åland Islands</t>
  </si>
  <si>
    <t>GB/20251022021150</t>
  </si>
  <si>
    <t>Test Dua Gt</t>
  </si>
  <si>
    <t>testduagt@mailinator.com</t>
  </si>
  <si>
    <t>Test Tiga Gt</t>
  </si>
  <si>
    <t>testtigagt@mailinator.com</t>
  </si>
  <si>
    <t>GB/20251022021151</t>
  </si>
  <si>
    <t>Qa Empat</t>
  </si>
  <si>
    <t>qaempat@mailinator.com</t>
  </si>
  <si>
    <t>GB/20251022022022</t>
  </si>
  <si>
    <t>geraldin</t>
  </si>
  <si>
    <t>geral.com</t>
  </si>
  <si>
    <t>GB/20251022022634</t>
  </si>
  <si>
    <t>Masse Oi Prihatinto</t>
  </si>
  <si>
    <t>meks221025@mailinator.com</t>
  </si>
  <si>
    <t>GB/20251022023256</t>
  </si>
  <si>
    <t>purnama bulan</t>
  </si>
  <si>
    <t>purpur.com</t>
  </si>
  <si>
    <t>GB/20251022034318</t>
  </si>
  <si>
    <t>Meks221141</t>
  </si>
  <si>
    <t>Meks221141@mailinator.com</t>
  </si>
  <si>
    <t>GB/20251022052647</t>
  </si>
  <si>
    <t>Meksi Hehe</t>
  </si>
  <si>
    <t>meksihehehehe@mailinator.com</t>
  </si>
  <si>
    <t>GB/20251022052653</t>
  </si>
  <si>
    <t xml:space="preserve">Yuliati </t>
  </si>
  <si>
    <t>k@gmail.com</t>
  </si>
  <si>
    <t>GB/20251022052711</t>
  </si>
  <si>
    <t>Jessica Trisha</t>
  </si>
  <si>
    <t>operation.bali@discova.com</t>
  </si>
  <si>
    <t>GB/20251022052948</t>
  </si>
  <si>
    <t>Abc</t>
  </si>
  <si>
    <t>dewi.arnita@discova.com</t>
  </si>
  <si>
    <t>Bahrain</t>
  </si>
  <si>
    <t>GB/20251022053711</t>
  </si>
  <si>
    <t>Felix Suryo</t>
  </si>
  <si>
    <t>felix.suryo@gmail.com</t>
  </si>
  <si>
    <t>Bangladesh</t>
  </si>
  <si>
    <t>GB/20251022054630</t>
  </si>
  <si>
    <t>Felix Jonathan</t>
  </si>
  <si>
    <t>felix.jonathan@discova.com</t>
  </si>
  <si>
    <t>GB/20251022054639</t>
  </si>
  <si>
    <t>Mr. B</t>
  </si>
  <si>
    <t>ambarawati@discova.com</t>
  </si>
  <si>
    <t>GB/20251022060903</t>
  </si>
  <si>
    <t>GB/20251022064657</t>
  </si>
  <si>
    <t>GB/20251022064836</t>
  </si>
  <si>
    <t>GB/20251022071057</t>
  </si>
  <si>
    <t>METHA DR</t>
  </si>
  <si>
    <t>methadianrahayu8@gmail.com</t>
  </si>
  <si>
    <t>GB/20251022071101</t>
  </si>
  <si>
    <t>yanti test</t>
  </si>
  <si>
    <t xml:space="preserve">wahyu.krisnayanti15@gmail.com </t>
  </si>
  <si>
    <t>GB/20251022071117</t>
  </si>
  <si>
    <t>pur</t>
  </si>
  <si>
    <t>purnama@g.com</t>
  </si>
  <si>
    <t>GB/20251022071120</t>
  </si>
  <si>
    <t>ARYASA</t>
  </si>
  <si>
    <t>kadekanggreni616@gmail.com</t>
  </si>
  <si>
    <t>GB/20251022071316</t>
  </si>
  <si>
    <t xml:space="preserve">wati ayu </t>
  </si>
  <si>
    <t>gustiayusutrisna@gmail.com</t>
  </si>
  <si>
    <t>GB/20251022071625</t>
  </si>
  <si>
    <t>Meks221512</t>
  </si>
  <si>
    <t>Meks221512@mailinator.com</t>
  </si>
  <si>
    <t>GB/20251022071912</t>
  </si>
  <si>
    <t>meksss221418@mailinator.com</t>
  </si>
  <si>
    <t>GB/20251022072040</t>
  </si>
  <si>
    <t>Mekssss</t>
  </si>
  <si>
    <t>mekss221519@mailinator.com</t>
  </si>
  <si>
    <t>Indo Jaya Travel Pricelist (IDR)</t>
  </si>
  <si>
    <t>GB/20251022072105</t>
  </si>
  <si>
    <t>GB/20251022072740</t>
  </si>
  <si>
    <t>GB/20251022072815</t>
  </si>
  <si>
    <t>ayu san</t>
  </si>
  <si>
    <t>rt@gmail.com</t>
  </si>
  <si>
    <t>GB/20251022073311</t>
  </si>
  <si>
    <t>GB/20251022073820</t>
  </si>
  <si>
    <t>Retail Fourpack Satu</t>
  </si>
  <si>
    <t>retailfourpacksatu@mailinator.com</t>
  </si>
  <si>
    <t>GB/20251022074157</t>
  </si>
  <si>
    <t>Retail Four Dua</t>
  </si>
  <si>
    <t>retailfourdua@mailinator.com</t>
  </si>
  <si>
    <t>GB/20251022074554</t>
  </si>
  <si>
    <t>Retail Four Tiga</t>
  </si>
  <si>
    <t>reatilfourtiga@mailinator.com</t>
  </si>
  <si>
    <t>GB/20251022075154</t>
  </si>
  <si>
    <t>Meks221551</t>
  </si>
  <si>
    <t>Meks221551@mailinator.com</t>
  </si>
  <si>
    <t>GB/20251022075702</t>
  </si>
  <si>
    <t>GB/20251022075951</t>
  </si>
  <si>
    <t>GB/20251022075956</t>
  </si>
  <si>
    <t>GB/20251022080019</t>
  </si>
  <si>
    <t>GB/20251022080115</t>
  </si>
  <si>
    <t>sarah</t>
  </si>
  <si>
    <t>sarah@gmail.com</t>
  </si>
  <si>
    <t>GB/20251022080349</t>
  </si>
  <si>
    <t>GB/20251022080433</t>
  </si>
  <si>
    <t>GB/20251022080708</t>
  </si>
  <si>
    <t>nila</t>
  </si>
  <si>
    <t>nila@gmail.com</t>
  </si>
  <si>
    <t>GB/20251022080837</t>
  </si>
  <si>
    <t>GB/20251022080944</t>
  </si>
  <si>
    <t>GB/20251022082049</t>
  </si>
  <si>
    <t>GB/20251022082054</t>
  </si>
  <si>
    <t>GB/20251022082100</t>
  </si>
  <si>
    <t>santino</t>
  </si>
  <si>
    <t>wah</t>
  </si>
  <si>
    <t>GB/20251022082056</t>
  </si>
  <si>
    <t>GB/20251022082106</t>
  </si>
  <si>
    <t>GB/20251022085749</t>
  </si>
  <si>
    <t>GB/20251022090423</t>
  </si>
  <si>
    <t>GB/20251022090435</t>
  </si>
  <si>
    <t>GB/20251022090440</t>
  </si>
  <si>
    <t>GB/20251022090458</t>
  </si>
  <si>
    <t>GB/20251022090503</t>
  </si>
  <si>
    <t>GB/20251022091310</t>
  </si>
  <si>
    <t>GB/20251022093827</t>
  </si>
  <si>
    <t>GB/20251022123639</t>
  </si>
  <si>
    <t>Meks222035</t>
  </si>
  <si>
    <t>Meks222035@mailinator.com</t>
  </si>
  <si>
    <t>GB/20251022131252</t>
  </si>
  <si>
    <t>GB/20251022131428</t>
  </si>
  <si>
    <t>GB/20251023011331</t>
  </si>
  <si>
    <t>ANDREW BROWN</t>
  </si>
  <si>
    <t>adre@g.co</t>
  </si>
  <si>
    <t>GB/20251023011549</t>
  </si>
  <si>
    <t>BROWN SUGAR</t>
  </si>
  <si>
    <t>bron@g.co</t>
  </si>
  <si>
    <t>GB/20251023011744</t>
  </si>
  <si>
    <t>Browniee</t>
  </si>
  <si>
    <t>brown@g.com</t>
  </si>
  <si>
    <t>GB/20251023012009</t>
  </si>
  <si>
    <t>GB/20251023012041</t>
  </si>
  <si>
    <t>IBU RATNA</t>
  </si>
  <si>
    <t>rat@g.co</t>
  </si>
  <si>
    <t>GB/20251023014518</t>
  </si>
  <si>
    <t>IKA TESTINGGG</t>
  </si>
  <si>
    <t>ika@g.co</t>
  </si>
  <si>
    <t>GB/20251023015701</t>
  </si>
  <si>
    <t>GEORGINO</t>
  </si>
  <si>
    <t>geo@.co</t>
  </si>
  <si>
    <t>GB/20251023020349</t>
  </si>
  <si>
    <t>Amara Wright</t>
  </si>
  <si>
    <t>amara@g.co</t>
  </si>
  <si>
    <t>GB/20251023021004</t>
  </si>
  <si>
    <t>Anna Maria</t>
  </si>
  <si>
    <t>anna@g.co</t>
  </si>
  <si>
    <t>GB/20251023023158</t>
  </si>
  <si>
    <t>MADE DIAN</t>
  </si>
  <si>
    <t>md.@.co</t>
  </si>
  <si>
    <t>GB/20251023024232</t>
  </si>
  <si>
    <t>RETAIL TEST 1</t>
  </si>
  <si>
    <t>r@te.co</t>
  </si>
  <si>
    <t>GB/20251023024303</t>
  </si>
  <si>
    <t>GB/20251023024333</t>
  </si>
  <si>
    <t>GB/20251023024401</t>
  </si>
  <si>
    <t>GB/20251023024522</t>
  </si>
  <si>
    <t>GB/20251023025306</t>
  </si>
  <si>
    <t>Joko Retail</t>
  </si>
  <si>
    <t>jokoretail@m.com</t>
  </si>
  <si>
    <t>GB/20251023025821</t>
  </si>
  <si>
    <t>Joko Retail 2</t>
  </si>
  <si>
    <t>jokoretail2@m.com</t>
  </si>
  <si>
    <t>GB/20251023030021</t>
  </si>
  <si>
    <t>Joko Retail 3</t>
  </si>
  <si>
    <t>jokoretail3@m.com</t>
  </si>
  <si>
    <t>GB/20251023032948</t>
  </si>
  <si>
    <t>Risna Test6</t>
  </si>
  <si>
    <t>risnaa.cahyani@hotmail.com</t>
  </si>
  <si>
    <t>GB/20251023034459</t>
  </si>
  <si>
    <t xml:space="preserve">TRI </t>
  </si>
  <si>
    <t>SUKMA@GMAIL.CO</t>
  </si>
  <si>
    <t>GB/20251023040342</t>
  </si>
  <si>
    <t>Masse Meksi</t>
  </si>
  <si>
    <t>masse_meksi20250923120319431@waterbom-bali.com</t>
  </si>
  <si>
    <t>GB/20251023044322</t>
  </si>
  <si>
    <t>md@mail.co</t>
  </si>
  <si>
    <t>GB/20251023044425</t>
  </si>
  <si>
    <t>MADE DIAN NEW</t>
  </si>
  <si>
    <t>MADE@GMAIL</t>
  </si>
  <si>
    <t>GB/20251023045510</t>
  </si>
  <si>
    <t>PUTRI WARSINI</t>
  </si>
  <si>
    <t>PUTRI@GMAIL.COM</t>
  </si>
  <si>
    <t>GB/20251023045749</t>
  </si>
  <si>
    <t>ARINI PUTRI</t>
  </si>
  <si>
    <t>PUTRIARINI@GMAIL.COM</t>
  </si>
  <si>
    <t>GB/20251023050729</t>
  </si>
  <si>
    <t>GB/20251023051503</t>
  </si>
  <si>
    <t>Andrew</t>
  </si>
  <si>
    <t>mahendraangga066@gmail.com</t>
  </si>
  <si>
    <t>GB/20251023051508</t>
  </si>
  <si>
    <t>Siapa Aku</t>
  </si>
  <si>
    <t>siapakau@mailinator.com</t>
  </si>
  <si>
    <t>GB/20251023052317</t>
  </si>
  <si>
    <t>GB/20251023052355</t>
  </si>
  <si>
    <t>Siapa Ini</t>
  </si>
  <si>
    <t>siapaini@mailinator.com</t>
  </si>
  <si>
    <t>Antigua and Barbuda</t>
  </si>
  <si>
    <t>GB/20251023055747</t>
  </si>
  <si>
    <t>GB/20251023055758</t>
  </si>
  <si>
    <t>diah yulianti</t>
  </si>
  <si>
    <t>diahyulianti23@gmail.com</t>
  </si>
  <si>
    <t>GB/20251023055805</t>
  </si>
  <si>
    <t>GB/20251023055848</t>
  </si>
  <si>
    <t>ananda dea</t>
  </si>
  <si>
    <t>deaananda@gmail.com</t>
  </si>
  <si>
    <t>GB/20251023055858</t>
  </si>
  <si>
    <t>eka cantik</t>
  </si>
  <si>
    <t>ekacantik.go.id</t>
  </si>
  <si>
    <t>GB/20251023060140</t>
  </si>
  <si>
    <t>GB/20251023061100</t>
  </si>
  <si>
    <t>GB/20251023061136</t>
  </si>
  <si>
    <t>GB/20251023061342</t>
  </si>
  <si>
    <t>Meks231412@mailinator.com</t>
  </si>
  <si>
    <t>GB/20251023062349</t>
  </si>
  <si>
    <t>GB/20251023063157</t>
  </si>
  <si>
    <t>yuliii</t>
  </si>
  <si>
    <t>diahyulianti2@gmail.com</t>
  </si>
  <si>
    <t>GB/20251023063203</t>
  </si>
  <si>
    <t>meitri puspita</t>
  </si>
  <si>
    <t>cashier@waterbombali.com</t>
  </si>
  <si>
    <t>GB/20251023063349</t>
  </si>
  <si>
    <t>GB/20251023063939</t>
  </si>
  <si>
    <t>ratna dewi</t>
  </si>
  <si>
    <t>rdewi@g.com</t>
  </si>
  <si>
    <t>GB/20251023064042</t>
  </si>
  <si>
    <t>eka</t>
  </si>
  <si>
    <t>eka@gmail.com</t>
  </si>
  <si>
    <t>Guatemala</t>
  </si>
  <si>
    <t>GB/20251023064125</t>
  </si>
  <si>
    <t>nanda</t>
  </si>
  <si>
    <t>nanda@gmail.com</t>
  </si>
  <si>
    <t>GB/20251023064229</t>
  </si>
  <si>
    <t>GLADISAYU</t>
  </si>
  <si>
    <t>GLADIS@GMAIL.COM</t>
  </si>
  <si>
    <t>GB/20251023064838</t>
  </si>
  <si>
    <t>Masse Meks</t>
  </si>
  <si>
    <t>masse_meks20250923144808152@waterbom-bali.com</t>
  </si>
  <si>
    <t>GB/20251023064855</t>
  </si>
  <si>
    <t>putri cantik</t>
  </si>
  <si>
    <t>putriary13@gmai.com</t>
  </si>
  <si>
    <t>GB/20251023070206</t>
  </si>
  <si>
    <t>Meksmeks</t>
  </si>
  <si>
    <t>meksmeks20250923150147949@waterbom-bali.com</t>
  </si>
  <si>
    <t>GB/20251023070400</t>
  </si>
  <si>
    <t>Meksmekss</t>
  </si>
  <si>
    <t>meksmekss20250923150337436@waterbom-bali.com</t>
  </si>
  <si>
    <t>Offline Agent ABC (IDR)</t>
  </si>
  <si>
    <t>GB/20251023070549</t>
  </si>
  <si>
    <t>meksmeks20250923150525631@waterbom-bali.com</t>
  </si>
  <si>
    <t>Website Pricelist (IDR)</t>
  </si>
  <si>
    <t>GB/20251023070638</t>
  </si>
  <si>
    <t>GB/20251023070722</t>
  </si>
  <si>
    <t>ayam</t>
  </si>
  <si>
    <t>ayam.go.id</t>
  </si>
  <si>
    <t>GB/20251023070716</t>
  </si>
  <si>
    <t>trial</t>
  </si>
  <si>
    <t>trial@hotmail.com</t>
  </si>
  <si>
    <t>GB/20251023070723</t>
  </si>
  <si>
    <t>badriah</t>
  </si>
  <si>
    <t>test23@gmail.com</t>
  </si>
  <si>
    <t>GB/20251023070746</t>
  </si>
  <si>
    <t>GB/20251023071000</t>
  </si>
  <si>
    <t>GB/20251023071013</t>
  </si>
  <si>
    <t>GB/20251023071022</t>
  </si>
  <si>
    <t>GB/20251023071031</t>
  </si>
  <si>
    <t>GB/20251023071050</t>
  </si>
  <si>
    <t>WIJATEST2</t>
  </si>
  <si>
    <t>hhha@mail.co</t>
  </si>
  <si>
    <t>GB/20251023071205</t>
  </si>
  <si>
    <t>GB/20251023074343</t>
  </si>
  <si>
    <t>Isyana</t>
  </si>
  <si>
    <t>Isyana@gmail</t>
  </si>
  <si>
    <t>GB/20251023074452</t>
  </si>
  <si>
    <t xml:space="preserve">DIANA </t>
  </si>
  <si>
    <t>DIANA9060@GMAIL.COM</t>
  </si>
  <si>
    <t>GB/20251023074549</t>
  </si>
  <si>
    <t>Cindy</t>
  </si>
  <si>
    <t>cindytest@gmail.com</t>
  </si>
  <si>
    <t>GB/20251023074603</t>
  </si>
  <si>
    <t>gladisayu</t>
  </si>
  <si>
    <t>adis@gmail.com</t>
  </si>
  <si>
    <t>GB/20251023074635</t>
  </si>
  <si>
    <t>NAOMI</t>
  </si>
  <si>
    <t>cnaomicnaomi@gmail.com</t>
  </si>
  <si>
    <t>GB/20251023081008</t>
  </si>
  <si>
    <t>meksmeks20250923160922141@waterbom-bali.com</t>
  </si>
  <si>
    <t>GB/20251023082054</t>
  </si>
  <si>
    <t>GB/20251023082313</t>
  </si>
  <si>
    <t>meks231622@mailinator.com</t>
  </si>
  <si>
    <t>GB/20251023082415</t>
  </si>
  <si>
    <t>GB/20251023082822</t>
  </si>
  <si>
    <t>Adella</t>
  </si>
  <si>
    <t>adel@gmail.com</t>
  </si>
  <si>
    <t>GB/20251023083659</t>
  </si>
  <si>
    <t>adis</t>
  </si>
  <si>
    <t>gadis@gmail.com</t>
  </si>
  <si>
    <t>GB/20251023083705</t>
  </si>
  <si>
    <t>GB/20251023083708</t>
  </si>
  <si>
    <t>ima</t>
  </si>
  <si>
    <t>ima2222</t>
  </si>
  <si>
    <t>GB/20251023083730</t>
  </si>
  <si>
    <t>GB/20251023083917</t>
  </si>
  <si>
    <t>GB/20251023083926</t>
  </si>
  <si>
    <t>GB/20251023084241</t>
  </si>
  <si>
    <t>meksmeks20250923164218968@waterbom-bali.com</t>
  </si>
  <si>
    <t>GB/20251023100103</t>
  </si>
  <si>
    <t>GB/20251023091319</t>
  </si>
  <si>
    <t>jayak</t>
  </si>
  <si>
    <t>jaya@gm.co</t>
  </si>
  <si>
    <t>GB/20251023094546</t>
  </si>
  <si>
    <t>meks_meks20250923174512739@waterbom-bali.com</t>
  </si>
  <si>
    <t>GB/20251023100209</t>
  </si>
  <si>
    <t>meks_meks20250923180147804@waterbom-bali.com</t>
  </si>
  <si>
    <t>GB/20251023100916</t>
  </si>
  <si>
    <t>meks231808@mailinator.com</t>
  </si>
  <si>
    <t>GB/20251023101746</t>
  </si>
  <si>
    <t>meks231817@mailinator.com</t>
  </si>
  <si>
    <t>GB/20251023103325</t>
  </si>
  <si>
    <t>meks_meks20250923183225880@waterbom-bali.com</t>
  </si>
  <si>
    <t>GB/20251023111836</t>
  </si>
  <si>
    <t>Rosa Afresia Siagian</t>
  </si>
  <si>
    <t>rosa.siagian@traveloka.com</t>
  </si>
  <si>
    <t>GB/20251023111844</t>
  </si>
  <si>
    <t>GB/20251023123121</t>
  </si>
  <si>
    <t>mekss20250923203107389@waterbom-bali.com</t>
  </si>
  <si>
    <t>GB/20251023123415</t>
  </si>
  <si>
    <t>meksss20250923203357902@waterbom-bali.com</t>
  </si>
  <si>
    <t>GB/20251023123910</t>
  </si>
  <si>
    <t>meksmeks20250923203856114@waterbom-bali.com</t>
  </si>
  <si>
    <t>GB/20251023124009</t>
  </si>
  <si>
    <t>GB/20251023124439</t>
  </si>
  <si>
    <t>mekssss202509232044198@waterbom-bali.com</t>
  </si>
  <si>
    <t>GB/20251023130548</t>
  </si>
  <si>
    <t>mekss20250923210537792@waterbom-bali.com</t>
  </si>
  <si>
    <t>GB/20251023131217</t>
  </si>
  <si>
    <t>GB/20251023131439</t>
  </si>
  <si>
    <t>GB/20251023131555</t>
  </si>
  <si>
    <t>GB/20251023132019</t>
  </si>
  <si>
    <t>hiiiii</t>
  </si>
  <si>
    <t>hiiiii20250923212008360@waterbom-bali.com</t>
  </si>
  <si>
    <t>GB/20251023133106</t>
  </si>
  <si>
    <t>hiiiii20250923213055372@waterbom-bali.com</t>
  </si>
  <si>
    <t>GB/20251023133639</t>
  </si>
  <si>
    <t>GB/20251023134214</t>
  </si>
  <si>
    <t>eeseee</t>
  </si>
  <si>
    <t>eeseee20250923214203538@waterbom-bali.com</t>
  </si>
  <si>
    <t>GB/20251023134412</t>
  </si>
  <si>
    <t>GB/20251023134713</t>
  </si>
  <si>
    <t>GB/20251023135318</t>
  </si>
  <si>
    <t>eeeessssss</t>
  </si>
  <si>
    <t>eeeessssss20250923215244546@waterbom-bali.com</t>
  </si>
  <si>
    <t>GB/20251023140828</t>
  </si>
  <si>
    <t>meksss</t>
  </si>
  <si>
    <t>meksss20250923220811777@waterbom-bali.com</t>
  </si>
  <si>
    <t>GB/20251023141158</t>
  </si>
  <si>
    <t>GB/20251023141227</t>
  </si>
  <si>
    <t>GB/20251023142104</t>
  </si>
  <si>
    <t>Meksssss</t>
  </si>
  <si>
    <t>meksssss20250923222037418@waterbom-bali.com</t>
  </si>
  <si>
    <t>GB/20251023142608</t>
  </si>
  <si>
    <t xml:space="preserve">Jiki Jiki </t>
  </si>
  <si>
    <t>jikijiki1@m.com</t>
  </si>
  <si>
    <t>GB/20251023142627</t>
  </si>
  <si>
    <t>mees</t>
  </si>
  <si>
    <t>mees20250923222614237@waterbom-bali.com</t>
  </si>
  <si>
    <t>GB/20251023145053</t>
  </si>
  <si>
    <t>miiii</t>
  </si>
  <si>
    <t>miiii20250923225039575@waterbom-bali.com</t>
  </si>
  <si>
    <t>GB/20251023150606</t>
  </si>
  <si>
    <t>hooooo</t>
  </si>
  <si>
    <t>hooooo20250923230543510@waterbom-bali.com</t>
  </si>
  <si>
    <t>GB/20251023150705</t>
  </si>
  <si>
    <t>GB/20251023152130</t>
  </si>
  <si>
    <t>loooo</t>
  </si>
  <si>
    <t>loooo20250923232046688@waterbom-bali.com</t>
  </si>
  <si>
    <t>GB/20251023153708</t>
  </si>
  <si>
    <t>GB/20251023154121</t>
  </si>
  <si>
    <t>hiiiii20250923234051215@waterbom-bali.com</t>
  </si>
  <si>
    <t>GB/20251023155740</t>
  </si>
  <si>
    <t>meeeee</t>
  </si>
  <si>
    <t>meeeee20250923235729644@waterbom-bali.com</t>
  </si>
  <si>
    <t>GB/20251023160813</t>
  </si>
  <si>
    <t>jjjj</t>
  </si>
  <si>
    <t>jjjj20250924000802566@waterbom-bali.com</t>
  </si>
  <si>
    <t>GB/20251023162249</t>
  </si>
  <si>
    <t>Keeeooo</t>
  </si>
  <si>
    <t>keeeooo2025092400223723@waterbom-bali.com</t>
  </si>
  <si>
    <t>GB/20251023165808</t>
  </si>
  <si>
    <t>mmm</t>
  </si>
  <si>
    <t>mmm20250924005244465@waterbom-bali.com</t>
  </si>
  <si>
    <t>GB/20251024001450</t>
  </si>
  <si>
    <t>GB/20251024011550</t>
  </si>
  <si>
    <t>SHELLEY SHELLEY</t>
  </si>
  <si>
    <t>shelley@g.co</t>
  </si>
  <si>
    <t>United State</t>
  </si>
  <si>
    <t>GB/20251024011914</t>
  </si>
  <si>
    <t>hohoho</t>
  </si>
  <si>
    <t>hohoho20250924091848985@waterbom-bali.com</t>
  </si>
  <si>
    <t>GB/20251024012119</t>
  </si>
  <si>
    <t>GB/20251024012139</t>
  </si>
  <si>
    <t>hohoho20250924092110275@waterbom-bali.com</t>
  </si>
  <si>
    <t>GB/20251024012543</t>
  </si>
  <si>
    <t>ANNI ANNI</t>
  </si>
  <si>
    <t>anni@g.co</t>
  </si>
  <si>
    <t>GB/20251024012658</t>
  </si>
  <si>
    <t>BUDI BUDI</t>
  </si>
  <si>
    <t>cas@g.co</t>
  </si>
  <si>
    <t>GB/20251024012742</t>
  </si>
  <si>
    <t>TONO</t>
  </si>
  <si>
    <t>annie@g.co</t>
  </si>
  <si>
    <t>GB/20251024013229</t>
  </si>
  <si>
    <t>CALAMARI CALAMARI</t>
  </si>
  <si>
    <t>cal@mari.com</t>
  </si>
  <si>
    <t>GB/20251024014026</t>
  </si>
  <si>
    <t>GB/20251024015234</t>
  </si>
  <si>
    <t>Nika Nika</t>
  </si>
  <si>
    <t>nika@g.co</t>
  </si>
  <si>
    <t>GB/20251024020941</t>
  </si>
  <si>
    <t>NURI NURI</t>
  </si>
  <si>
    <t>nur@g.co</t>
  </si>
  <si>
    <t>GB/20251024021136</t>
  </si>
  <si>
    <t>GB/20251024021420</t>
  </si>
  <si>
    <t>GB/20251024021421</t>
  </si>
  <si>
    <t>GB/20251024025314</t>
  </si>
  <si>
    <t>MAYA MAYA</t>
  </si>
  <si>
    <t>may@g.co</t>
  </si>
  <si>
    <t>GB/20251024025955</t>
  </si>
  <si>
    <t>Rachel Test</t>
  </si>
  <si>
    <t>rt@g.co</t>
  </si>
  <si>
    <t>GB/20251024030417</t>
  </si>
  <si>
    <t>GB/20251024031818</t>
  </si>
  <si>
    <t>nunung</t>
  </si>
  <si>
    <t>nn@g.co</t>
  </si>
  <si>
    <t>Greenland</t>
  </si>
  <si>
    <t>GB/20251024033926</t>
  </si>
  <si>
    <t>GB/20251024033950</t>
  </si>
  <si>
    <t>rian</t>
  </si>
  <si>
    <t>r@g.co</t>
  </si>
  <si>
    <t>Gibraltar</t>
  </si>
  <si>
    <t>GB/20251024034018</t>
  </si>
  <si>
    <t>GB/20251024055201</t>
  </si>
  <si>
    <t>GB/20251024055553</t>
  </si>
  <si>
    <t>Wulan Retail</t>
  </si>
  <si>
    <t>wulann@g.co</t>
  </si>
  <si>
    <t>GB/20251024061620</t>
  </si>
  <si>
    <t>lala20250924141531815@waterbom-bali.com</t>
  </si>
  <si>
    <t>GB/20251024062613</t>
  </si>
  <si>
    <t>meksmeks241424@Mailinator.com</t>
  </si>
  <si>
    <t>GB/20251024063117</t>
  </si>
  <si>
    <t>Meks Mekss</t>
  </si>
  <si>
    <t>meksmeks241430@mailinator.com</t>
  </si>
  <si>
    <t>GB/20251024063914</t>
  </si>
  <si>
    <t>Vegan Burger</t>
  </si>
  <si>
    <t>GB/20251024065314</t>
  </si>
  <si>
    <t>MeksMeks</t>
  </si>
  <si>
    <t>meksmeks2025092414530159@waterbom-bali.com</t>
  </si>
  <si>
    <t>GB/20251024072144</t>
  </si>
  <si>
    <t>Pure Matcha</t>
  </si>
  <si>
    <t>purepurematch@gmail.com</t>
  </si>
  <si>
    <t>GB/20251024073401</t>
  </si>
  <si>
    <t xml:space="preserve">CHOCOLATE </t>
  </si>
  <si>
    <t xml:space="preserve">HONEY@GMAIL.COM </t>
  </si>
  <si>
    <t>GB/20251024075306</t>
  </si>
  <si>
    <t>MELAAA CUTE</t>
  </si>
  <si>
    <t>melaacan@gmail.com</t>
  </si>
  <si>
    <t>Saudi Arabia</t>
  </si>
  <si>
    <t>GB/20251024075315</t>
  </si>
  <si>
    <t>septiari</t>
  </si>
  <si>
    <t>artes@mail.com</t>
  </si>
  <si>
    <t>GB/20251024075324</t>
  </si>
  <si>
    <t>ZAHWA</t>
  </si>
  <si>
    <t>zahwa123@gmail.com</t>
  </si>
  <si>
    <t>GB/20251024075331</t>
  </si>
  <si>
    <t>muti cans</t>
  </si>
  <si>
    <t>mumut@gmail.com</t>
  </si>
  <si>
    <t>GB/20251024080750</t>
  </si>
  <si>
    <t>GB/20251024083822</t>
  </si>
  <si>
    <t>Meks meks</t>
  </si>
  <si>
    <t>meksmeks241627@mailinator.com</t>
  </si>
  <si>
    <t>GB/20251024083201</t>
  </si>
  <si>
    <t>TIARA</t>
  </si>
  <si>
    <t xml:space="preserve">TIARAG@MAIL.COM </t>
  </si>
  <si>
    <t>GB/20251024085454</t>
  </si>
  <si>
    <t>GB/20251024090417</t>
  </si>
  <si>
    <t>GB/20251024092117</t>
  </si>
  <si>
    <t>meks_meks20250924172041194@waterbom-bali.com</t>
  </si>
  <si>
    <t>GB/20251024094818</t>
  </si>
  <si>
    <t>Masse Hee Prihatinto</t>
  </si>
  <si>
    <t>meks241747@mailinator.com</t>
  </si>
  <si>
    <t>GB/20251024110454</t>
  </si>
  <si>
    <t>GB/20251024131132</t>
  </si>
  <si>
    <t>GB/20251024145012</t>
  </si>
  <si>
    <t>meks242249@mailinator.com</t>
  </si>
  <si>
    <t>GB/20251024170714</t>
  </si>
  <si>
    <t>heheehe</t>
  </si>
  <si>
    <t>heheehe20250925010500140@waterbom-bali.com</t>
  </si>
  <si>
    <t>GB/20251024172442</t>
  </si>
  <si>
    <t>GB/20251024172824</t>
  </si>
  <si>
    <t>GB/20251024172848</t>
  </si>
  <si>
    <t>GB/20251024172917</t>
  </si>
  <si>
    <t>GB/20251024173227</t>
  </si>
  <si>
    <t>hihihi</t>
  </si>
  <si>
    <t>hihihi20250925013111815@waterbom-bali.com</t>
  </si>
  <si>
    <t>GB/20251025022857</t>
  </si>
  <si>
    <t>Rani Test</t>
  </si>
  <si>
    <t>rani@gmail.co</t>
  </si>
  <si>
    <t>GB/20251025031331</t>
  </si>
  <si>
    <t>aqw</t>
  </si>
  <si>
    <t>aqw20250925111318648@waterbom-bali.com</t>
  </si>
  <si>
    <t>GB/20251025045133</t>
  </si>
  <si>
    <t>Global Art</t>
  </si>
  <si>
    <t>GB/20251025050111</t>
  </si>
  <si>
    <t>Annie</t>
  </si>
  <si>
    <t>annie202509251248540@waterbom-bali.com</t>
  </si>
  <si>
    <t>WB SINGLE SCOOP (Oreo)</t>
  </si>
  <si>
    <t>GB/20251025051329</t>
  </si>
  <si>
    <t>SMAK Kristen 100</t>
  </si>
  <si>
    <t>SMAK Kristen 98</t>
  </si>
  <si>
    <t>SMAK Kristen 96</t>
  </si>
  <si>
    <t>SMAK Kristen 99</t>
  </si>
  <si>
    <t>SMAK Kristen 97</t>
  </si>
  <si>
    <t>GB/20251025051330</t>
  </si>
  <si>
    <t>SMAK Kristen 95</t>
  </si>
  <si>
    <t>SMAK Kristen 93</t>
  </si>
  <si>
    <t>SMAK Kristen 92</t>
  </si>
  <si>
    <t>GB/20251025051331</t>
  </si>
  <si>
    <t>SMAK Kristen 89</t>
  </si>
  <si>
    <t>SMAK Kristen 87</t>
  </si>
  <si>
    <t>SMAK Kristen 88</t>
  </si>
  <si>
    <t>SMAK Kristen 91</t>
  </si>
  <si>
    <t>SMAK Kristen 90</t>
  </si>
  <si>
    <t>GB/20251025051332</t>
  </si>
  <si>
    <t>SMAK Kristen 71</t>
  </si>
  <si>
    <t>SMAK Kristen 70</t>
  </si>
  <si>
    <t>SMAK Kristen 86</t>
  </si>
  <si>
    <t>SMAK Kristen 83</t>
  </si>
  <si>
    <t>SMAK Kristen 84</t>
  </si>
  <si>
    <t>SMAK Kristen 85</t>
  </si>
  <si>
    <t>GB/20251025051335</t>
  </si>
  <si>
    <t>SMAK Kristen 94</t>
  </si>
  <si>
    <t>GB/20251025051333</t>
  </si>
  <si>
    <t>SMAK Kristen 76</t>
  </si>
  <si>
    <t>SMAK Kristen 73</t>
  </si>
  <si>
    <t>SMAK Kristen 74</t>
  </si>
  <si>
    <t>SMAK Kristen 72</t>
  </si>
  <si>
    <t>SMAK Kristen 77</t>
  </si>
  <si>
    <t>SMAK Kristen 75</t>
  </si>
  <si>
    <t>GB/20251025051334</t>
  </si>
  <si>
    <t>SMAK Kristen 69</t>
  </si>
  <si>
    <t>SMAK Kristen 81</t>
  </si>
  <si>
    <t>SMAK Kristen 78</t>
  </si>
  <si>
    <t>SMAK Kristen 80</t>
  </si>
  <si>
    <t>SMAK Kristen 82</t>
  </si>
  <si>
    <t>SMAK Kristen 79</t>
  </si>
  <si>
    <t>SMAK Kristen 1</t>
  </si>
  <si>
    <t>SMAK Kristen 2</t>
  </si>
  <si>
    <t>GB/20251025051336</t>
  </si>
  <si>
    <t>SMAK Kristen 3</t>
  </si>
  <si>
    <t>GB/20251025051337</t>
  </si>
  <si>
    <t>SMAK Kristen 4</t>
  </si>
  <si>
    <t>GB/20251025051338</t>
  </si>
  <si>
    <t>SMAK Kristen 5</t>
  </si>
  <si>
    <t>GB/20251025051339</t>
  </si>
  <si>
    <t>SMAK Kristen 6</t>
  </si>
  <si>
    <t>GB/20251025051340</t>
  </si>
  <si>
    <t>SMAK Kristen 8</t>
  </si>
  <si>
    <t>SMAK Kristen 7</t>
  </si>
  <si>
    <t>SMAK Kristen 9</t>
  </si>
  <si>
    <t>GB/20251025051341</t>
  </si>
  <si>
    <t>SMAK Kristen 10</t>
  </si>
  <si>
    <t>SMAK Kristen 13</t>
  </si>
  <si>
    <t>SMAK Kristen 11</t>
  </si>
  <si>
    <t>SMAK Kristen 15</t>
  </si>
  <si>
    <t>SMAK Kristen 12</t>
  </si>
  <si>
    <t>SMAK Kristen 14</t>
  </si>
  <si>
    <t>GB/20251025051342</t>
  </si>
  <si>
    <t>SMAK Kristen 16</t>
  </si>
  <si>
    <t>SMAK Kristen 18</t>
  </si>
  <si>
    <t>SMAK Kristen 17</t>
  </si>
  <si>
    <t>SMAK Kristen 21</t>
  </si>
  <si>
    <t>SMAK Kristen 20</t>
  </si>
  <si>
    <t>SMAK Kristen 19</t>
  </si>
  <si>
    <t>GB/20251025051343</t>
  </si>
  <si>
    <t>SMAK Kristen 25</t>
  </si>
  <si>
    <t>SMAK Kristen 26</t>
  </si>
  <si>
    <t>SMAK Kristen 27</t>
  </si>
  <si>
    <t>SMAK Kristen 24</t>
  </si>
  <si>
    <t>SMAK Kristen 22</t>
  </si>
  <si>
    <t>SMAK Kristen 23</t>
  </si>
  <si>
    <t>GB/20251025051344</t>
  </si>
  <si>
    <t>SMAK Kristen 32</t>
  </si>
  <si>
    <t>SMAK Kristen 30</t>
  </si>
  <si>
    <t>SMAK Kristen 28</t>
  </si>
  <si>
    <t>SMAK Kristen 29</t>
  </si>
  <si>
    <t>SMAK Kristen 33</t>
  </si>
  <si>
    <t>SMAK Kristen 31</t>
  </si>
  <si>
    <t>GB/20251025051345</t>
  </si>
  <si>
    <t>SMAK Kristen 34</t>
  </si>
  <si>
    <t>SMAK Kristen 39</t>
  </si>
  <si>
    <t>SMAK Kristen 36</t>
  </si>
  <si>
    <t>SMAK Kristen 38</t>
  </si>
  <si>
    <t>SMAK Kristen 35</t>
  </si>
  <si>
    <t>SMAK Kristen 37</t>
  </si>
  <si>
    <t>GB/20251025051346</t>
  </si>
  <si>
    <t>SMAK Kristen 41</t>
  </si>
  <si>
    <t>SMAK Kristen 40</t>
  </si>
  <si>
    <t>GB/20251025051347</t>
  </si>
  <si>
    <t>SMAK Kristen 42</t>
  </si>
  <si>
    <t>SMAK Kristen 43</t>
  </si>
  <si>
    <t>GB/20251025051348</t>
  </si>
  <si>
    <t>SMAK Kristen 45</t>
  </si>
  <si>
    <t>SMAK Kristen 44</t>
  </si>
  <si>
    <t>GB/20251025051350</t>
  </si>
  <si>
    <t>SMAK Kristen 46</t>
  </si>
  <si>
    <t>GB/20251025051351</t>
  </si>
  <si>
    <t>SMAK Kristen 48</t>
  </si>
  <si>
    <t>SMAK Kristen 47</t>
  </si>
  <si>
    <t>GB/20251025051407</t>
  </si>
  <si>
    <t>SMAK Kristen 65</t>
  </si>
  <si>
    <t>SMAK Kristen 63</t>
  </si>
  <si>
    <t>GB/20251025051408</t>
  </si>
  <si>
    <t>SMAK Kristen 64</t>
  </si>
  <si>
    <t>SMAK Kristen 68</t>
  </si>
  <si>
    <t>SMAK Kristen 62</t>
  </si>
  <si>
    <t>SMAK Kristen 61</t>
  </si>
  <si>
    <t>SMAK Kristen 66</t>
  </si>
  <si>
    <t>SMAK Kristen 67</t>
  </si>
  <si>
    <t>GB/20251025051409</t>
  </si>
  <si>
    <t>SMAK Kristen 59</t>
  </si>
  <si>
    <t>SMAK Kristen 60</t>
  </si>
  <si>
    <t>SMAK Kristen 56</t>
  </si>
  <si>
    <t>SMAK Kristen 58</t>
  </si>
  <si>
    <t>SMAK Kristen 57</t>
  </si>
  <si>
    <t>SMAK Kristen 55</t>
  </si>
  <si>
    <t>GB/20251025051410</t>
  </si>
  <si>
    <t>SMAK Kristen 53</t>
  </si>
  <si>
    <t>SMAK Kristen 52</t>
  </si>
  <si>
    <t>SMAK Kristen 54</t>
  </si>
  <si>
    <t>SMAK Kristen 50</t>
  </si>
  <si>
    <t>SMAK Kristen 51</t>
  </si>
  <si>
    <t>SMAK Kristen 49</t>
  </si>
  <si>
    <t>GB/20251025052647</t>
  </si>
  <si>
    <t>Tristan's Birthday</t>
  </si>
  <si>
    <t>GB/20251025061026</t>
  </si>
  <si>
    <t>Cloud Spa Studio</t>
  </si>
  <si>
    <t>GB/20251025074013</t>
  </si>
  <si>
    <t>shelina</t>
  </si>
  <si>
    <t>shelina@gmail.com</t>
  </si>
  <si>
    <t>GB/20251025074131</t>
  </si>
  <si>
    <t>yoni</t>
  </si>
  <si>
    <t>topup@gmail.com</t>
  </si>
  <si>
    <t>GB/20251025074155</t>
  </si>
  <si>
    <t>yulinda</t>
  </si>
  <si>
    <t>GB/20251025085037</t>
  </si>
  <si>
    <t>GB/20251025102533</t>
  </si>
  <si>
    <t>GB/20251025104455</t>
  </si>
  <si>
    <t>Ger</t>
  </si>
  <si>
    <t>ger20250925184442122@waterbom-bali.com</t>
  </si>
  <si>
    <t>GB/20251025110517</t>
  </si>
  <si>
    <t>liii</t>
  </si>
  <si>
    <t>liii20250925190505200@waterbom-bali.com</t>
  </si>
  <si>
    <t>GB/20251025151735</t>
  </si>
  <si>
    <t>meks2510@Mailinator.com</t>
  </si>
  <si>
    <t>GB/20251025153549</t>
  </si>
  <si>
    <t>lololo</t>
  </si>
  <si>
    <t>lololo20250925233537275@waterbom-bali.com</t>
  </si>
  <si>
    <t>Popcorn</t>
  </si>
  <si>
    <t>GB/20251025153719</t>
  </si>
  <si>
    <t>Pipipi</t>
  </si>
  <si>
    <t>pipipi20250925233704642@waterbom-bali.com</t>
  </si>
  <si>
    <t>GB/20251025154016</t>
  </si>
  <si>
    <t>Pupu</t>
  </si>
  <si>
    <t>pupu20250925233953356@waterbom-bali.com</t>
  </si>
  <si>
    <t>GB/20251025162136</t>
  </si>
  <si>
    <t>Weeee</t>
  </si>
  <si>
    <t>weeee20250926002114484@waterbom-bali.com</t>
  </si>
  <si>
    <t>GB/20251025162708</t>
  </si>
  <si>
    <t>Heeeeee</t>
  </si>
  <si>
    <t>heeeeee20250926002652910@waterbom-bali.com</t>
  </si>
  <si>
    <t>GB/20251025163318</t>
  </si>
  <si>
    <t>Wiiii</t>
  </si>
  <si>
    <t>wiiii20250926003225112@waterbom-bali.com</t>
  </si>
  <si>
    <t>GB/20251025164546</t>
  </si>
  <si>
    <t>Waaaaayyy</t>
  </si>
  <si>
    <t>waaaaayyy20250926004531337@waterbom-bali.com</t>
  </si>
  <si>
    <t>GB/20251025165707</t>
  </si>
  <si>
    <t>Weqqqqq</t>
  </si>
  <si>
    <t>weqqqqq20250926005652164@waterbom-bali.com</t>
  </si>
  <si>
    <t>GB/20251025171403</t>
  </si>
  <si>
    <t>OOO</t>
  </si>
  <si>
    <t>ooo20250926011351454@waterbom-bali.com</t>
  </si>
  <si>
    <t>GB/20251026030542</t>
  </si>
  <si>
    <t>Trial MnM1</t>
  </si>
  <si>
    <t>trial1@gmail.co</t>
  </si>
  <si>
    <t>GB/20251026035205</t>
  </si>
  <si>
    <t>Koe</t>
  </si>
  <si>
    <t>koe20250926115154287@waterbom-bali.com</t>
  </si>
  <si>
    <t>GB/20251026053241</t>
  </si>
  <si>
    <t>Jessica Iskandar</t>
  </si>
  <si>
    <t>GB/20251026053833</t>
  </si>
  <si>
    <t>Mohammed</t>
  </si>
  <si>
    <t>GB/20251026054328</t>
  </si>
  <si>
    <t>Sabrina Carpenter</t>
  </si>
  <si>
    <t>GB/20251026055221</t>
  </si>
  <si>
    <t xml:space="preserve">Jansen </t>
  </si>
  <si>
    <t>aa</t>
  </si>
  <si>
    <t>GB/20251026055355</t>
  </si>
  <si>
    <t>Kadek Y</t>
  </si>
  <si>
    <t>q</t>
  </si>
  <si>
    <t>GB/20251026055832</t>
  </si>
  <si>
    <t>George</t>
  </si>
  <si>
    <t>w</t>
  </si>
  <si>
    <t>GB/20251026060200</t>
  </si>
  <si>
    <t>ZAHAR</t>
  </si>
  <si>
    <t>zahar@gmail.com</t>
  </si>
  <si>
    <t>Cambodia</t>
  </si>
  <si>
    <t>GB/20251026060906</t>
  </si>
  <si>
    <t>Aji</t>
  </si>
  <si>
    <t>GB/20251026064050</t>
  </si>
  <si>
    <t>Joanne</t>
  </si>
  <si>
    <t>f</t>
  </si>
  <si>
    <t>GB/20251026064310</t>
  </si>
  <si>
    <t>Agas</t>
  </si>
  <si>
    <t>g</t>
  </si>
  <si>
    <t>GB/20251026064724</t>
  </si>
  <si>
    <t>Kim Jong Un</t>
  </si>
  <si>
    <t>GB/20251026073146</t>
  </si>
  <si>
    <t>ira@gmail.co</t>
  </si>
  <si>
    <t>GB/20251026073903</t>
  </si>
  <si>
    <t>sukma</t>
  </si>
  <si>
    <t>sukma@gmail.com</t>
  </si>
  <si>
    <t>GB/20251026084117</t>
  </si>
  <si>
    <t>GB/20251026084746</t>
  </si>
  <si>
    <t>Vivi vivi</t>
  </si>
  <si>
    <t>Vivi@gmail</t>
  </si>
  <si>
    <t>GB/20251026085555</t>
  </si>
  <si>
    <t>Aris</t>
  </si>
  <si>
    <t>Aris@gmail</t>
  </si>
  <si>
    <t>GB/20251026090544</t>
  </si>
  <si>
    <t>GB/20251026094908</t>
  </si>
  <si>
    <t>Hotel</t>
  </si>
  <si>
    <t>Brandy</t>
  </si>
  <si>
    <t>GB/20251026095145</t>
  </si>
  <si>
    <t>Albert</t>
  </si>
  <si>
    <t>GB/20251026123318</t>
  </si>
  <si>
    <t>Heeeee</t>
  </si>
  <si>
    <t>heeeee20250926203258571@waterbom-bali.com</t>
  </si>
  <si>
    <t>GB/20251026124049</t>
  </si>
  <si>
    <t>Wqqq</t>
  </si>
  <si>
    <t>wqqq2025092620403568@waterbom-bali.com</t>
  </si>
  <si>
    <t>GB/20251026124753</t>
  </si>
  <si>
    <t>Weee</t>
  </si>
  <si>
    <t>weee20250926204739314@waterbom-bali.com</t>
  </si>
  <si>
    <t>GB/20251026130518</t>
  </si>
  <si>
    <t>Kooo</t>
  </si>
  <si>
    <t>kooo20250926210505616@waterbom-bali.com</t>
  </si>
  <si>
    <t>GB/20251026141551</t>
  </si>
  <si>
    <t>Hoii</t>
  </si>
  <si>
    <t>hoii20250926221522553@waterbom-bali.com</t>
  </si>
  <si>
    <t>GB/20251026171119</t>
  </si>
  <si>
    <t>Meksss123</t>
  </si>
  <si>
    <t>meksss12320250927011101570@waterbom-bali.com</t>
  </si>
  <si>
    <t>GB/20251027020217</t>
  </si>
  <si>
    <t>Heeee</t>
  </si>
  <si>
    <t>heeee20250927100155260@waterbom-bali.com</t>
  </si>
  <si>
    <t>GB/20251027021319</t>
  </si>
  <si>
    <t>hoii20250927101244891@waterbom-bali.com</t>
  </si>
  <si>
    <t>GB/20251027021824</t>
  </si>
  <si>
    <t>Pa</t>
  </si>
  <si>
    <t>pa20250927101804339@waterbom-bali.com</t>
  </si>
  <si>
    <t>GB/20251027022827</t>
  </si>
  <si>
    <t>pa2025092710280030@waterbom-bali.com</t>
  </si>
  <si>
    <t>GB/20251027030316</t>
  </si>
  <si>
    <t>Haee</t>
  </si>
  <si>
    <t>haee2025092711011258@waterbom-bali.com</t>
  </si>
  <si>
    <t>GB/20251027031022</t>
  </si>
  <si>
    <t>Aa</t>
  </si>
  <si>
    <t>aa20250927110959386@waterbom-bali.com</t>
  </si>
  <si>
    <t>GB/20251027031613</t>
  </si>
  <si>
    <t>Ai</t>
  </si>
  <si>
    <t>ai20250927111538274@waterbom-bali.com</t>
  </si>
  <si>
    <t>GB/20251027032111</t>
  </si>
  <si>
    <t>Au</t>
  </si>
  <si>
    <t>au20250927112040910@waterbom-bali.com</t>
  </si>
  <si>
    <t>GB/20251027033301</t>
  </si>
  <si>
    <t>Ao</t>
  </si>
  <si>
    <t>ao20250927113247379@waterbom-bali.com</t>
  </si>
  <si>
    <t>GB/20251027050250</t>
  </si>
  <si>
    <t>Ba</t>
  </si>
  <si>
    <t>ba2025092713022811@waterbom-bali.com</t>
  </si>
  <si>
    <t>GB/20251027052213</t>
  </si>
  <si>
    <t>Bu</t>
  </si>
  <si>
    <t>bu20250927132011354@waterbom-bali.com</t>
  </si>
  <si>
    <t>GB/20251027054156</t>
  </si>
  <si>
    <t>Aq</t>
  </si>
  <si>
    <t>aq20250927134120611@waterbom-bali.com</t>
  </si>
  <si>
    <t>GB/20251027063627</t>
  </si>
  <si>
    <t>Ac</t>
  </si>
  <si>
    <t>ac20250927143617330@waterbom-bali.com</t>
  </si>
  <si>
    <t>GB/20251027063836</t>
  </si>
  <si>
    <t>Ax</t>
  </si>
  <si>
    <t>ax20250927143828297@waterbom-bali.com</t>
  </si>
  <si>
    <t>GB/20251027072924</t>
  </si>
  <si>
    <t>meks271503@mailinator.com</t>
  </si>
  <si>
    <t>GB/20251027074321</t>
  </si>
  <si>
    <t>Sasmita Dewik</t>
  </si>
  <si>
    <t>sasmita@gmail.com</t>
  </si>
  <si>
    <t>GB/20251027074659</t>
  </si>
  <si>
    <t>ayusisca</t>
  </si>
  <si>
    <t>ayu@gmail.com</t>
  </si>
  <si>
    <t>GB/20251027075652</t>
  </si>
  <si>
    <t>Andri Test</t>
  </si>
  <si>
    <t>andri_test20250927155604684@waterbom-bali.com</t>
  </si>
  <si>
    <t>GB/20251027075646</t>
  </si>
  <si>
    <t>sanjaya aja</t>
  </si>
  <si>
    <t>gede@gmail.com</t>
  </si>
  <si>
    <t>GB/20251027075654</t>
  </si>
  <si>
    <t>Valen and Mega</t>
  </si>
  <si>
    <t>valme@g.com</t>
  </si>
  <si>
    <t>GB/20251027075840</t>
  </si>
  <si>
    <t>andri_test20250927155827403@waterbom-bali.com</t>
  </si>
  <si>
    <t>GB/20251027080011</t>
  </si>
  <si>
    <t>madedian01@gmail.com</t>
  </si>
  <si>
    <t>GB/20251027080144</t>
  </si>
  <si>
    <t>GB/20251027080156</t>
  </si>
  <si>
    <t>Mega Testing</t>
  </si>
  <si>
    <t>Meg@g.co</t>
  </si>
  <si>
    <t>GB/20251027080629</t>
  </si>
  <si>
    <t>Aw</t>
  </si>
  <si>
    <t>aw20250927160616800@waterbom-bali.com</t>
  </si>
  <si>
    <t>GB/20251027081121</t>
  </si>
  <si>
    <t>Ap</t>
  </si>
  <si>
    <t>ap2025092716110769@waterbom-bali.com</t>
  </si>
  <si>
    <t>GB/20251027081357</t>
  </si>
  <si>
    <t>Al</t>
  </si>
  <si>
    <t>al20250927161344453@waterbom-bali.com</t>
  </si>
  <si>
    <t>GB/20251027082643</t>
  </si>
  <si>
    <t>GB/20251027084323</t>
  </si>
  <si>
    <t>mekss20250927164218931@waterbom-bali.com</t>
  </si>
  <si>
    <t>Spaghetti meat balls</t>
  </si>
  <si>
    <t>Redeem In Park Credit Non Refund</t>
  </si>
  <si>
    <t>GB/20251027084434</t>
  </si>
  <si>
    <t>All</t>
  </si>
  <si>
    <t>all2025092716434768@waterbom-bali.com</t>
  </si>
  <si>
    <t>GB/20251027084622</t>
  </si>
  <si>
    <t>Aeee</t>
  </si>
  <si>
    <t>aeee20250927164609415@waterbom-bali.com</t>
  </si>
  <si>
    <t>GB/20251027084710</t>
  </si>
  <si>
    <t>Hai</t>
  </si>
  <si>
    <t>hai20250927164653262@waterbom-bali.com</t>
  </si>
  <si>
    <t>GB/20251027084827</t>
  </si>
  <si>
    <t>Valencia</t>
  </si>
  <si>
    <t>val@gg.cooo</t>
  </si>
  <si>
    <t>GB/20251027085627</t>
  </si>
  <si>
    <t>BAMBANG</t>
  </si>
  <si>
    <t>bam@g.co</t>
  </si>
  <si>
    <t>GB/20251027090019</t>
  </si>
  <si>
    <t>GB/20251027090110</t>
  </si>
  <si>
    <t>GB/20251027090219</t>
  </si>
  <si>
    <t>GB/20251027090243</t>
  </si>
  <si>
    <t>GB/20251027090252</t>
  </si>
  <si>
    <t>GB/20251027094956</t>
  </si>
  <si>
    <t>GB/20251027095143</t>
  </si>
  <si>
    <t>GB/20251027095222</t>
  </si>
  <si>
    <t>GB/20251027095555</t>
  </si>
  <si>
    <t>GB/20251027104512</t>
  </si>
  <si>
    <t>GB/20251027105448</t>
  </si>
  <si>
    <t>GB/20251027124434</t>
  </si>
  <si>
    <t>GB/20251027124925</t>
  </si>
  <si>
    <t>GB/20251027131127</t>
  </si>
  <si>
    <t>GB/20251027131128</t>
  </si>
  <si>
    <t>GB/20251027141021</t>
  </si>
  <si>
    <t>GB/20251027182327</t>
  </si>
  <si>
    <t>Moa</t>
  </si>
  <si>
    <t>moa20250928021906570@waterbom-bali.com</t>
  </si>
  <si>
    <t>Penne Arabbiata</t>
  </si>
  <si>
    <t>Plain pasta</t>
  </si>
  <si>
    <t>GB/20251027182604</t>
  </si>
  <si>
    <t>Za</t>
  </si>
  <si>
    <t>za20250928022346489@waterbom-bali.com</t>
  </si>
  <si>
    <t>Pepperoni</t>
  </si>
  <si>
    <t>Penne Pesto</t>
  </si>
  <si>
    <t>GB/20251028021339</t>
  </si>
  <si>
    <t>Ar</t>
  </si>
  <si>
    <t>ar20250928101319928@waterbom-bali.com</t>
  </si>
  <si>
    <t>GB/20251028021450</t>
  </si>
  <si>
    <t>20po</t>
  </si>
  <si>
    <t>20po20250928101431577@waterbom-bali.com</t>
  </si>
  <si>
    <t>GB/20251028021609</t>
  </si>
  <si>
    <t>Zq</t>
  </si>
  <si>
    <t>zq20250928022714838@waterbom-bali.com</t>
  </si>
  <si>
    <t>GB/20251028022625</t>
  </si>
  <si>
    <t>1 pop</t>
  </si>
  <si>
    <t>1_pop20250928102603776@waterbom-bali.com</t>
  </si>
  <si>
    <t>GB/20251028022719</t>
  </si>
  <si>
    <t>5 pop</t>
  </si>
  <si>
    <t>5_pop20250928102652500@waterbom-bali.com</t>
  </si>
  <si>
    <t>GB/20251028023240</t>
  </si>
  <si>
    <t>Cem</t>
  </si>
  <si>
    <t>cem20250928103159148@waterbom-bali.com</t>
  </si>
  <si>
    <t>WB BUTTER POPCORN LARGE</t>
  </si>
  <si>
    <t>Caramel Popcorn</t>
  </si>
  <si>
    <t>WB ADULT TSHIRT 30TH / M</t>
  </si>
  <si>
    <t>Cold Towel</t>
  </si>
  <si>
    <t>Bottle tumbler (Red, Small)</t>
  </si>
  <si>
    <t>Bottle of Mineral Water (1.1L)</t>
  </si>
  <si>
    <t>GB/20251028023419</t>
  </si>
  <si>
    <t>4ma</t>
  </si>
  <si>
    <t>4ma20250928103354945@waterbom-bali.com</t>
  </si>
  <si>
    <t>GB/20251028023534</t>
  </si>
  <si>
    <t>7ite</t>
  </si>
  <si>
    <t>7ite20250928103447117@waterbom-bali.com</t>
  </si>
  <si>
    <t>GB/20251028052437</t>
  </si>
  <si>
    <t>5Ice</t>
  </si>
  <si>
    <t>5ice20250928131541995@waterbom-bali.com</t>
  </si>
  <si>
    <t>GB/20251028052822</t>
  </si>
  <si>
    <t>10ice</t>
  </si>
  <si>
    <t>10ice20250928132515848@waterbom-bali.com</t>
  </si>
  <si>
    <t>GB/20251028052941</t>
  </si>
  <si>
    <t>22Ice</t>
  </si>
  <si>
    <t>22ice20250928132918577@waterbom-bali.com</t>
  </si>
  <si>
    <t>GB/20251028053115</t>
  </si>
  <si>
    <t>36Macem</t>
  </si>
  <si>
    <t>36macem20250928133038626@waterbom-bali.com</t>
  </si>
  <si>
    <t>Tortellini di Polo</t>
  </si>
  <si>
    <t>Caprese Salad</t>
  </si>
  <si>
    <t>BBQ Chicken &amp; Pineapple</t>
  </si>
  <si>
    <t>Corn on the cob - chili butter</t>
  </si>
  <si>
    <t>Chicken Satay</t>
  </si>
  <si>
    <t>Corn on the cob - seasalt butter</t>
  </si>
  <si>
    <t>Hoisin Duck Bun</t>
  </si>
  <si>
    <t>Red Bean Bun</t>
  </si>
  <si>
    <t>Chicken Avocado</t>
  </si>
  <si>
    <t>Italian pork sausages</t>
  </si>
  <si>
    <t>BBQ Pork Bun</t>
  </si>
  <si>
    <t>Lamb Curry with paratha</t>
  </si>
  <si>
    <t>Corn on the cob - cheese butter</t>
  </si>
  <si>
    <t>Beef Bolognaise Bun</t>
  </si>
  <si>
    <t>Vegetarian Curry with paratha</t>
  </si>
  <si>
    <t>GB/20251028053538</t>
  </si>
  <si>
    <t>GB/20251028053915</t>
  </si>
  <si>
    <t>satus</t>
  </si>
  <si>
    <t>satus20250928133838176@waterbom-bali.com</t>
  </si>
  <si>
    <t>Beef Curry Noodles</t>
  </si>
  <si>
    <t>Beef Pie</t>
  </si>
  <si>
    <t>Pork Sausage Roll</t>
  </si>
  <si>
    <t>Waffle Dog - Beef Sausage</t>
  </si>
  <si>
    <t>Extra satay ayam 2 pcs</t>
  </si>
  <si>
    <t>Root Chips</t>
  </si>
  <si>
    <t>Fish &amp; Chips</t>
  </si>
  <si>
    <t>Veggie Mie Goreng</t>
  </si>
  <si>
    <t>Veggie Nasi Goreng</t>
  </si>
  <si>
    <t>Nachos</t>
  </si>
  <si>
    <t>Extra Toast Bread  3 slices</t>
  </si>
  <si>
    <t>Nasi goreng Ayam</t>
  </si>
  <si>
    <t>Curly Fries</t>
  </si>
  <si>
    <t>Mie Goreng Ayam</t>
  </si>
  <si>
    <t>Extra beef patty classic 100gr</t>
  </si>
  <si>
    <t>Corn chips only</t>
  </si>
  <si>
    <t>Mac &amp; Cheese</t>
  </si>
  <si>
    <t>Beef Rice Basket</t>
  </si>
  <si>
    <t>Extra chicken slice 30gr</t>
  </si>
  <si>
    <t>Spinach &amp; Mushroom Roll</t>
  </si>
  <si>
    <t>Vegan roll</t>
  </si>
  <si>
    <t>Chicken  Sausage Roll</t>
  </si>
  <si>
    <t>Chicken Rice Basket</t>
  </si>
  <si>
    <t>Extra Toast Bread 1 slice</t>
  </si>
  <si>
    <t>Extra lontong setengah</t>
  </si>
  <si>
    <t>Bacon &amp; Cheese Roll</t>
  </si>
  <si>
    <t>Tofu Noodles</t>
  </si>
  <si>
    <t>Extra bacon 50gr</t>
  </si>
  <si>
    <t>Tofu Rice Basket</t>
  </si>
  <si>
    <t>GB/20251028054511</t>
  </si>
  <si>
    <t>dari depan</t>
  </si>
  <si>
    <t>dari_depan20250928134406907@waterbom-bali.com</t>
  </si>
  <si>
    <t>GB/20251028055330</t>
  </si>
  <si>
    <t>dari samping</t>
  </si>
  <si>
    <t>dari_samping20250928135146749@waterbom-bali.com</t>
  </si>
  <si>
    <t>Gelato</t>
  </si>
  <si>
    <t>GB/20251028060533</t>
  </si>
  <si>
    <t>dari kiri</t>
  </si>
  <si>
    <t>dari_kiri20250928140438882@waterbom-bali.com</t>
  </si>
  <si>
    <t>GB/20251028061106</t>
  </si>
  <si>
    <t>GB/20251028062309</t>
  </si>
  <si>
    <t>Dari kanan</t>
  </si>
  <si>
    <t>dari_kanan20250928142214797@waterbom-bali.com</t>
  </si>
  <si>
    <t>Lemonade</t>
  </si>
  <si>
    <t>GB/20251028063408</t>
  </si>
  <si>
    <t>dari depan lagi</t>
  </si>
  <si>
    <t>dari_depan_lagi20250928143345302@waterbom-bali.com</t>
  </si>
  <si>
    <t>GB/20251028063938</t>
  </si>
  <si>
    <t>GB/20251028064134</t>
  </si>
  <si>
    <t>dari kiri lagi</t>
  </si>
  <si>
    <t>dari_kiri_lagi20250928144116616@waterbom-bali.com</t>
  </si>
  <si>
    <t>GB/20251028064720</t>
  </si>
  <si>
    <t>GB/20251028065521</t>
  </si>
  <si>
    <t>GB/20251028070323</t>
  </si>
  <si>
    <t>dari mana saja</t>
  </si>
  <si>
    <t>dari_mana_saja20250928150252238@waterbom-bali.com</t>
  </si>
  <si>
    <t>GB/20251028070918</t>
  </si>
  <si>
    <t>GB/20251028071410</t>
  </si>
  <si>
    <t>Nam nam</t>
  </si>
  <si>
    <t>nam_nam20250928151356279@waterbom-bali.com</t>
  </si>
  <si>
    <t>GB/20251028073453</t>
  </si>
  <si>
    <t>Asli Ini</t>
  </si>
  <si>
    <t>asli_ini20250928153435161@waterbom-bali.com</t>
  </si>
  <si>
    <t>GB/20251028074014</t>
  </si>
  <si>
    <t>rebecca</t>
  </si>
  <si>
    <t>rebecca@gmail.com</t>
  </si>
  <si>
    <t>Namibia</t>
  </si>
  <si>
    <t>GB/20251028074210</t>
  </si>
  <si>
    <t xml:space="preserve">samantha new baru </t>
  </si>
  <si>
    <t>dewindra2320@gmal.com</t>
  </si>
  <si>
    <t>GB/20251028074233</t>
  </si>
  <si>
    <t>nia</t>
  </si>
  <si>
    <t>nia@gmail.com</t>
  </si>
  <si>
    <t>GB/20251028075856</t>
  </si>
  <si>
    <t>Hae</t>
  </si>
  <si>
    <t>hae202509281558405@waterbom-bali.com</t>
  </si>
  <si>
    <t>GB/20251028081724</t>
  </si>
  <si>
    <t>Aslinya Saya Dua</t>
  </si>
  <si>
    <t>aslinya_saya_dua2025092816170720@waterbom-bali.com</t>
  </si>
  <si>
    <t>GB/20251028083520</t>
  </si>
  <si>
    <t>GB/20251028083835</t>
  </si>
  <si>
    <t>Ss</t>
  </si>
  <si>
    <t>ss20250928163817644@waterbom-bali.com</t>
  </si>
  <si>
    <t>GB/20251028083924</t>
  </si>
  <si>
    <t>GB/20251028083945</t>
  </si>
  <si>
    <t>Sss</t>
  </si>
  <si>
    <t>sss20250928163940153@waterbom-bali.com</t>
  </si>
  <si>
    <t>GB/20251028084045</t>
  </si>
  <si>
    <t>Amorim</t>
  </si>
  <si>
    <t>amorim20250928164028985@waterbom-bali.com</t>
  </si>
  <si>
    <t>GB/20251028084702</t>
  </si>
  <si>
    <t>Ronaldo</t>
  </si>
  <si>
    <t>ronaldo20250928164637882@waterbom-bali.com</t>
  </si>
  <si>
    <t>GB/20251028085334</t>
  </si>
  <si>
    <t>Buffon</t>
  </si>
  <si>
    <t>buffon202509281653258@waterbom-bali.com</t>
  </si>
  <si>
    <t>GB/20251028085903</t>
  </si>
  <si>
    <t>GB/20251028090132</t>
  </si>
  <si>
    <t>GB/20251028090349</t>
  </si>
  <si>
    <t>Casillas</t>
  </si>
  <si>
    <t>casillas2025092817033962@waterbom-bali.com</t>
  </si>
  <si>
    <t>GB/20251028092031</t>
  </si>
  <si>
    <t>GB/20251028092900</t>
  </si>
  <si>
    <t>Gg Emyu</t>
  </si>
  <si>
    <t>gg_emyu20250928172621821@waterbom-bali.com</t>
  </si>
  <si>
    <t>GB/20251028093823</t>
  </si>
  <si>
    <t>Stay Halal</t>
  </si>
  <si>
    <t>stay_halal20250928173815590@waterbom-bali.com</t>
  </si>
  <si>
    <t>GB/20251028100254</t>
  </si>
  <si>
    <t>GB/20251028100742</t>
  </si>
  <si>
    <t>Siapa Lagi</t>
  </si>
  <si>
    <t>siapa_lagi20250928180731671@waterbom-bali.com</t>
  </si>
  <si>
    <t>GB/20251028102339</t>
  </si>
  <si>
    <t>GB/20251028102540</t>
  </si>
  <si>
    <t>GB/20251028104824</t>
  </si>
  <si>
    <t>GB/20251028120425</t>
  </si>
  <si>
    <t>GB/20251028130200</t>
  </si>
  <si>
    <t>GB/20251028130209</t>
  </si>
  <si>
    <t>ojjjjnnn</t>
  </si>
  <si>
    <t>ojjjjnnn20250928195932660@waterbom-bali.com</t>
  </si>
  <si>
    <t>GB/20251028130752</t>
  </si>
  <si>
    <t>GB/20251028132014</t>
  </si>
  <si>
    <t>GB/20251028132810</t>
  </si>
  <si>
    <t>meksitest@mailinator.com</t>
  </si>
  <si>
    <t>GB/20251028132924</t>
  </si>
  <si>
    <t>Mahroza Pradana00</t>
  </si>
  <si>
    <t>mahrozapradana96@gmail.com</t>
  </si>
  <si>
    <t>GB/20251028133250</t>
  </si>
  <si>
    <t>GB/20251028133618</t>
  </si>
  <si>
    <t>GB/20251028133932</t>
  </si>
  <si>
    <t>Meksi Testing</t>
  </si>
  <si>
    <t>meksiapakah@mailinator.com</t>
  </si>
  <si>
    <t>GB/20251028134358</t>
  </si>
  <si>
    <t>Meksi Ko</t>
  </si>
  <si>
    <t>meksi.ko@mailinator.com</t>
  </si>
  <si>
    <t>GB/20251028140115</t>
  </si>
  <si>
    <t>Sudah Malam</t>
  </si>
  <si>
    <t>sudah_malam20250928220100763@waterbom-bali.com</t>
  </si>
  <si>
    <t>GB/20251028140741</t>
  </si>
  <si>
    <t>Batistuta</t>
  </si>
  <si>
    <t>batistuta20250928220633398@waterbom-bali.com</t>
  </si>
  <si>
    <t>Bali Seasons Pricelist (IDR)</t>
  </si>
  <si>
    <t>GB/20251028145310</t>
  </si>
  <si>
    <t>okedongahs</t>
  </si>
  <si>
    <t>okedongahs2025092821522185@waterbom-bali.com</t>
  </si>
  <si>
    <t>GB/20251028152129</t>
  </si>
  <si>
    <t>Maradona</t>
  </si>
  <si>
    <t>maradona20250928232109310@waterbom-bali.com</t>
  </si>
  <si>
    <t>GB/20251028152214</t>
  </si>
  <si>
    <t>Erling Haland</t>
  </si>
  <si>
    <t>erling_haland20250928232206740@waterbom-bali.com</t>
  </si>
  <si>
    <t>GB/20251028152256</t>
  </si>
  <si>
    <t>David Beckam</t>
  </si>
  <si>
    <t>david_beckam2025092823223076@waterbom-bali.com</t>
  </si>
  <si>
    <t>GB/20251028152510</t>
  </si>
  <si>
    <t>Messi</t>
  </si>
  <si>
    <t>messi20250928232454288@waterbom-bali.com</t>
  </si>
  <si>
    <t>GB/20251028154111</t>
  </si>
  <si>
    <t>Ruben Amorim</t>
  </si>
  <si>
    <t>ruben_amorim20250928233906322@waterbom-bali.com</t>
  </si>
  <si>
    <t>GB/20251028154602</t>
  </si>
  <si>
    <t>Sergio Aguero</t>
  </si>
  <si>
    <t>sergio_aguero20250928234549633@waterbom-bali.com</t>
  </si>
  <si>
    <t>GB/20251028154915</t>
  </si>
  <si>
    <t>Mikel Sumaker</t>
  </si>
  <si>
    <t>mikel_sumaker20250928234858990@waterbom-bali.com</t>
  </si>
  <si>
    <t>GB/20251028155013</t>
  </si>
  <si>
    <t>Randy Orton</t>
  </si>
  <si>
    <t>randy_orton20250928234955669@waterbom-bali.com</t>
  </si>
  <si>
    <t>GB/20251028155637</t>
  </si>
  <si>
    <t>Hulk Hogan</t>
  </si>
  <si>
    <t>hulk_hogan20250928235621195@waterbom-bali.com</t>
  </si>
  <si>
    <t>GB/20251028162656</t>
  </si>
  <si>
    <t>Fufufafa</t>
  </si>
  <si>
    <t>fufufafa20250929002633539@waterbom-bali.com</t>
  </si>
  <si>
    <t>GB/20251028163423</t>
  </si>
  <si>
    <t>Hohihe</t>
  </si>
  <si>
    <t>hohihe20250929003227926@waterbom-bali.com</t>
  </si>
  <si>
    <t>GB/20251028164232</t>
  </si>
  <si>
    <t>Rossi</t>
  </si>
  <si>
    <t>rossi20250929004217335@waterbom-bali.com</t>
  </si>
  <si>
    <t>GB/20251028165247</t>
  </si>
  <si>
    <t>Mie</t>
  </si>
  <si>
    <t>mie20250929005222181@waterbom-bali.com</t>
  </si>
  <si>
    <t>GB/20251028170034</t>
  </si>
  <si>
    <t>Van Der Sar</t>
  </si>
  <si>
    <t>van_der_sar20250929005943831@waterbom-bali.com</t>
  </si>
  <si>
    <t>GB/20251028171055</t>
  </si>
  <si>
    <t>Gege</t>
  </si>
  <si>
    <t>gege20250929011041981@waterbom-bali.com</t>
  </si>
  <si>
    <t>GB/20251028171350</t>
  </si>
  <si>
    <t>WePe</t>
  </si>
  <si>
    <t>wepe20250929011333712@waterbom-bali.com</t>
  </si>
  <si>
    <t>GB/20251029012141</t>
  </si>
  <si>
    <t>GB/20251029012352</t>
  </si>
  <si>
    <t>Roberto</t>
  </si>
  <si>
    <t>roberto20250929092304642@waterbom-bali.com</t>
  </si>
  <si>
    <t>GB/20251029012401</t>
  </si>
  <si>
    <t>GB/20251029013121</t>
  </si>
  <si>
    <t>Kaka</t>
  </si>
  <si>
    <t>kaka20250929093059224@waterbom-bali.com</t>
  </si>
  <si>
    <t>GB/20251029013504</t>
  </si>
  <si>
    <t>Bli Ketut</t>
  </si>
  <si>
    <t>bli_ketut20250929093446638@waterbom-bali.com</t>
  </si>
  <si>
    <t>GB/20251029014156</t>
  </si>
  <si>
    <t>hae2025092909412558@waterbom-bali.com</t>
  </si>
  <si>
    <t>Premium AquaPlay Gazebo</t>
  </si>
  <si>
    <t>GB/20251029022646</t>
  </si>
  <si>
    <t>Karya Rebo</t>
  </si>
  <si>
    <t>karya_rebo20250929102534393@waterbom-bali.com</t>
  </si>
  <si>
    <t>GB/20251029023513</t>
  </si>
  <si>
    <t>GB/20251029023712</t>
  </si>
  <si>
    <t>Bli Andri</t>
  </si>
  <si>
    <t>bli_andri20250929103700893@waterbom-bali.com</t>
  </si>
  <si>
    <t>GB/20251029032228</t>
  </si>
  <si>
    <t>Bambang Pamungkas</t>
  </si>
  <si>
    <t>bambang_pamungkas20250929112155924@waterbom-bali.com</t>
  </si>
  <si>
    <t>GB/20251029035635</t>
  </si>
  <si>
    <t>John Lennon</t>
  </si>
  <si>
    <t>john_lennon20250929115620506@waterbom-bali.com</t>
  </si>
  <si>
    <t>GB/20251029042722</t>
  </si>
  <si>
    <t>Panggabean</t>
  </si>
  <si>
    <t>panggabean20250929122700652@waterbom-bali.com</t>
  </si>
  <si>
    <t>GB/20251029043143</t>
  </si>
  <si>
    <t>Rossi Valentino</t>
  </si>
  <si>
    <t>rossi_valentino2025092912313439@waterbom-bali.com</t>
  </si>
  <si>
    <t>GB/20251029043401</t>
  </si>
  <si>
    <t>Lilo en stick</t>
  </si>
  <si>
    <t>lilo_en_stick20250929123346739@waterbom-bali.com</t>
  </si>
  <si>
    <t>GB/20251029043642</t>
  </si>
  <si>
    <t>Siapa Pusing</t>
  </si>
  <si>
    <t>siapa_pusing20250929123621626@waterbom-bali.com</t>
  </si>
  <si>
    <t>GB/20251029043810</t>
  </si>
  <si>
    <t>GB/20251029055240</t>
  </si>
  <si>
    <t>Adm Finance &amp; Accounting</t>
  </si>
  <si>
    <t>headoftransaction@waterbom-bali.com</t>
  </si>
  <si>
    <t>GB/20251029065624</t>
  </si>
  <si>
    <t>Flo test</t>
  </si>
  <si>
    <t>GB/20251029071512</t>
  </si>
  <si>
    <t>Flooo test</t>
  </si>
  <si>
    <t>GB/20251029072055</t>
  </si>
  <si>
    <t>f test test</t>
  </si>
  <si>
    <t>Aruba</t>
  </si>
  <si>
    <t>GB/20251029073356</t>
  </si>
  <si>
    <t>Haeee</t>
  </si>
  <si>
    <t>haeee20250929153326789@waterbom-bali.com</t>
  </si>
  <si>
    <t>GB/20251029074135</t>
  </si>
  <si>
    <t>Hihihi</t>
  </si>
  <si>
    <t>hihihi20250929154125201@waterbom-bali.com</t>
  </si>
  <si>
    <t>GB/20251029074842</t>
  </si>
  <si>
    <t>GB/20251029081542</t>
  </si>
  <si>
    <t>hehehe20250929161516161@waterbom-bali.com</t>
  </si>
  <si>
    <t>GB/20251029090354</t>
  </si>
  <si>
    <t>Sin Tae Yong</t>
  </si>
  <si>
    <t>sin_tae_yong20250929170343750@waterbom-bali.com</t>
  </si>
  <si>
    <t>GB/20251029092340</t>
  </si>
  <si>
    <t>Banana</t>
  </si>
  <si>
    <t>banana20250929172312549@waterbom-bali.com</t>
  </si>
  <si>
    <t>GB/20251029092520</t>
  </si>
  <si>
    <t>Semangka</t>
  </si>
  <si>
    <t>semangka20250929172355964@waterbom-bali.com</t>
  </si>
  <si>
    <t>GB/20251029130807</t>
  </si>
  <si>
    <t>GB/20251029130815</t>
  </si>
  <si>
    <t>GB/20251030020704</t>
  </si>
  <si>
    <t>Florencia test</t>
  </si>
  <si>
    <t>GB/20251030025710</t>
  </si>
  <si>
    <t>meksmeks@mailinator.com</t>
  </si>
  <si>
    <t>GB/20251030034724</t>
  </si>
  <si>
    <t>GB/20251030055256</t>
  </si>
  <si>
    <t>GB/20251030061717</t>
  </si>
  <si>
    <t>GB/20251030063031</t>
  </si>
  <si>
    <t>GB/20251030063151</t>
  </si>
  <si>
    <t>GB/20251030064330</t>
  </si>
  <si>
    <t>GB/20251030064507</t>
  </si>
  <si>
    <t>GB/20251030070525</t>
  </si>
  <si>
    <t>GB/20251030071146</t>
  </si>
  <si>
    <t>GB/20251030071459</t>
  </si>
  <si>
    <t>Maria Carey</t>
  </si>
  <si>
    <t>m</t>
  </si>
  <si>
    <t>GB/20251030074658</t>
  </si>
  <si>
    <t>Haeeeee</t>
  </si>
  <si>
    <t>haeeeee2025093015344341@waterbom-bali.com</t>
  </si>
  <si>
    <t>GB/20251030074814</t>
  </si>
  <si>
    <t>jonikasn</t>
  </si>
  <si>
    <t>jonikasn20250930144803915@waterbom-bali.com</t>
  </si>
  <si>
    <t>GB/20251030080122</t>
  </si>
  <si>
    <t>bismillahbisa</t>
  </si>
  <si>
    <t>bismillahbisa2025093015010217@waterbom-bali.com</t>
  </si>
  <si>
    <t>GB/20251030080213</t>
  </si>
  <si>
    <t>bismillahberhasil</t>
  </si>
  <si>
    <t>bismillahberhasil20250930150203925@waterbom-bali.com</t>
  </si>
  <si>
    <t>GB/20251030131330</t>
  </si>
  <si>
    <t>GB/20251030131403</t>
  </si>
  <si>
    <t>GB/20251030140734</t>
  </si>
  <si>
    <t>Andri</t>
  </si>
  <si>
    <t>andri20250930220636863@waterbom-bali.com</t>
  </si>
  <si>
    <t>GB/20251031031626</t>
  </si>
  <si>
    <t>hihihi20250931111609969@waterbom-bali.com</t>
  </si>
  <si>
    <t>GB/20251031043245</t>
  </si>
  <si>
    <t>GB/20251031043404</t>
  </si>
  <si>
    <t>GB/20251031043610</t>
  </si>
  <si>
    <t>GB/20251031072258</t>
  </si>
  <si>
    <t>haitest@mailinator.com</t>
  </si>
  <si>
    <t>GB/20251031072812</t>
  </si>
  <si>
    <t>GB/20251031075854</t>
  </si>
  <si>
    <t>Mememe</t>
  </si>
  <si>
    <t>mememe2025093115583995@waterbom-guest.com</t>
  </si>
  <si>
    <t>GB/20251031084740</t>
  </si>
  <si>
    <t>hehehe20250931163533541@waterbom-guest.com</t>
  </si>
  <si>
    <t>GB/20251031091038</t>
  </si>
  <si>
    <t>GB/20251031085447</t>
  </si>
  <si>
    <t>Ahay</t>
  </si>
  <si>
    <t>ahay20250931165440429@waterbom-guest.com</t>
  </si>
  <si>
    <t>GB/20251031090246</t>
  </si>
  <si>
    <t>Woy</t>
  </si>
  <si>
    <t>woy2025093117024132@waterbom-guest.com</t>
  </si>
  <si>
    <t>GB/20251031090845</t>
  </si>
  <si>
    <t>Pooy</t>
  </si>
  <si>
    <t>pooy20250931170831452@waterbom-guest.com</t>
  </si>
  <si>
    <t>GB/20251031095410</t>
  </si>
  <si>
    <t>Azz</t>
  </si>
  <si>
    <t>azz20250931175404666@waterbom-guest.com</t>
  </si>
  <si>
    <t>GB/20251031104238</t>
  </si>
  <si>
    <t>kafkaken</t>
  </si>
  <si>
    <t>kafkaken20250931155433662@waterbom-guest.com</t>
  </si>
  <si>
    <t>GB/20251031115343</t>
  </si>
  <si>
    <t>jancukers</t>
  </si>
  <si>
    <t>jancukers20250931185327897@waterbom-guest.com</t>
  </si>
  <si>
    <t>GB/20251031121242</t>
  </si>
  <si>
    <t>jancuk231</t>
  </si>
  <si>
    <t>jancuk23120250931190944296@waterbom-guest.com</t>
  </si>
  <si>
    <t>GB/20251031121325</t>
  </si>
  <si>
    <t>Hahayy</t>
  </si>
  <si>
    <t>hahayy2025093120131628@waterbom-guest.com</t>
  </si>
  <si>
    <t>GB/20251031121621</t>
  </si>
  <si>
    <t>fucking dab</t>
  </si>
  <si>
    <t>fucking_dab20250931191552288@waterbom-guest.com</t>
  </si>
  <si>
    <t>GB/20251031122247</t>
  </si>
  <si>
    <t>Hahayyyyy</t>
  </si>
  <si>
    <t>hahayyyyy20250931202216891@waterbom-guest.com</t>
  </si>
  <si>
    <t>GB/20251031122611</t>
  </si>
  <si>
    <t>Hahaha</t>
  </si>
  <si>
    <t>hahaha20250931202548475@waterbom-guest.com</t>
  </si>
  <si>
    <t>GB/20251031123122</t>
  </si>
  <si>
    <t>Peak</t>
  </si>
  <si>
    <t>peak20250931203102139@waterbom-guest.com</t>
  </si>
  <si>
    <t>GB/20251031124308</t>
  </si>
  <si>
    <t>Hahao</t>
  </si>
  <si>
    <t>hahao20250931204255626@waterbom-guest.com</t>
  </si>
  <si>
    <t>GB/20251031124854</t>
  </si>
  <si>
    <t>bangjali</t>
  </si>
  <si>
    <t>bangjali20250931194843976@waterbom-guest.com</t>
  </si>
  <si>
    <t>GB/20251031124917</t>
  </si>
  <si>
    <t>Huhuhu</t>
  </si>
  <si>
    <t>huhuhu20250931204907678@waterbom-guest.com</t>
  </si>
  <si>
    <t>GB/20251031133628</t>
  </si>
  <si>
    <t>acenghhh</t>
  </si>
  <si>
    <t>acenghhh20250931203615650@waterbom-guest.com</t>
  </si>
  <si>
    <t>GB/20251031160501</t>
  </si>
  <si>
    <t>Ali</t>
  </si>
  <si>
    <t>ali20251001000454773@waterbom-guest.com</t>
  </si>
  <si>
    <t>GB/20251031162447</t>
  </si>
  <si>
    <t>Etoo</t>
  </si>
  <si>
    <t>etoo20251001002441107@waterbom-guest.com</t>
  </si>
  <si>
    <t>GB/20251031163052</t>
  </si>
  <si>
    <t>Obama</t>
  </si>
  <si>
    <t>obama20251001003047712@waterbom-guest.com</t>
  </si>
  <si>
    <t>GB/20251031163552</t>
  </si>
  <si>
    <t>Alibaba</t>
  </si>
  <si>
    <t>alibaba20251001003539315@waterbom-guest.com</t>
  </si>
  <si>
    <t>GB/20251031164134</t>
  </si>
  <si>
    <t>Wiwiwi</t>
  </si>
  <si>
    <t>wiwiwi20251001004128549@waterbom-guest.com</t>
  </si>
  <si>
    <t>GB/20251101005718</t>
  </si>
  <si>
    <t>GB/20251101005845</t>
  </si>
  <si>
    <t>GB/20251101005941</t>
  </si>
  <si>
    <t>GB/20251101010049</t>
  </si>
  <si>
    <t>GB/20251101010215</t>
  </si>
  <si>
    <t>GB/20251101010255</t>
  </si>
  <si>
    <t>GB/20251101020950</t>
  </si>
  <si>
    <t>GB/20251101021206</t>
  </si>
  <si>
    <t>GB/20251101021438</t>
  </si>
  <si>
    <t>MNM Trial3</t>
  </si>
  <si>
    <t>top@gmail.co</t>
  </si>
  <si>
    <t>GB/20251101021707</t>
  </si>
  <si>
    <t>MNMTrial4</t>
  </si>
  <si>
    <t>trial2@gmail.co</t>
  </si>
  <si>
    <t>GB/20251101025020</t>
  </si>
  <si>
    <t>Hahahae</t>
  </si>
  <si>
    <t>hahahae20251001104936221@waterbom-guest.com</t>
  </si>
  <si>
    <t>GB/20251101025501</t>
  </si>
  <si>
    <t>Ausmeks</t>
  </si>
  <si>
    <t>ausmeks20251001105434612@waterbom-guest.com</t>
  </si>
  <si>
    <t>GB/20251101025632</t>
  </si>
  <si>
    <t>Meksaus</t>
  </si>
  <si>
    <t>meksaus2025100110555081@waterbom-guest.com</t>
  </si>
  <si>
    <t>GB/20251101030434</t>
  </si>
  <si>
    <t>MeksAusReal</t>
  </si>
  <si>
    <t>meksausreal20251001110413957@waterbom-guest.com</t>
  </si>
  <si>
    <t>GB/20251101034131</t>
  </si>
  <si>
    <t>GB/20251101035053</t>
  </si>
  <si>
    <t>GB/20251101035936</t>
  </si>
  <si>
    <t>GB/20251101040014</t>
  </si>
  <si>
    <t>GB/20251101041548</t>
  </si>
  <si>
    <t>GB/20251101042140</t>
  </si>
  <si>
    <t>GB/20251101042154</t>
  </si>
  <si>
    <t>Carlos</t>
  </si>
  <si>
    <t>carlos20251001122058863@waterbom-guest.com</t>
  </si>
  <si>
    <t>GB/20251101043650</t>
  </si>
  <si>
    <t>GB/20251101045226</t>
  </si>
  <si>
    <t>Jurgen</t>
  </si>
  <si>
    <t>jurgen20251001125050887@waterbom-guest.com</t>
  </si>
  <si>
    <t>GB/20251101054143</t>
  </si>
  <si>
    <t>Ga</t>
  </si>
  <si>
    <t>ga20251001134131432@waterbom-guest.com</t>
  </si>
  <si>
    <t>GB/20251101070329</t>
  </si>
  <si>
    <t>arik</t>
  </si>
  <si>
    <t>arik000@gmaill.com</t>
  </si>
  <si>
    <t>GB/20251102024010</t>
  </si>
  <si>
    <t>TEST1</t>
  </si>
  <si>
    <t>test111@gmail.com</t>
  </si>
  <si>
    <t>GB/20251102053322</t>
  </si>
  <si>
    <t>Gonzalo</t>
  </si>
  <si>
    <t>gonzalo20251002133247182@waterbom-guest.com</t>
  </si>
  <si>
    <t>GB/20251102062138</t>
  </si>
  <si>
    <t>Adm Prihatinto</t>
  </si>
  <si>
    <t>meks2Nov@mailinator.com</t>
  </si>
  <si>
    <t>GB/20251102062602</t>
  </si>
  <si>
    <t>Sdp Prihatinto</t>
  </si>
  <si>
    <t>mekssdp@mailiantor.com</t>
  </si>
  <si>
    <t>GB/20251102063057</t>
  </si>
  <si>
    <t>Sdp Np</t>
  </si>
  <si>
    <t>sdpnp@mailinator.com</t>
  </si>
  <si>
    <t>GB/20251102070456</t>
  </si>
  <si>
    <t>Romario</t>
  </si>
  <si>
    <t>romario20251002150426517@waterbom-guest.com</t>
  </si>
  <si>
    <t>GB/20251102071610</t>
  </si>
  <si>
    <t>Mourinho</t>
  </si>
  <si>
    <t>mourinho2025100215150915@waterbom-guest.com</t>
  </si>
  <si>
    <t>Portugal</t>
  </si>
  <si>
    <t>GB/20251102073101</t>
  </si>
  <si>
    <t>casillas20251002152818643@waterbom-guest.com</t>
  </si>
  <si>
    <t>Spain</t>
  </si>
  <si>
    <t>GB/20251102073634</t>
  </si>
  <si>
    <t>Fernando</t>
  </si>
  <si>
    <t>fernando20251002153551105@waterbom-guest.com</t>
  </si>
  <si>
    <t>GB/20251102073955</t>
  </si>
  <si>
    <t>Carvajal</t>
  </si>
  <si>
    <t>carvajal20251002153940781@waterbom-guest.com</t>
  </si>
  <si>
    <t>GB/20251102074352</t>
  </si>
  <si>
    <t>Sergio Ramos</t>
  </si>
  <si>
    <t>sergio_ramos20251002154227497@waterbom-guest.com</t>
  </si>
  <si>
    <t>GB/20251102080646</t>
  </si>
  <si>
    <t>Carles Puyol</t>
  </si>
  <si>
    <t>carles_puyol20251002160526546@waterbom-guest.com</t>
  </si>
  <si>
    <t>GB/20251102081555</t>
  </si>
  <si>
    <t>Andres Iniesta</t>
  </si>
  <si>
    <t>andres_iniesta20251002161425339@waterbom-guest.com</t>
  </si>
  <si>
    <t>GB/20251102081654</t>
  </si>
  <si>
    <t>Jordi Alba</t>
  </si>
  <si>
    <t>jordialba@mailinator.com</t>
  </si>
  <si>
    <t>GB/20251102082436</t>
  </si>
  <si>
    <t>GB/20251102102917</t>
  </si>
  <si>
    <t>Meks Hehe</t>
  </si>
  <si>
    <t>meks_hehe20251002182902704@waterbom-guest.com</t>
  </si>
  <si>
    <t>GB/20251102141939</t>
  </si>
  <si>
    <t>GB/20251102142230</t>
  </si>
  <si>
    <t>GB/20251102142445</t>
  </si>
  <si>
    <t>GB/20251102151825</t>
  </si>
  <si>
    <t>Elvis</t>
  </si>
  <si>
    <t>elvis@mailinator.com</t>
  </si>
  <si>
    <t>Mongolia</t>
  </si>
  <si>
    <t>GB/20251102155536</t>
  </si>
  <si>
    <t>Meks 001</t>
  </si>
  <si>
    <t>meks_00120251002235529867@waterbom-guest.com</t>
  </si>
  <si>
    <t>GB/20251102163025</t>
  </si>
  <si>
    <t>GB/20251102171918</t>
  </si>
  <si>
    <t>GB/20251103014753</t>
  </si>
  <si>
    <t>GB/20251103014446</t>
  </si>
  <si>
    <t>GB/20251103014723</t>
  </si>
  <si>
    <t>GB/20251103021157</t>
  </si>
  <si>
    <t>GB/20251103022227</t>
  </si>
  <si>
    <t>GB/20251103022228</t>
  </si>
  <si>
    <t>GB/20251103034513</t>
  </si>
  <si>
    <t>Romeo</t>
  </si>
  <si>
    <t>romeo20251003114308156@waterbom-guest.com</t>
  </si>
  <si>
    <t>GB/20251103045015</t>
  </si>
  <si>
    <t>GB/20251103045854</t>
  </si>
  <si>
    <t>Meksi Receive</t>
  </si>
  <si>
    <t>meksireceive3nov1257@mailinator.com</t>
  </si>
  <si>
    <t>GB/20251103050541</t>
  </si>
  <si>
    <t>Meksi Receive Dua</t>
  </si>
  <si>
    <t>meksireceivedua3nov@mailinator.com</t>
  </si>
  <si>
    <t>GB/20251103051111</t>
  </si>
  <si>
    <t>GB/20251103051710</t>
  </si>
  <si>
    <t>masse.prihatintosatusatu@mailinator.com</t>
  </si>
  <si>
    <t>GB/20251103052738</t>
  </si>
  <si>
    <t>Meksi Semua</t>
  </si>
  <si>
    <t>meksisemua@mailinator.com</t>
  </si>
  <si>
    <t>GB/20251103053452</t>
  </si>
  <si>
    <t>masseprihatinto@icloud.com</t>
  </si>
  <si>
    <t>GB/20251103054940</t>
  </si>
  <si>
    <t>Puspita Nawangsari</t>
  </si>
  <si>
    <t>puspitanawangsari@icloud.com</t>
  </si>
  <si>
    <t>GB/20251103070823</t>
  </si>
  <si>
    <t>m.prihatinto@gmail.com</t>
  </si>
  <si>
    <t>GB/20251103071648</t>
  </si>
  <si>
    <t>GB/20251103082912</t>
  </si>
  <si>
    <t>GB/20251103133043</t>
  </si>
  <si>
    <t>GB/20251103133956</t>
  </si>
  <si>
    <t>GB/20251103134942</t>
  </si>
  <si>
    <t>GB/20251103135114</t>
  </si>
  <si>
    <t>GB/20251103135237</t>
  </si>
  <si>
    <t>GB/20251103135401</t>
  </si>
  <si>
    <t>GB/20251103135609</t>
  </si>
  <si>
    <t>GB/20251103135737</t>
  </si>
  <si>
    <t>GB/20251103161620</t>
  </si>
  <si>
    <t>GB/20251103164759</t>
  </si>
  <si>
    <t>Hahai</t>
  </si>
  <si>
    <t>hahai20251004004752522@waterbom-guest.com</t>
  </si>
  <si>
    <t>VIP Oasis Gazebo Pool Edge</t>
  </si>
  <si>
    <t>GB/20251103165025</t>
  </si>
  <si>
    <t>Ggwp</t>
  </si>
  <si>
    <t>ggwp20251004005015174@waterbom-guest.com</t>
  </si>
  <si>
    <t>VIP Oasis Gazebo Pool View</t>
  </si>
  <si>
    <t>GB/20251103171752</t>
  </si>
  <si>
    <t>GB/20251103172226</t>
  </si>
  <si>
    <t>GB/20251103174143</t>
  </si>
  <si>
    <t>GB/20251103223822</t>
  </si>
  <si>
    <t>GB/20251103225325</t>
  </si>
  <si>
    <t>GB/20251104021202</t>
  </si>
  <si>
    <t>GB/20251104025630</t>
  </si>
  <si>
    <t>GB/20251104030835</t>
  </si>
  <si>
    <t>GB/20251104032824</t>
  </si>
  <si>
    <t>GB/20251104032910</t>
  </si>
  <si>
    <t>Meksi Blank</t>
  </si>
  <si>
    <t>meksi_blank20251004112835673@waterbom-guest.com</t>
  </si>
  <si>
    <t>GB/20251104033051</t>
  </si>
  <si>
    <t>Meksi Blank 3</t>
  </si>
  <si>
    <t>meksi_blank_320251004113045957@waterbom-guest.com</t>
  </si>
  <si>
    <t>GB/20251104034838</t>
  </si>
  <si>
    <t>GB/20251104035124</t>
  </si>
  <si>
    <t>GB/20251104072138</t>
  </si>
  <si>
    <t>GB/20251104073352</t>
  </si>
  <si>
    <t>GB/20251104074320</t>
  </si>
  <si>
    <t>GB/20251104081151</t>
  </si>
  <si>
    <t>GB/20251104085237</t>
  </si>
  <si>
    <t>GB/20251104090128</t>
  </si>
  <si>
    <t>DDD</t>
  </si>
  <si>
    <t>ddd20251004170114702@waterbom-guest.com</t>
  </si>
  <si>
    <t>GB/20251104090420</t>
  </si>
  <si>
    <t>GB/20251104090915</t>
  </si>
  <si>
    <t>lololo20251004170905827@waterbom-guest.com</t>
  </si>
  <si>
    <t>GB/20251104091537</t>
  </si>
  <si>
    <t>Lululu</t>
  </si>
  <si>
    <t>lululu20251004171530526@waterbom-guest.com</t>
  </si>
  <si>
    <t>FOUR PACK PASS - ALL MARKET</t>
  </si>
  <si>
    <t>GB/20251104091925</t>
  </si>
  <si>
    <t>Lelele</t>
  </si>
  <si>
    <t>lelele202510041719116@waterbom-guest.com</t>
  </si>
  <si>
    <t>GB/20251104133440</t>
  </si>
  <si>
    <t>GB/20251104133844</t>
  </si>
  <si>
    <t>GB/20251104140204</t>
  </si>
  <si>
    <t>GB/20251104141727</t>
  </si>
  <si>
    <t>GB/20251104142504</t>
  </si>
  <si>
    <t>GB/20251104142738</t>
  </si>
  <si>
    <t>GB/20251104142937</t>
  </si>
  <si>
    <t>GB/20251104143937</t>
  </si>
  <si>
    <t>GB/20251104144246</t>
  </si>
  <si>
    <t>GB/20251104144516</t>
  </si>
  <si>
    <t>GB/20251104152347</t>
  </si>
  <si>
    <t>GB/20251104154846</t>
  </si>
  <si>
    <t>GB/20251104155137</t>
  </si>
  <si>
    <t>GB/20251104155928</t>
  </si>
  <si>
    <t>GB/20251104165543</t>
  </si>
  <si>
    <t>GB/20251104170735</t>
  </si>
  <si>
    <t>GB/20251104174407</t>
  </si>
  <si>
    <t>GB/20251104181753</t>
  </si>
  <si>
    <t>GB/20251105020403</t>
  </si>
  <si>
    <t>GB/20251105023758</t>
  </si>
  <si>
    <t>GB/20251105030024</t>
  </si>
  <si>
    <t>GB/20251105032756</t>
  </si>
  <si>
    <t>meks5nov@mailinator.com</t>
  </si>
  <si>
    <t>GB/20251105033519</t>
  </si>
  <si>
    <t>GB/20251105034032</t>
  </si>
  <si>
    <t>GB/20251105034220</t>
  </si>
  <si>
    <t>Widi Mei</t>
  </si>
  <si>
    <t>widi@gma.il</t>
  </si>
  <si>
    <t>GB/20251105043936</t>
  </si>
  <si>
    <t>GB/20251105044144</t>
  </si>
  <si>
    <t>GB/20251105044149</t>
  </si>
  <si>
    <t>GB/20251105044443</t>
  </si>
  <si>
    <t>GB/20251105044553</t>
  </si>
  <si>
    <t>GB/20251105051812</t>
  </si>
  <si>
    <t>GB/20251105054229</t>
  </si>
  <si>
    <t>Stephanie Wilson</t>
  </si>
  <si>
    <t>stepwil@gma.il</t>
  </si>
  <si>
    <t>GB/20251105054451</t>
  </si>
  <si>
    <t>Danton Warren</t>
  </si>
  <si>
    <t>danton@warren.com</t>
  </si>
  <si>
    <t>GB/20251105054851</t>
  </si>
  <si>
    <t>Dinda Hellow</t>
  </si>
  <si>
    <t>dinda@hell.com</t>
  </si>
  <si>
    <t>GB/20251105062622</t>
  </si>
  <si>
    <t>Meksi Klook 5 Nov</t>
  </si>
  <si>
    <t>meksiklook5nova1426@mailinator.com</t>
  </si>
  <si>
    <t>GB/20251105063413</t>
  </si>
  <si>
    <t>meksiklook5nova1434@mailinator.com</t>
  </si>
  <si>
    <t>GB/20251105064544</t>
  </si>
  <si>
    <t>GB/20251105065912</t>
  </si>
  <si>
    <t>GB/20251105090306</t>
  </si>
  <si>
    <t>GB/20251105090811</t>
  </si>
  <si>
    <t>GB/20251105091204</t>
  </si>
  <si>
    <t>GB/20251105091550</t>
  </si>
  <si>
    <t>GB/20251105091824</t>
  </si>
  <si>
    <t>GB/20251105092021</t>
  </si>
  <si>
    <t>GB/20251105092350</t>
  </si>
  <si>
    <t>GB/20251105093109</t>
  </si>
  <si>
    <t>GB/20251105124735</t>
  </si>
  <si>
    <t>GB/20251105125057</t>
  </si>
  <si>
    <t>GB/20251105132434</t>
  </si>
  <si>
    <t>GB/20251105134837</t>
  </si>
  <si>
    <t>GB/20251105141752</t>
  </si>
  <si>
    <t>GB/20251105142259</t>
  </si>
  <si>
    <t>GB/20251105163033</t>
  </si>
  <si>
    <t>GB/20251105163830</t>
  </si>
  <si>
    <t>GB/20251105180102</t>
  </si>
  <si>
    <t>GB/20251105184231</t>
  </si>
  <si>
    <t>GB/20251106032341</t>
  </si>
  <si>
    <t>GB/20251106041502</t>
  </si>
  <si>
    <t>GB/20251106070942</t>
  </si>
  <si>
    <t>Hahahaha</t>
  </si>
  <si>
    <t>hahahaha20251006150924409@waterbom-guest.com</t>
  </si>
  <si>
    <t>2 SCOOP ICE CREAM DELICIOSO</t>
  </si>
  <si>
    <t>1 SCOOP ICE CREAM DELICIOSO</t>
  </si>
  <si>
    <t>GB/20251106071919</t>
  </si>
  <si>
    <t>GB/20251106100714</t>
  </si>
  <si>
    <t>GB/20251106100912</t>
  </si>
  <si>
    <t>GB/20251106141132</t>
  </si>
  <si>
    <t>GB/20251106143938</t>
  </si>
  <si>
    <t>GB/20251106152005</t>
  </si>
  <si>
    <t>GB/20251107040243</t>
  </si>
  <si>
    <t>GB/20251107040557</t>
  </si>
  <si>
    <t>GB/20251107085138</t>
  </si>
  <si>
    <t>GB/20251107145858</t>
  </si>
  <si>
    <t>Meks Bar</t>
  </si>
  <si>
    <t>meks_bar20251007225852209@waterbom-guest.com</t>
  </si>
  <si>
    <t>GB/20251109003550</t>
  </si>
  <si>
    <t>mnm_120251009083443405@waterbom-guest.com</t>
  </si>
  <si>
    <t>GB/20251109003736</t>
  </si>
  <si>
    <t>mnm_120251009083655880@waterbom-guest.com</t>
  </si>
  <si>
    <t>GB/20251109004037</t>
  </si>
  <si>
    <t>mnm_120251009083958174@waterbom-guest.com</t>
  </si>
  <si>
    <t>GB/20251109004711</t>
  </si>
  <si>
    <t>MNM TES 1</t>
  </si>
  <si>
    <t>mnm_tes_120251009084628190@waterbom-guest.com</t>
  </si>
  <si>
    <t>GB/20251109004754</t>
  </si>
  <si>
    <t>mnm_tes_120251009084709412@waterbom-guest.com</t>
  </si>
  <si>
    <t>GB/20251109191455</t>
  </si>
  <si>
    <t>GB/20251110020944</t>
  </si>
  <si>
    <t>GB/20251110052349</t>
  </si>
  <si>
    <t>GB/20251110053210</t>
  </si>
  <si>
    <t>GB/20251110053449</t>
  </si>
  <si>
    <t>GB/20251110053652</t>
  </si>
  <si>
    <t>GB/20251110053802</t>
  </si>
  <si>
    <t>GB/20251110054049</t>
  </si>
  <si>
    <t>GB/20251110055401</t>
  </si>
  <si>
    <t>GB/20251110060602</t>
  </si>
  <si>
    <t>meks20251010140548770@waterbom-guest.com</t>
  </si>
  <si>
    <t>GB/20251110064719</t>
  </si>
  <si>
    <t>GB/20251110070310</t>
  </si>
  <si>
    <t>GB/20251110072423</t>
  </si>
  <si>
    <t>meksi20251010152352517@waterbom-guest.com</t>
  </si>
  <si>
    <t>GB/20251110073133</t>
  </si>
  <si>
    <t>Meks Re</t>
  </si>
  <si>
    <t>meks_re20251010153116162@waterbom-guest.com</t>
  </si>
  <si>
    <t>GB/20251110073328</t>
  </si>
  <si>
    <t>GB/20251110074933</t>
  </si>
  <si>
    <t>GB/20251110075216</t>
  </si>
  <si>
    <t>GB/20251110075406</t>
  </si>
  <si>
    <t>GB/20251110084113</t>
  </si>
  <si>
    <t>meksi_ko20251010164103476@waterbom-guest.com</t>
  </si>
  <si>
    <t>GB/20251110084145</t>
  </si>
  <si>
    <t>GB/20251110084755</t>
  </si>
  <si>
    <t>GB/20251110084903</t>
  </si>
  <si>
    <t>GB/20251110084936</t>
  </si>
  <si>
    <t>GB/20251110085511</t>
  </si>
  <si>
    <t>GB/20251110091459</t>
  </si>
  <si>
    <t>GB/20251110092114</t>
  </si>
  <si>
    <t>GB/20251110092224</t>
  </si>
  <si>
    <t>GB/20251110094036</t>
  </si>
  <si>
    <t>GB/20251110094336</t>
  </si>
  <si>
    <t>GB/20251110102645</t>
  </si>
  <si>
    <t>GB/20251110102948</t>
  </si>
  <si>
    <t>GB/20251110143106</t>
  </si>
  <si>
    <t>GB/20251110144301</t>
  </si>
  <si>
    <t>Meks Errr</t>
  </si>
  <si>
    <t>meks_errr20251010224225287@waterbom-guest.com</t>
  </si>
  <si>
    <t>GB/20251110145943</t>
  </si>
  <si>
    <t>meksss20251010225938162@waterbom-guest.com</t>
  </si>
  <si>
    <t>GB/20251110152646</t>
  </si>
  <si>
    <t>GB/20251110153826</t>
  </si>
  <si>
    <t>Meks Pe</t>
  </si>
  <si>
    <t>meks_pe20251010233817895@waterbom-guest.com</t>
  </si>
  <si>
    <t>GB/20251111020848</t>
  </si>
  <si>
    <t>ARIK</t>
  </si>
  <si>
    <t>ARIK321@GMAIL.COM</t>
  </si>
  <si>
    <t>10% on your order</t>
  </si>
  <si>
    <t>044c-4c25-4a99</t>
  </si>
  <si>
    <t>GB/20251111074619</t>
  </si>
  <si>
    <t>GB/20251111081212</t>
  </si>
  <si>
    <t>heeee20251011161202915@waterbom-guest.com</t>
  </si>
  <si>
    <t>GB/20251111081347</t>
  </si>
  <si>
    <t>Ce El</t>
  </si>
  <si>
    <t>ce_el20251011161328480@waterbom-guest.com</t>
  </si>
  <si>
    <t>GB/20251111081450</t>
  </si>
  <si>
    <t>hihihi20251011161432867@waterbom-guest.com</t>
  </si>
  <si>
    <t>GB/20251111081608</t>
  </si>
  <si>
    <t>hahaha20251011161555816@waterbom-guest.com</t>
  </si>
  <si>
    <t>GB/20251111082314</t>
  </si>
  <si>
    <t>gege20251011162304209@waterbom-guest.com</t>
  </si>
  <si>
    <t>GB/20251111082425</t>
  </si>
  <si>
    <t>Wepe</t>
  </si>
  <si>
    <t>wepe20251011162410460@waterbom-guest.com</t>
  </si>
  <si>
    <t>GB/20251111082559</t>
  </si>
  <si>
    <t>Gewe</t>
  </si>
  <si>
    <t>gewe2025101116255542@waterbom-guest.com</t>
  </si>
  <si>
    <t>GB/20251111082645</t>
  </si>
  <si>
    <t>Wepee</t>
  </si>
  <si>
    <t>wepee2025101116263723@waterbom-guest.com</t>
  </si>
  <si>
    <t>GB/20251111082834</t>
  </si>
  <si>
    <t>Waiii</t>
  </si>
  <si>
    <t>waiii20251011162822665@waterbom-guest.com</t>
  </si>
  <si>
    <t>GB/20251111093434</t>
  </si>
  <si>
    <t>heheee</t>
  </si>
  <si>
    <t>heheee2025101117342717@waterbom-guest.com</t>
  </si>
  <si>
    <t>GB/20251111093702</t>
  </si>
  <si>
    <t>Barbar</t>
  </si>
  <si>
    <t>barbar20251011173655818@waterbom-guest.com</t>
  </si>
  <si>
    <t>GB/20251111103340</t>
  </si>
  <si>
    <t>GB/20251111103712</t>
  </si>
  <si>
    <t>GB/20251111120614</t>
  </si>
  <si>
    <t>meks202510112006060@waterbom-guest.com</t>
  </si>
  <si>
    <t>GB/20251111122833</t>
  </si>
  <si>
    <t>May</t>
  </si>
  <si>
    <t>may20251011202820451@waterbom-guest.com</t>
  </si>
  <si>
    <t>GB/20251111143717</t>
  </si>
  <si>
    <t>meks20251011223707256@waterbom-guest.com</t>
  </si>
  <si>
    <t>GB/20251111144921</t>
  </si>
  <si>
    <t>Haihai</t>
  </si>
  <si>
    <t>haihai20251011224914666@waterbom-guest.com</t>
  </si>
  <si>
    <t>GB/20251111164901</t>
  </si>
  <si>
    <t>GB/20251111165050</t>
  </si>
  <si>
    <t>GB/20251111170138</t>
  </si>
  <si>
    <t>GB/20251111170625</t>
  </si>
  <si>
    <t>GB/20251111172026</t>
  </si>
  <si>
    <t>GB/20251111172438</t>
  </si>
  <si>
    <t>GB/20251111173124</t>
  </si>
  <si>
    <t>GB/20251111173704</t>
  </si>
  <si>
    <t>Meeeeiii</t>
  </si>
  <si>
    <t>meeeeiii20251012013652960@waterbom-guest.com</t>
  </si>
  <si>
    <t>GB/20251112033715</t>
  </si>
  <si>
    <t>Buto Ijo</t>
  </si>
  <si>
    <t>buto_ijo20251012113654345@waterbom-guest.com</t>
  </si>
  <si>
    <t>GB/20251112061306</t>
  </si>
  <si>
    <t>GB/20251112062521</t>
  </si>
  <si>
    <t>GB/20251112064258</t>
  </si>
  <si>
    <t>Home By Chef Wayan</t>
  </si>
  <si>
    <t>GB/20251112064429</t>
  </si>
  <si>
    <t>Glenn</t>
  </si>
  <si>
    <t>o</t>
  </si>
  <si>
    <t>GB/20251112064755</t>
  </si>
  <si>
    <t>GB/20251112064926</t>
  </si>
  <si>
    <t>GB/20251112065028</t>
  </si>
  <si>
    <t>Stephanie Group</t>
  </si>
  <si>
    <t>GB/20251112070341</t>
  </si>
  <si>
    <t>Katherine Ashby Group</t>
  </si>
  <si>
    <t>GB/20251112071243</t>
  </si>
  <si>
    <t>meks_re20251012151237261@waterbom-guest.com</t>
  </si>
  <si>
    <t>GB/20251112074340</t>
  </si>
  <si>
    <t>GB/20251112083914</t>
  </si>
  <si>
    <t>GB/20251112084232</t>
  </si>
  <si>
    <t>GB/20251112093459</t>
  </si>
  <si>
    <t>GB/20251112110012</t>
  </si>
  <si>
    <t>GB/20251112111135</t>
  </si>
  <si>
    <t>GB/20251112113403</t>
  </si>
  <si>
    <t>aneh satu</t>
  </si>
  <si>
    <t>aneh_satu20251012193329667@waterbom-guest.com</t>
  </si>
  <si>
    <t>GB/20251112113427</t>
  </si>
  <si>
    <t>Aneh Dua</t>
  </si>
  <si>
    <t>aneh_dua20251012193416511@waterbom-guest.com</t>
  </si>
  <si>
    <t>GB/20251112132451</t>
  </si>
  <si>
    <t>Meks Inv</t>
  </si>
  <si>
    <t>meks122124@mailinator.com</t>
  </si>
  <si>
    <t>GB/20251112145254</t>
  </si>
  <si>
    <t>wawaw</t>
  </si>
  <si>
    <t>awa</t>
  </si>
  <si>
    <t>GB/20251112145636</t>
  </si>
  <si>
    <t>aneh atu</t>
  </si>
  <si>
    <t>GB/20251112145715</t>
  </si>
  <si>
    <t>aneh agi</t>
  </si>
  <si>
    <t>aneh_agi20251012225705839@waterbom-guest.com</t>
  </si>
  <si>
    <t>GB/20251112145809</t>
  </si>
  <si>
    <t>wewe</t>
  </si>
  <si>
    <t>GB/20251112151005</t>
  </si>
  <si>
    <t>hehehe20251012230958631@waterbom-guest.com</t>
  </si>
  <si>
    <t>GB/20251112151707</t>
  </si>
  <si>
    <t>mekssatu12112316@mailinator.com</t>
  </si>
  <si>
    <t>GB/20251112151744</t>
  </si>
  <si>
    <t>GB/20251112152456</t>
  </si>
  <si>
    <t>GB/20251112160000</t>
  </si>
  <si>
    <t>GB/20251112161200</t>
  </si>
  <si>
    <t>GB/20251112165144</t>
  </si>
  <si>
    <t>Mkes' Heee</t>
  </si>
  <si>
    <t>GB/20251112170309</t>
  </si>
  <si>
    <t>GB/20251112170456</t>
  </si>
  <si>
    <t>meksmeks13@mailinator.com</t>
  </si>
  <si>
    <t>GB/20251112171832</t>
  </si>
  <si>
    <t>GB/20251112172304</t>
  </si>
  <si>
    <t>GB/20251112173339</t>
  </si>
  <si>
    <t>GB/20251112173630</t>
  </si>
  <si>
    <t>GB/20251112174008</t>
  </si>
  <si>
    <t>Meks Terten</t>
  </si>
  <si>
    <t>meks_terten20251013013953736@waterbom-guest.com</t>
  </si>
  <si>
    <t>GB/20251113032139</t>
  </si>
  <si>
    <t>GB/20251113033258</t>
  </si>
  <si>
    <t>meks131132@mailinator.com</t>
  </si>
  <si>
    <t>GB/20251113033530</t>
  </si>
  <si>
    <t>GB/20251113033753</t>
  </si>
  <si>
    <t>Discova Agent</t>
  </si>
  <si>
    <t>discovaagent@mailinator.com</t>
  </si>
  <si>
    <t>GB/20251113033901</t>
  </si>
  <si>
    <t>GB/20251113051949</t>
  </si>
  <si>
    <t>Hahay</t>
  </si>
  <si>
    <t>hahayaus@mailinator.com</t>
  </si>
  <si>
    <t>GB/20251113052217</t>
  </si>
  <si>
    <t>hahaindo@mailinator.com</t>
  </si>
  <si>
    <t>GB/20251113052351</t>
  </si>
  <si>
    <t>Hoaew</t>
  </si>
  <si>
    <t>hoaew@mailinator.com</t>
  </si>
  <si>
    <t>GB/20251113052455</t>
  </si>
  <si>
    <t>GB/20251113052659</t>
  </si>
  <si>
    <t>GB/20251113053434</t>
  </si>
  <si>
    <t>GB/20251113053719</t>
  </si>
  <si>
    <t>haha1313@mailinator.com</t>
  </si>
  <si>
    <t>GB/20251113053920</t>
  </si>
  <si>
    <t>Mas Mas</t>
  </si>
  <si>
    <t>masmas@mailinator.com</t>
  </si>
  <si>
    <t>GB/20251113054114</t>
  </si>
  <si>
    <t>masmas131340@mailinator.com</t>
  </si>
  <si>
    <t>GB/20251113054255</t>
  </si>
  <si>
    <t>Mas Aus</t>
  </si>
  <si>
    <t>masaus@mailinator.com</t>
  </si>
  <si>
    <t>GB/20251113060957</t>
  </si>
  <si>
    <t>Meks Aus</t>
  </si>
  <si>
    <t>meksaus@mailinator.com</t>
  </si>
  <si>
    <t>GB/20251113061648</t>
  </si>
  <si>
    <t>Mas Mas Aus</t>
  </si>
  <si>
    <t>GB/20251113062027</t>
  </si>
  <si>
    <t>Meks China</t>
  </si>
  <si>
    <t>mekschina1314@mailinator.com</t>
  </si>
  <si>
    <t>GB/20251113062221</t>
  </si>
  <si>
    <t>Meks Chin</t>
  </si>
  <si>
    <t>mekschin@mailinator.com</t>
  </si>
  <si>
    <t>GB/20251113063211</t>
  </si>
  <si>
    <t>Gegewepe</t>
  </si>
  <si>
    <t>gegewepe20251013143205626@waterbom-guest.com</t>
  </si>
  <si>
    <t>GB/20251113074101</t>
  </si>
  <si>
    <t>Ukulele</t>
  </si>
  <si>
    <t>ukulele20251013154053936@waterbom-guest.com</t>
  </si>
  <si>
    <t>GB/20251113085019</t>
  </si>
  <si>
    <t>GB/20251113092526</t>
  </si>
  <si>
    <t>Jin</t>
  </si>
  <si>
    <t>jin20251013172510781@waterbom-guest.com</t>
  </si>
  <si>
    <t>Bali Fun Pricelist (IDR)</t>
  </si>
  <si>
    <t>GB/20251114023852</t>
  </si>
  <si>
    <t>Meks Hk</t>
  </si>
  <si>
    <t>massehkhk@mailinator.com</t>
  </si>
  <si>
    <t>GB/20251114024404</t>
  </si>
  <si>
    <t>Mas Hong</t>
  </si>
  <si>
    <t>mashong@mailinator.com</t>
  </si>
  <si>
    <t>GB/20251114024556</t>
  </si>
  <si>
    <t>mekshong14101045@mailinator.com</t>
  </si>
  <si>
    <t>GB/20251114032048</t>
  </si>
  <si>
    <t>meks20251014111656217@waterbom-guest.com</t>
  </si>
  <si>
    <t>GB/20251114032421</t>
  </si>
  <si>
    <t>meks20251014112216213@waterbom-guest.com</t>
  </si>
  <si>
    <t>GB/20251114034314</t>
  </si>
  <si>
    <t>Masaus Masaus</t>
  </si>
  <si>
    <t>masaus14111141@mailinator.com</t>
  </si>
  <si>
    <t>GB/20251114034521</t>
  </si>
  <si>
    <t>Masaus</t>
  </si>
  <si>
    <t>masaus14111139@mailinator.com</t>
  </si>
  <si>
    <t>GB/20251114035545</t>
  </si>
  <si>
    <t>Meks Hkg</t>
  </si>
  <si>
    <t>mekshong14111154@mailinator.com</t>
  </si>
  <si>
    <t>GB/20251114044445</t>
  </si>
  <si>
    <t>GB/20251114074553</t>
  </si>
  <si>
    <t>meksmeks14111544@mailinator.com</t>
  </si>
  <si>
    <t>GB/20251114140347</t>
  </si>
  <si>
    <t xml:space="preserve"> Meks</t>
  </si>
  <si>
    <t>meks14112202@Mailinator.com</t>
  </si>
  <si>
    <t>GB/20251114140552</t>
  </si>
  <si>
    <t>meks14112205@mailinator.com</t>
  </si>
  <si>
    <t>GB/20251114155305</t>
  </si>
  <si>
    <t>amir</t>
  </si>
  <si>
    <t>amir20251014235235595@waterbom-guest.com</t>
  </si>
  <si>
    <t>GB/20251114172324</t>
  </si>
  <si>
    <t>GB/20251114174045</t>
  </si>
  <si>
    <t>Meks 15110139</t>
  </si>
  <si>
    <t>meks_1511013920251015013943300@waterbom-guest.com</t>
  </si>
  <si>
    <t>GB/20251114175559</t>
  </si>
  <si>
    <t>Meks 15110155</t>
  </si>
  <si>
    <t>meks_1511015520251015015545458@waterbom-guest.com</t>
  </si>
  <si>
    <t>GB/20251114180906</t>
  </si>
  <si>
    <t>Meks 15110208</t>
  </si>
  <si>
    <t>meks_1511020820251015020842266@waterbom-guest.com</t>
  </si>
  <si>
    <t>GB/20251114182723</t>
  </si>
  <si>
    <t>Meks 15110227</t>
  </si>
  <si>
    <t>meks_151102272025101502271059@mailinator.com</t>
  </si>
  <si>
    <t>GB/20251115060703</t>
  </si>
  <si>
    <t>IDR 30000 per order on Adult Tickets - All Market</t>
  </si>
  <si>
    <t>0441-3756-4b8a</t>
  </si>
  <si>
    <t>GB/20251115073312</t>
  </si>
  <si>
    <t>Me Me</t>
  </si>
  <si>
    <t>meme15111309@mailinator.com</t>
  </si>
  <si>
    <t>GB/20251115074541</t>
  </si>
  <si>
    <t>New new</t>
  </si>
  <si>
    <t>new_new20251015154520315@waterbom-guest.com</t>
  </si>
  <si>
    <t>GB/20251115090954</t>
  </si>
  <si>
    <t>Meks 15111709</t>
  </si>
  <si>
    <t>meks_1511170920251015170943735@waterbom-guest.com</t>
  </si>
  <si>
    <t>GB/20251115100357</t>
  </si>
  <si>
    <t>GB/20251115101257</t>
  </si>
  <si>
    <t>GB/20251116044038</t>
  </si>
  <si>
    <t>GB/20251116083843</t>
  </si>
  <si>
    <t>GB/20251116084551</t>
  </si>
  <si>
    <t>GB/20251116093149</t>
  </si>
  <si>
    <t>GB/20251116125959</t>
  </si>
  <si>
    <t>IDR 5000 per order on Popcorn</t>
  </si>
  <si>
    <t>0443-64c2-4aba</t>
  </si>
  <si>
    <t>GB/20251116130147</t>
  </si>
  <si>
    <t>GB/20251116140523</t>
  </si>
  <si>
    <t>GB/20251116141023</t>
  </si>
  <si>
    <t>GB/20251116141337</t>
  </si>
  <si>
    <t>GB/20251116141921</t>
  </si>
  <si>
    <t>GB/20251116142212</t>
  </si>
  <si>
    <t>Newly</t>
  </si>
  <si>
    <t>newly20251016222201574@mailinator.com</t>
  </si>
  <si>
    <t>GB/20251116145713</t>
  </si>
  <si>
    <t>GB/20251116154158</t>
  </si>
  <si>
    <t>Hihie</t>
  </si>
  <si>
    <t>hihie20251016234100708@waterbom-guest.com</t>
  </si>
  <si>
    <t>GB/20251116160156</t>
  </si>
  <si>
    <t>GB/20251116172542</t>
  </si>
  <si>
    <t>Meks Refund New Wallet</t>
  </si>
  <si>
    <t>meks_refund_new_wallet20251017012524779@waterbom-guest.com</t>
  </si>
  <si>
    <t>GB/20251116172625</t>
  </si>
  <si>
    <t>GB/20251116174315</t>
  </si>
  <si>
    <t>GB/20251116174743</t>
  </si>
  <si>
    <t>GB/20251116175720</t>
  </si>
  <si>
    <t>Nw satu</t>
  </si>
  <si>
    <t>nw_satu20251017015629744@waterbom-guest.com</t>
  </si>
  <si>
    <t>GB/20251116175812</t>
  </si>
  <si>
    <t>GB/20251117025450</t>
  </si>
  <si>
    <t>meks17111054@mailinator.com</t>
  </si>
  <si>
    <t>GB/20251117025853</t>
  </si>
  <si>
    <t>meks17111058@mailinator.com</t>
  </si>
  <si>
    <t>GB/20251117030708</t>
  </si>
  <si>
    <t>meks17111106@mailinator.com</t>
  </si>
  <si>
    <t>GB/20251117031152</t>
  </si>
  <si>
    <t>meks17111111@mailinator.com</t>
  </si>
  <si>
    <t>GB/20251117031646</t>
  </si>
  <si>
    <t>meks17111116@mailinator.com</t>
  </si>
  <si>
    <t>GB/20251117040604</t>
  </si>
  <si>
    <t>Hmm</t>
  </si>
  <si>
    <t>hmm20251017120550566@waterbom-guest.com</t>
  </si>
  <si>
    <t>Diskon Amount 5000</t>
  </si>
  <si>
    <t>044b-3771-4d08</t>
  </si>
  <si>
    <t>GB/20251117042443</t>
  </si>
  <si>
    <t>GB/20251117043300</t>
  </si>
  <si>
    <t>Hnn</t>
  </si>
  <si>
    <t>hnn2025101712324566@waterbom-guest.com</t>
  </si>
  <si>
    <t>GB/20251117045555</t>
  </si>
  <si>
    <t>GB/20251117045616</t>
  </si>
  <si>
    <t>gege20251017125609692@waterbom-guest.com</t>
  </si>
  <si>
    <t>GB/20251117052505</t>
  </si>
  <si>
    <t>ger20251017132446541@waterbom-guest.com</t>
  </si>
  <si>
    <t>GB/20251117053927</t>
  </si>
  <si>
    <t>Rizki Ridho</t>
  </si>
  <si>
    <t>rizki_ridho20251017133822407@waterbom-guest.com</t>
  </si>
  <si>
    <t>GB/20251117060804</t>
  </si>
  <si>
    <t>Pops</t>
  </si>
  <si>
    <t>pops2025101714073540@waterbom-guest.com</t>
  </si>
  <si>
    <t>GB/20251117084112</t>
  </si>
  <si>
    <t>Meks Prihatinto</t>
  </si>
  <si>
    <t>meks17111640@mailinator.com</t>
  </si>
  <si>
    <t>GB/20251117090231</t>
  </si>
  <si>
    <t>GB/20251117090512</t>
  </si>
  <si>
    <t>GB/20251117091525</t>
  </si>
  <si>
    <t>GB/20251117091818</t>
  </si>
  <si>
    <t>GB/20251117091945</t>
  </si>
  <si>
    <t>GB/20251117095024</t>
  </si>
  <si>
    <t>GB/20251117095352</t>
  </si>
  <si>
    <t>GB/20251117095737</t>
  </si>
  <si>
    <t>meks17111756@mailinator.com</t>
  </si>
  <si>
    <t>GB/20251117095941</t>
  </si>
  <si>
    <t>GB/20251117100345</t>
  </si>
  <si>
    <t>GB/20251117100818</t>
  </si>
  <si>
    <t>GB/20251117101829</t>
  </si>
  <si>
    <t>GB/20251117113110</t>
  </si>
  <si>
    <t>GB/20251117120204</t>
  </si>
  <si>
    <t>GB/20251117172102</t>
  </si>
  <si>
    <t>GB/20251118003446</t>
  </si>
  <si>
    <t>GB/20251118003839</t>
  </si>
  <si>
    <t>GB/20251118024155</t>
  </si>
  <si>
    <t>GB/20251118051552</t>
  </si>
  <si>
    <t>GB/20251118054138</t>
  </si>
  <si>
    <t>m18111341@mailinator.com</t>
  </si>
  <si>
    <t>GB/20251118061454</t>
  </si>
  <si>
    <t>GB/20251118061605</t>
  </si>
  <si>
    <t>GB/20251118061756</t>
  </si>
  <si>
    <t>Me Ci</t>
  </si>
  <si>
    <t>meci18111417@mailinator.com</t>
  </si>
  <si>
    <t>GB/20251118062544</t>
  </si>
  <si>
    <t>GB/20251118063625</t>
  </si>
  <si>
    <t>meks18111434@mailinator.com</t>
  </si>
  <si>
    <t>GB/20251118064455</t>
  </si>
  <si>
    <t>Meeeeii</t>
  </si>
  <si>
    <t>meibaru@mailinator.com</t>
  </si>
  <si>
    <t>GB/20251118064857</t>
  </si>
  <si>
    <t>Meei</t>
  </si>
  <si>
    <t>meei18111447@mailinator.com</t>
  </si>
  <si>
    <t>GB/20251118065057</t>
  </si>
  <si>
    <t>Maa</t>
  </si>
  <si>
    <t>meemee18111423@mailinator.com</t>
  </si>
  <si>
    <t>GB/20251118065231</t>
  </si>
  <si>
    <t>Mee Oww</t>
  </si>
  <si>
    <t>meow18111451@mailinator.com</t>
  </si>
  <si>
    <t>GB/20251118070419</t>
  </si>
  <si>
    <t>GB/20251118084700</t>
  </si>
  <si>
    <t>GB/20251118095021</t>
  </si>
  <si>
    <t>GB/20251118110007</t>
  </si>
  <si>
    <t>hae20251018185956491@waterbom-guest.com</t>
  </si>
  <si>
    <t>GB/20251118114110</t>
  </si>
  <si>
    <t>GB/20251118150909</t>
  </si>
  <si>
    <t>GB/20251118155930</t>
  </si>
  <si>
    <t>GB/20251118105718</t>
  </si>
  <si>
    <t>GB/20251119030010</t>
  </si>
  <si>
    <t>GB/20251119043006</t>
  </si>
  <si>
    <t>Tor Monitor</t>
  </si>
  <si>
    <t>tor_monitor20251019122951937@waterbom-guest.com</t>
  </si>
  <si>
    <t>GB/20251119044957</t>
  </si>
  <si>
    <t>GB/20251119045201</t>
  </si>
  <si>
    <t>GB/20251119054332</t>
  </si>
  <si>
    <t>meks19111343@mailinator.com</t>
  </si>
  <si>
    <t>GB/20251119061507</t>
  </si>
  <si>
    <t>meks20251019141458788@waterbom-guest.com</t>
  </si>
  <si>
    <t>GB/20251119061540</t>
  </si>
  <si>
    <t>meks20251019141530868@waterbom-guest.com</t>
  </si>
  <si>
    <t>GB/20251120044336</t>
  </si>
  <si>
    <t>GB/20251120044453</t>
  </si>
  <si>
    <t>GB/20251120044544</t>
  </si>
  <si>
    <t>GB/20251120052024</t>
  </si>
  <si>
    <t>GB/20251120083511</t>
  </si>
  <si>
    <t>GB/20251122105318</t>
  </si>
  <si>
    <t>meksi20251022185308709@waterbom-guest.com</t>
  </si>
  <si>
    <t>GB/20251122125112</t>
  </si>
  <si>
    <t>GB/20251123181128</t>
  </si>
  <si>
    <t>GB/20251123185533</t>
  </si>
  <si>
    <t>GB/20251123190109</t>
  </si>
  <si>
    <t>GB/20251123190434</t>
  </si>
  <si>
    <t>GB/20251123192015</t>
  </si>
  <si>
    <t>GB/20251123192452</t>
  </si>
  <si>
    <t>GB/20251123192818</t>
  </si>
  <si>
    <t>GB/20251123193858</t>
  </si>
  <si>
    <t>GB/20251123194656</t>
  </si>
  <si>
    <t>GB/20251123195330</t>
  </si>
  <si>
    <t>GB/20251123195830</t>
  </si>
  <si>
    <t>meks20251024035820723@waterbom-guest.com</t>
  </si>
  <si>
    <t>GB/20251123200019</t>
  </si>
  <si>
    <t>GB/20251123200725</t>
  </si>
  <si>
    <t>GB/20251123201405</t>
  </si>
  <si>
    <t>GB/20251123201714</t>
  </si>
  <si>
    <t>GB/20251123204101</t>
  </si>
  <si>
    <t>GB/20251123204258</t>
  </si>
  <si>
    <t>GB/20251123205655</t>
  </si>
  <si>
    <t>GB/20251123205907</t>
  </si>
  <si>
    <t>GB/20251123210310</t>
  </si>
  <si>
    <t>Meks Ooo</t>
  </si>
  <si>
    <t>mekshohi@mailinator.com</t>
  </si>
  <si>
    <t>GB/20251123211304</t>
  </si>
  <si>
    <t>GB/20251123211612</t>
  </si>
  <si>
    <t>meks24110515@mailinator.com</t>
  </si>
  <si>
    <t>GB/20251123212738</t>
  </si>
  <si>
    <t>meks24110526@mailinator.com</t>
  </si>
  <si>
    <t>GB/20251123213100</t>
  </si>
  <si>
    <t>meks24110530@mailinator.com</t>
  </si>
  <si>
    <t>GB/20251123214419</t>
  </si>
  <si>
    <t>meks24110543@mailinator.com</t>
  </si>
  <si>
    <t>GB/20251123220246</t>
  </si>
  <si>
    <t>meks24110602@mailinator.com</t>
  </si>
  <si>
    <t>GB/20251124053344</t>
  </si>
  <si>
    <t>meks24111203@mailinator.com</t>
  </si>
  <si>
    <t>GB/20251124060030</t>
  </si>
  <si>
    <t>GB/20251124060118</t>
  </si>
  <si>
    <t>meks24111334@mailinator.com</t>
  </si>
  <si>
    <t>GB/20251124060433</t>
  </si>
  <si>
    <t>meks2411403@mailinator.com</t>
  </si>
  <si>
    <t>GB/20251124062343</t>
  </si>
  <si>
    <t>meks20251024142333762@waterbom-guest.com</t>
  </si>
  <si>
    <t>GB/20251124063557</t>
  </si>
  <si>
    <t>meksss20251024143546285@waterbom-guest.com</t>
  </si>
  <si>
    <t>GB/20251124064439</t>
  </si>
  <si>
    <t>Messs</t>
  </si>
  <si>
    <t>messs20251024144433417@waterbom-guest.com</t>
  </si>
  <si>
    <t>GB/20251124071808</t>
  </si>
  <si>
    <t>GB/20251124081001</t>
  </si>
  <si>
    <t>GB/20251124081323</t>
  </si>
  <si>
    <t>meks24111612@mailinator.com</t>
  </si>
  <si>
    <t>GB/20251124081934</t>
  </si>
  <si>
    <t>meks24111619@mailinator.com</t>
  </si>
  <si>
    <t>GB/20251124082734</t>
  </si>
  <si>
    <t>meks24111626@mailinator.com</t>
  </si>
  <si>
    <t>GB/20251124083404</t>
  </si>
  <si>
    <t>meks24111633@mailinator.com</t>
  </si>
  <si>
    <t>GB/20251124083551</t>
  </si>
  <si>
    <t>meks24111636@mailinator.com</t>
  </si>
  <si>
    <t>GB/20251124090145</t>
  </si>
  <si>
    <t>meks24111701@mailinator.com</t>
  </si>
  <si>
    <t>GB/20251124091603</t>
  </si>
  <si>
    <t>meks24111715@mailinator.com</t>
  </si>
  <si>
    <t>GB/20251124092024</t>
  </si>
  <si>
    <t>meks24111719@mailinator.com</t>
  </si>
  <si>
    <t>GB/20251124093226</t>
  </si>
  <si>
    <t>meks24111731@mailinator.com</t>
  </si>
  <si>
    <t>GB/20251124093550</t>
  </si>
  <si>
    <t>meks24111735@mailinator.com</t>
  </si>
  <si>
    <t>GB/20251124094306</t>
  </si>
  <si>
    <t>meksduo@mailinator.com</t>
  </si>
  <si>
    <t>GB/20251124094710</t>
  </si>
  <si>
    <t>meks24111746@mailinator.com</t>
  </si>
  <si>
    <t>GB/20251124102800</t>
  </si>
  <si>
    <t>meks24111827@mailinator.com</t>
  </si>
  <si>
    <t>GB/20251124103642</t>
  </si>
  <si>
    <t>meks24111836@mailinator.com</t>
  </si>
  <si>
    <t>GB/20251124103848</t>
  </si>
  <si>
    <t>meks24111838@mailinator.com</t>
  </si>
  <si>
    <t>GB/20251124104110</t>
  </si>
  <si>
    <t>meks24111840@mailinator.com</t>
  </si>
  <si>
    <t>GB/20251124104327</t>
  </si>
  <si>
    <t>meks24111842@mailinator.com</t>
  </si>
  <si>
    <t>GB/20251124112922</t>
  </si>
  <si>
    <t>meks24111928@mailinator.com</t>
  </si>
  <si>
    <t>GB/20251124113218</t>
  </si>
  <si>
    <t>meks24111931@mailinator.com</t>
  </si>
  <si>
    <t>GB/20251124113537</t>
  </si>
  <si>
    <t>meks24111935@mailinator.com</t>
  </si>
  <si>
    <t>GB/20251124115232</t>
  </si>
  <si>
    <t xml:space="preserve">Salah </t>
  </si>
  <si>
    <t>salah_20251024195223416@waterbom-guest.com</t>
  </si>
  <si>
    <t>GB/20251124115834</t>
  </si>
  <si>
    <t>Salah Dua</t>
  </si>
  <si>
    <t>salah_dua20251024195820782@waterbom-guest.com</t>
  </si>
  <si>
    <t>GB/20251124125034</t>
  </si>
  <si>
    <t>Salah Tiga</t>
  </si>
  <si>
    <t>salah_tiga20251024205027353@waterbom-guest.com</t>
  </si>
  <si>
    <t>GB/20251124131245</t>
  </si>
  <si>
    <t>Salah Mpat</t>
  </si>
  <si>
    <t>salah_mpat20251024211238315@waterbom-guest.com</t>
  </si>
  <si>
    <t>GB/20251124132124</t>
  </si>
  <si>
    <t>Salah Ma</t>
  </si>
  <si>
    <t>salah_ma20251024212115121@waterbom-guest.com</t>
  </si>
  <si>
    <t>GB/20251124135511</t>
  </si>
  <si>
    <t>Belik Lagi</t>
  </si>
  <si>
    <t>belik_lagi20251024215506152@waterbom-guest.com</t>
  </si>
  <si>
    <t>GB/20251124140019</t>
  </si>
  <si>
    <t>meks24112159@mailinator.com</t>
  </si>
  <si>
    <t>GB/20251124140322</t>
  </si>
  <si>
    <t>meks24112202@mailinator.com</t>
  </si>
  <si>
    <t>GB/20251124141355</t>
  </si>
  <si>
    <t>Belik Mas</t>
  </si>
  <si>
    <t>belik_mas20251024221346752@waterbom-guest.com</t>
  </si>
  <si>
    <t>GB/20251124145833</t>
  </si>
  <si>
    <t>GB/20251124155053</t>
  </si>
  <si>
    <t>meksss20251024235048586@waterbom-guest.com</t>
  </si>
  <si>
    <t>GB/20251124163241</t>
  </si>
  <si>
    <t>Maaaee</t>
  </si>
  <si>
    <t>maaaee20251025003231532@waterbom-guest.com</t>
  </si>
  <si>
    <t>GB/20251125015117</t>
  </si>
  <si>
    <t>meks20251025094647699@waterbom-guest.com</t>
  </si>
  <si>
    <t>GB/20251125015749</t>
  </si>
  <si>
    <t>Jur</t>
  </si>
  <si>
    <t>jur20251025095739836@waterbom-guest.com</t>
  </si>
  <si>
    <t>GB/20251125020432</t>
  </si>
  <si>
    <t>Mao</t>
  </si>
  <si>
    <t>mao20251025100422840@waterbom-guest.com</t>
  </si>
  <si>
    <t>GB/20251125020838</t>
  </si>
  <si>
    <t>Mat</t>
  </si>
  <si>
    <t>mat20251025100826883@waterbom-guest.com</t>
  </si>
  <si>
    <t>GB/20251125022342</t>
  </si>
  <si>
    <t>Hew</t>
  </si>
  <si>
    <t>hew2025102510233520@waterbom-guest.com</t>
  </si>
  <si>
    <t>GB/20251125022829</t>
  </si>
  <si>
    <t>mes25111027@mailinator.com</t>
  </si>
  <si>
    <t>GB/20251125035755</t>
  </si>
  <si>
    <t>GB/20251125043540</t>
  </si>
  <si>
    <t>meks25111234@mailinator.com</t>
  </si>
  <si>
    <t>GB/20251125051904</t>
  </si>
  <si>
    <t>meks25111318@mailinator.com</t>
  </si>
  <si>
    <t>GB/20251125053617</t>
  </si>
  <si>
    <t>CONTOH30</t>
  </si>
  <si>
    <t>GB/20251125054915</t>
  </si>
  <si>
    <t>20BCA</t>
  </si>
  <si>
    <t>10BCA</t>
  </si>
  <si>
    <t>GB/20251125065812</t>
  </si>
  <si>
    <t>SD002</t>
  </si>
  <si>
    <t>GB/20251125075245</t>
  </si>
  <si>
    <t>SD001</t>
  </si>
  <si>
    <t>PREGNANT</t>
  </si>
  <si>
    <t>GB/20251125091441</t>
  </si>
  <si>
    <t>meks25111713@mailinator.com</t>
  </si>
  <si>
    <t>GB/20251125091938</t>
  </si>
  <si>
    <t>meks25111718@mailinator.com</t>
  </si>
  <si>
    <t>GB/20251125092718</t>
  </si>
  <si>
    <t>Meksgift</t>
  </si>
  <si>
    <t>mekgift25111725@mailinator.com</t>
  </si>
  <si>
    <t>GB/20251125093507</t>
  </si>
  <si>
    <t>GB/20251125093544</t>
  </si>
  <si>
    <t>Kare</t>
  </si>
  <si>
    <t>karenakreatif@gmail.com</t>
  </si>
  <si>
    <t>GB/20251125142528</t>
  </si>
  <si>
    <t>GB/20251125175636</t>
  </si>
  <si>
    <t>hihihi2025102601562754@waterbom-guest.com</t>
  </si>
  <si>
    <t>GB/20251125180053</t>
  </si>
  <si>
    <t>Haehae</t>
  </si>
  <si>
    <t>haehae20251026020039214@waterbom-guest.com</t>
  </si>
  <si>
    <t>GB/20251126050211</t>
  </si>
  <si>
    <t>meks26111301@mailinator.com</t>
  </si>
  <si>
    <t>GB/20251126050643</t>
  </si>
  <si>
    <t>meks26111306@mailinator.com</t>
  </si>
  <si>
    <t>GB/20251126052214</t>
  </si>
  <si>
    <t>GB/20251126054604</t>
  </si>
</sst>
</file>

<file path=xl/styles.xml><?xml version="1.0" encoding="utf-8"?>
<styleSheet xmlns="http://schemas.openxmlformats.org/spreadsheetml/2006/main">
  <numFmts count="3">
    <numFmt numFmtId="164" formatCode="yyyy-mm-dd hh:mm"/>
    <numFmt numFmtId="165" formatCode="0 &quot;Days&quot;"/>
    <numFmt numFmtId="166" formatCode="#,##0.00"/>
  </numFmts>
  <fonts count="5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165" fontId="4" fillId="0" borderId="1" xfId="0" applyNumberFormat="1" applyFont="1" applyBorder="1" applyAlignment="1">
      <alignment horizontal="left"/>
    </xf>
    <xf numFmtId="166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27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2" width="18.7109375" customWidth="1"/>
    <col min="3" max="3" width="20.7109375" customWidth="1"/>
    <col min="4" max="4" width="18.7109375" customWidth="1"/>
    <col min="5" max="5" width="16.7109375" customWidth="1"/>
    <col min="6" max="6" width="24.7109375" customWidth="1"/>
    <col min="7" max="7" width="28.7109375" customWidth="1"/>
    <col min="8" max="8" width="16.7109375" customWidth="1"/>
    <col min="9" max="9" width="14.7109375" customWidth="1"/>
    <col min="10" max="12" width="12.7109375" customWidth="1"/>
    <col min="13" max="13" width="44.7109375" customWidth="1"/>
    <col min="14" max="14" width="16.7109375" customWidth="1"/>
    <col min="15" max="15" width="12.7109375" customWidth="1"/>
    <col min="16" max="16" width="16.7109375" customWidth="1"/>
    <col min="17" max="18" width="14.7109375" customWidth="1"/>
    <col min="19" max="19" width="22.7109375" customWidth="1"/>
    <col min="20" max="20" width="36.7109375" customWidth="1"/>
    <col min="21" max="21" width="42.7109375" customWidth="1"/>
  </cols>
  <sheetData>
    <row r="1" spans="1:21">
      <c r="A1" s="1" t="s">
        <v>0</v>
      </c>
      <c r="B1" s="1"/>
      <c r="C1" s="1"/>
      <c r="D1" s="1"/>
      <c r="E1" s="1"/>
      <c r="F1" s="1"/>
    </row>
    <row r="2" spans="1:21">
      <c r="A2" s="2" t="s">
        <v>1</v>
      </c>
    </row>
    <row r="3" spans="1:21">
      <c r="A3" s="3" t="s">
        <v>2</v>
      </c>
      <c r="B3" s="3"/>
      <c r="C3" s="3" t="s">
        <v>3</v>
      </c>
      <c r="D3" s="3"/>
      <c r="E3" s="3"/>
      <c r="F3" s="3" t="s">
        <v>4</v>
      </c>
      <c r="G3" s="3"/>
      <c r="H3" s="3"/>
      <c r="I3" s="3"/>
      <c r="J3" s="3"/>
      <c r="K3" s="3"/>
      <c r="L3" s="3"/>
      <c r="M3" s="3" t="s">
        <v>5</v>
      </c>
      <c r="N3" s="3"/>
      <c r="O3" s="3"/>
      <c r="P3" s="3"/>
      <c r="Q3" s="3" t="s">
        <v>6</v>
      </c>
      <c r="R3" s="3"/>
      <c r="S3" s="3"/>
      <c r="T3" s="3"/>
      <c r="U3" s="3"/>
    </row>
    <row r="4" spans="1:21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  <c r="U4" s="3" t="s">
        <v>27</v>
      </c>
    </row>
    <row r="5" spans="1:21">
      <c r="A5" s="4" t="s">
        <v>28</v>
      </c>
      <c r="B5" s="4" t="s">
        <v>29</v>
      </c>
      <c r="C5" s="5">
        <v>45902.47664351852</v>
      </c>
      <c r="D5" s="5">
        <v>45961</v>
      </c>
      <c r="E5" s="6">
        <f>IF(AND(C5&lt;&gt;"",D5&lt;&gt;""),D5-C5,"")</f>
        <v>0</v>
      </c>
      <c r="F5" s="4" t="s">
        <v>30</v>
      </c>
      <c r="G5" s="4" t="s">
        <v>31</v>
      </c>
      <c r="H5" s="4" t="s">
        <v>32</v>
      </c>
      <c r="I5" s="4" t="s">
        <v>33</v>
      </c>
      <c r="J5" s="4">
        <v>1</v>
      </c>
      <c r="K5" s="4">
        <v>0</v>
      </c>
      <c r="L5" s="4">
        <f>J5+K5</f>
        <v>0</v>
      </c>
      <c r="M5" s="4"/>
      <c r="N5" s="4"/>
      <c r="O5" s="4">
        <v>0</v>
      </c>
      <c r="P5" s="4"/>
      <c r="Q5" s="4"/>
      <c r="R5" s="7">
        <v>0</v>
      </c>
      <c r="S5" s="7">
        <v>0</v>
      </c>
      <c r="T5" s="7">
        <f>R5-S5</f>
        <v>0</v>
      </c>
      <c r="U5" s="7">
        <f>T5*O5</f>
        <v>0</v>
      </c>
    </row>
    <row r="6" spans="1:21">
      <c r="A6" s="4" t="s">
        <v>34</v>
      </c>
      <c r="B6" s="4" t="s">
        <v>29</v>
      </c>
      <c r="C6" s="5">
        <v>45902.53113425926</v>
      </c>
      <c r="D6" s="5">
        <v>45961</v>
      </c>
      <c r="E6" s="6">
        <f>IF(AND(C6&lt;&gt;"",D6&lt;&gt;""),D6-C6,"")</f>
        <v>0</v>
      </c>
      <c r="F6" s="4" t="s">
        <v>30</v>
      </c>
      <c r="G6" s="4" t="s">
        <v>31</v>
      </c>
      <c r="H6" s="4" t="s">
        <v>32</v>
      </c>
      <c r="I6" s="4" t="s">
        <v>33</v>
      </c>
      <c r="J6" s="4">
        <v>0</v>
      </c>
      <c r="K6" s="4">
        <v>0</v>
      </c>
      <c r="L6" s="4">
        <f>J6+K6</f>
        <v>0</v>
      </c>
      <c r="M6" s="4"/>
      <c r="N6" s="4"/>
      <c r="O6" s="4">
        <v>0</v>
      </c>
      <c r="P6" s="4"/>
      <c r="Q6" s="4"/>
      <c r="R6" s="7">
        <v>0</v>
      </c>
      <c r="S6" s="7">
        <v>0</v>
      </c>
      <c r="T6" s="7">
        <f>R6-S6</f>
        <v>0</v>
      </c>
      <c r="U6" s="7">
        <f>T6*O6</f>
        <v>0</v>
      </c>
    </row>
    <row r="7" spans="1:21">
      <c r="A7" s="4" t="s">
        <v>35</v>
      </c>
      <c r="B7" s="4" t="s">
        <v>29</v>
      </c>
      <c r="C7" s="5">
        <v>45902.61953703704</v>
      </c>
      <c r="D7" s="5">
        <v>45961</v>
      </c>
      <c r="E7" s="6">
        <f>IF(AND(C7&lt;&gt;"",D7&lt;&gt;""),D7-C7,"")</f>
        <v>0</v>
      </c>
      <c r="F7" s="4" t="s">
        <v>36</v>
      </c>
      <c r="G7" s="4" t="s">
        <v>37</v>
      </c>
      <c r="H7" s="4" t="s">
        <v>32</v>
      </c>
      <c r="I7" s="4" t="s">
        <v>33</v>
      </c>
      <c r="J7" s="4">
        <v>1</v>
      </c>
      <c r="K7" s="4">
        <v>0</v>
      </c>
      <c r="L7" s="4">
        <f>J7+K7</f>
        <v>0</v>
      </c>
      <c r="M7" s="4"/>
      <c r="N7" s="4"/>
      <c r="O7" s="4">
        <v>0</v>
      </c>
      <c r="P7" s="4"/>
      <c r="Q7" s="4"/>
      <c r="R7" s="7">
        <v>0</v>
      </c>
      <c r="S7" s="7">
        <v>0</v>
      </c>
      <c r="T7" s="7">
        <f>R7-S7</f>
        <v>0</v>
      </c>
      <c r="U7" s="7">
        <f>T7*O7</f>
        <v>0</v>
      </c>
    </row>
    <row r="8" spans="1:21">
      <c r="A8" s="4" t="s">
        <v>38</v>
      </c>
      <c r="B8" s="4" t="s">
        <v>39</v>
      </c>
      <c r="C8" s="5">
        <v>45903.3399537037</v>
      </c>
      <c r="D8" s="5">
        <v>45903</v>
      </c>
      <c r="E8" s="6">
        <f>IF(AND(C8&lt;&gt;"",D8&lt;&gt;""),D8-C8,"")</f>
        <v>0</v>
      </c>
      <c r="F8" s="4" t="s">
        <v>40</v>
      </c>
      <c r="G8" s="4" t="s">
        <v>41</v>
      </c>
      <c r="H8" s="4" t="s">
        <v>32</v>
      </c>
      <c r="I8" s="4" t="s">
        <v>33</v>
      </c>
      <c r="J8" s="4">
        <v>1</v>
      </c>
      <c r="K8" s="4">
        <v>0</v>
      </c>
      <c r="L8" s="4">
        <f>J8+K8</f>
        <v>0</v>
      </c>
      <c r="M8" s="4" t="s">
        <v>42</v>
      </c>
      <c r="N8" s="4"/>
      <c r="O8" s="4">
        <v>1</v>
      </c>
      <c r="P8" s="4" t="s">
        <v>43</v>
      </c>
      <c r="Q8" s="4" t="s">
        <v>44</v>
      </c>
      <c r="R8" s="7">
        <v>370000</v>
      </c>
      <c r="S8" s="7">
        <v>0</v>
      </c>
      <c r="T8" s="7">
        <f>R8-S8</f>
        <v>0</v>
      </c>
      <c r="U8" s="7">
        <f>T8*O8</f>
        <v>0</v>
      </c>
    </row>
    <row r="9" spans="1:21">
      <c r="A9" s="4" t="s">
        <v>38</v>
      </c>
      <c r="B9" s="4" t="s">
        <v>39</v>
      </c>
      <c r="C9" s="5">
        <v>45903.3399537037</v>
      </c>
      <c r="D9" s="5">
        <v>45903</v>
      </c>
      <c r="E9" s="6">
        <f>IF(AND(C9&lt;&gt;"",D9&lt;&gt;""),D9-C9,"")</f>
        <v>0</v>
      </c>
      <c r="F9" s="4" t="s">
        <v>40</v>
      </c>
      <c r="G9" s="4" t="s">
        <v>41</v>
      </c>
      <c r="H9" s="4" t="s">
        <v>32</v>
      </c>
      <c r="I9" s="4" t="s">
        <v>33</v>
      </c>
      <c r="J9" s="4">
        <v>0</v>
      </c>
      <c r="K9" s="4">
        <v>0</v>
      </c>
      <c r="L9" s="4">
        <f>J9+K9</f>
        <v>0</v>
      </c>
      <c r="M9" s="4" t="s">
        <v>45</v>
      </c>
      <c r="N9" s="4"/>
      <c r="O9" s="4">
        <v>1</v>
      </c>
      <c r="P9" s="4" t="s">
        <v>43</v>
      </c>
      <c r="Q9" s="4" t="s">
        <v>44</v>
      </c>
      <c r="R9" s="7">
        <v>500000</v>
      </c>
      <c r="S9" s="7">
        <v>0</v>
      </c>
      <c r="T9" s="7">
        <f>R9-S9</f>
        <v>0</v>
      </c>
      <c r="U9" s="7">
        <f>T9*O9</f>
        <v>0</v>
      </c>
    </row>
    <row r="10" spans="1:21">
      <c r="A10" s="4" t="s">
        <v>38</v>
      </c>
      <c r="B10" s="4" t="s">
        <v>39</v>
      </c>
      <c r="C10" s="5">
        <v>45903.3399537037</v>
      </c>
      <c r="D10" s="5">
        <v>45903</v>
      </c>
      <c r="E10" s="6">
        <f>IF(AND(C10&lt;&gt;"",D10&lt;&gt;""),D10-C10,"")</f>
        <v>0</v>
      </c>
      <c r="F10" s="4" t="s">
        <v>40</v>
      </c>
      <c r="G10" s="4" t="s">
        <v>41</v>
      </c>
      <c r="H10" s="4" t="s">
        <v>32</v>
      </c>
      <c r="I10" s="4" t="s">
        <v>33</v>
      </c>
      <c r="J10" s="4">
        <v>0</v>
      </c>
      <c r="K10" s="4">
        <v>1</v>
      </c>
      <c r="L10" s="4">
        <f>J10+K10</f>
        <v>0</v>
      </c>
      <c r="M10" s="4" t="s">
        <v>46</v>
      </c>
      <c r="N10" s="4"/>
      <c r="O10" s="4">
        <v>1</v>
      </c>
      <c r="P10" s="4" t="s">
        <v>43</v>
      </c>
      <c r="Q10" s="4" t="s">
        <v>44</v>
      </c>
      <c r="R10" s="7">
        <v>325000</v>
      </c>
      <c r="S10" s="7">
        <v>0</v>
      </c>
      <c r="T10" s="7">
        <f>R10-S10</f>
        <v>0</v>
      </c>
      <c r="U10" s="7">
        <f>T10*O10</f>
        <v>0</v>
      </c>
    </row>
    <row r="11" spans="1:21">
      <c r="A11" s="4" t="s">
        <v>47</v>
      </c>
      <c r="B11" s="4" t="s">
        <v>48</v>
      </c>
      <c r="C11" s="5">
        <v>45903.39498842593</v>
      </c>
      <c r="D11" s="5">
        <v>45961</v>
      </c>
      <c r="E11" s="6">
        <f>IF(AND(C11&lt;&gt;"",D11&lt;&gt;""),D11-C11,"")</f>
        <v>0</v>
      </c>
      <c r="F11" s="4" t="s">
        <v>49</v>
      </c>
      <c r="G11" s="4" t="s">
        <v>50</v>
      </c>
      <c r="H11" s="4" t="s">
        <v>32</v>
      </c>
      <c r="I11" s="4" t="s">
        <v>33</v>
      </c>
      <c r="J11" s="4">
        <v>2</v>
      </c>
      <c r="K11" s="4">
        <v>0</v>
      </c>
      <c r="L11" s="4">
        <f>J11+K11</f>
        <v>0</v>
      </c>
      <c r="M11" s="4"/>
      <c r="N11" s="4"/>
      <c r="O11" s="4">
        <v>0</v>
      </c>
      <c r="P11" s="4"/>
      <c r="Q11" s="4"/>
      <c r="R11" s="7">
        <v>0</v>
      </c>
      <c r="S11" s="7">
        <v>0</v>
      </c>
      <c r="T11" s="7">
        <f>R11-S11</f>
        <v>0</v>
      </c>
      <c r="U11" s="7">
        <f>T11*O11</f>
        <v>0</v>
      </c>
    </row>
    <row r="12" spans="1:21">
      <c r="A12" s="4" t="s">
        <v>51</v>
      </c>
      <c r="B12" s="4" t="s">
        <v>39</v>
      </c>
      <c r="C12" s="5">
        <v>45903.41099537037</v>
      </c>
      <c r="D12" s="5">
        <v>45903</v>
      </c>
      <c r="E12" s="6">
        <f>IF(AND(C12&lt;&gt;"",D12&lt;&gt;""),D12-C12,"")</f>
        <v>0</v>
      </c>
      <c r="F12" s="4" t="s">
        <v>52</v>
      </c>
      <c r="G12" s="4"/>
      <c r="H12" s="4" t="s">
        <v>32</v>
      </c>
      <c r="I12" s="4" t="s">
        <v>33</v>
      </c>
      <c r="J12" s="4">
        <v>0</v>
      </c>
      <c r="K12" s="4">
        <v>1</v>
      </c>
      <c r="L12" s="4">
        <f>J12+K12</f>
        <v>0</v>
      </c>
      <c r="M12" s="4" t="s">
        <v>46</v>
      </c>
      <c r="N12" s="4"/>
      <c r="O12" s="4">
        <v>1</v>
      </c>
      <c r="P12" s="4" t="s">
        <v>43</v>
      </c>
      <c r="Q12" s="4" t="s">
        <v>44</v>
      </c>
      <c r="R12" s="7">
        <v>325000</v>
      </c>
      <c r="S12" s="7">
        <v>0</v>
      </c>
      <c r="T12" s="7">
        <f>R12-S12</f>
        <v>0</v>
      </c>
      <c r="U12" s="7">
        <f>T12*O12</f>
        <v>0</v>
      </c>
    </row>
    <row r="13" spans="1:21">
      <c r="A13" s="4" t="s">
        <v>51</v>
      </c>
      <c r="B13" s="4" t="s">
        <v>39</v>
      </c>
      <c r="C13" s="5">
        <v>45903.41099537037</v>
      </c>
      <c r="D13" s="5">
        <v>45903</v>
      </c>
      <c r="E13" s="6">
        <f>IF(AND(C13&lt;&gt;"",D13&lt;&gt;""),D13-C13,"")</f>
        <v>0</v>
      </c>
      <c r="F13" s="4" t="s">
        <v>52</v>
      </c>
      <c r="G13" s="4"/>
      <c r="H13" s="4" t="s">
        <v>32</v>
      </c>
      <c r="I13" s="4" t="s">
        <v>33</v>
      </c>
      <c r="J13" s="4">
        <v>0</v>
      </c>
      <c r="K13" s="4">
        <v>0</v>
      </c>
      <c r="L13" s="4">
        <f>J13+K13</f>
        <v>0</v>
      </c>
      <c r="M13" s="4" t="s">
        <v>53</v>
      </c>
      <c r="N13" s="4"/>
      <c r="O13" s="4">
        <v>3</v>
      </c>
      <c r="P13" s="4" t="s">
        <v>43</v>
      </c>
      <c r="Q13" s="4" t="s">
        <v>44</v>
      </c>
      <c r="R13" s="7">
        <v>50000</v>
      </c>
      <c r="S13" s="7">
        <v>0</v>
      </c>
      <c r="T13" s="7">
        <f>R13-S13</f>
        <v>0</v>
      </c>
      <c r="U13" s="7">
        <f>T13*O13</f>
        <v>0</v>
      </c>
    </row>
    <row r="14" spans="1:21">
      <c r="A14" s="4" t="s">
        <v>54</v>
      </c>
      <c r="B14" s="4" t="s">
        <v>39</v>
      </c>
      <c r="C14" s="5">
        <v>45903.4141087963</v>
      </c>
      <c r="D14" s="5">
        <v>45903</v>
      </c>
      <c r="E14" s="6">
        <f>IF(AND(C14&lt;&gt;"",D14&lt;&gt;""),D14-C14,"")</f>
        <v>0</v>
      </c>
      <c r="F14" s="4" t="s">
        <v>55</v>
      </c>
      <c r="G14" s="4"/>
      <c r="H14" s="4"/>
      <c r="I14" s="4" t="s">
        <v>56</v>
      </c>
      <c r="J14" s="4">
        <v>1</v>
      </c>
      <c r="K14" s="4">
        <v>0</v>
      </c>
      <c r="L14" s="4">
        <f>J14+K14</f>
        <v>0</v>
      </c>
      <c r="M14" s="4" t="s">
        <v>42</v>
      </c>
      <c r="N14" s="4"/>
      <c r="O14" s="4">
        <v>1</v>
      </c>
      <c r="P14" s="4" t="s">
        <v>43</v>
      </c>
      <c r="Q14" s="4" t="s">
        <v>44</v>
      </c>
      <c r="R14" s="7">
        <v>370000</v>
      </c>
      <c r="S14" s="7">
        <v>0</v>
      </c>
      <c r="T14" s="7">
        <f>R14-S14</f>
        <v>0</v>
      </c>
      <c r="U14" s="7">
        <f>T14*O14</f>
        <v>0</v>
      </c>
    </row>
    <row r="15" spans="1:21">
      <c r="A15" s="4" t="s">
        <v>57</v>
      </c>
      <c r="B15" s="4" t="s">
        <v>48</v>
      </c>
      <c r="C15" s="5">
        <v>45903.41974537037</v>
      </c>
      <c r="D15" s="5">
        <v>45961</v>
      </c>
      <c r="E15" s="6">
        <f>IF(AND(C15&lt;&gt;"",D15&lt;&gt;""),D15-C15,"")</f>
        <v>0</v>
      </c>
      <c r="F15" s="4" t="s">
        <v>58</v>
      </c>
      <c r="G15" s="4" t="s">
        <v>59</v>
      </c>
      <c r="H15" s="4" t="s">
        <v>32</v>
      </c>
      <c r="I15" s="4" t="s">
        <v>33</v>
      </c>
      <c r="J15" s="4">
        <v>1</v>
      </c>
      <c r="K15" s="4">
        <v>0</v>
      </c>
      <c r="L15" s="4">
        <f>J15+K15</f>
        <v>0</v>
      </c>
      <c r="M15" s="4"/>
      <c r="N15" s="4"/>
      <c r="O15" s="4">
        <v>0</v>
      </c>
      <c r="P15" s="4"/>
      <c r="Q15" s="4"/>
      <c r="R15" s="7">
        <v>0</v>
      </c>
      <c r="S15" s="7">
        <v>0</v>
      </c>
      <c r="T15" s="7">
        <f>R15-S15</f>
        <v>0</v>
      </c>
      <c r="U15" s="7">
        <f>T15*O15</f>
        <v>0</v>
      </c>
    </row>
    <row r="16" spans="1:21">
      <c r="A16" s="4" t="s">
        <v>60</v>
      </c>
      <c r="B16" s="4" t="s">
        <v>48</v>
      </c>
      <c r="C16" s="5">
        <v>45903.4537037037</v>
      </c>
      <c r="D16" s="5">
        <v>45961</v>
      </c>
      <c r="E16" s="6">
        <f>IF(AND(C16&lt;&gt;"",D16&lt;&gt;""),D16-C16,"")</f>
        <v>0</v>
      </c>
      <c r="F16" s="4" t="s">
        <v>61</v>
      </c>
      <c r="G16" s="4" t="s">
        <v>62</v>
      </c>
      <c r="H16" s="4" t="s">
        <v>32</v>
      </c>
      <c r="I16" s="4" t="s">
        <v>33</v>
      </c>
      <c r="J16" s="4">
        <v>3</v>
      </c>
      <c r="K16" s="4">
        <v>2</v>
      </c>
      <c r="L16" s="4">
        <f>J16+K16</f>
        <v>0</v>
      </c>
      <c r="M16" s="4"/>
      <c r="N16" s="4"/>
      <c r="O16" s="4">
        <v>0</v>
      </c>
      <c r="P16" s="4"/>
      <c r="Q16" s="4"/>
      <c r="R16" s="7">
        <v>0</v>
      </c>
      <c r="S16" s="7">
        <v>0</v>
      </c>
      <c r="T16" s="7">
        <f>R16-S16</f>
        <v>0</v>
      </c>
      <c r="U16" s="7">
        <f>T16*O16</f>
        <v>0</v>
      </c>
    </row>
    <row r="17" spans="1:21">
      <c r="A17" s="4" t="s">
        <v>63</v>
      </c>
      <c r="B17" s="4" t="s">
        <v>48</v>
      </c>
      <c r="C17" s="5">
        <v>45903.48181712963</v>
      </c>
      <c r="D17" s="5">
        <v>45904</v>
      </c>
      <c r="E17" s="6">
        <f>IF(AND(C17&lt;&gt;"",D17&lt;&gt;""),D17-C17,"")</f>
        <v>0</v>
      </c>
      <c r="F17" s="4" t="s">
        <v>64</v>
      </c>
      <c r="G17" s="4" t="s">
        <v>65</v>
      </c>
      <c r="H17" s="4" t="s">
        <v>32</v>
      </c>
      <c r="I17" s="4" t="s">
        <v>33</v>
      </c>
      <c r="J17" s="4">
        <v>3</v>
      </c>
      <c r="K17" s="4">
        <v>2</v>
      </c>
      <c r="L17" s="4">
        <f>J17+K17</f>
        <v>0</v>
      </c>
      <c r="M17" s="4"/>
      <c r="N17" s="4"/>
      <c r="O17" s="4">
        <v>0</v>
      </c>
      <c r="P17" s="4"/>
      <c r="Q17" s="4"/>
      <c r="R17" s="7">
        <v>0</v>
      </c>
      <c r="S17" s="7">
        <v>0</v>
      </c>
      <c r="T17" s="7">
        <f>R17-S17</f>
        <v>0</v>
      </c>
      <c r="U17" s="7">
        <f>T17*O17</f>
        <v>0</v>
      </c>
    </row>
    <row r="18" spans="1:21">
      <c r="A18" s="4" t="s">
        <v>66</v>
      </c>
      <c r="B18" s="4" t="s">
        <v>39</v>
      </c>
      <c r="C18" s="5">
        <v>45903.5603587963</v>
      </c>
      <c r="D18" s="5">
        <v>45903</v>
      </c>
      <c r="E18" s="6">
        <f>IF(AND(C18&lt;&gt;"",D18&lt;&gt;""),D18-C18,"")</f>
        <v>0</v>
      </c>
      <c r="F18" s="4" t="s">
        <v>67</v>
      </c>
      <c r="G18" s="4"/>
      <c r="H18" s="4" t="s">
        <v>32</v>
      </c>
      <c r="I18" s="4" t="s">
        <v>33</v>
      </c>
      <c r="J18" s="4">
        <v>1</v>
      </c>
      <c r="K18" s="4">
        <v>0</v>
      </c>
      <c r="L18" s="4">
        <f>J18+K18</f>
        <v>0</v>
      </c>
      <c r="M18" s="4" t="s">
        <v>42</v>
      </c>
      <c r="N18" s="4"/>
      <c r="O18" s="4">
        <v>1</v>
      </c>
      <c r="P18" s="4" t="s">
        <v>43</v>
      </c>
      <c r="Q18" s="4" t="s">
        <v>44</v>
      </c>
      <c r="R18" s="7">
        <v>370000</v>
      </c>
      <c r="S18" s="7">
        <v>0</v>
      </c>
      <c r="T18" s="7">
        <f>R18-S18</f>
        <v>0</v>
      </c>
      <c r="U18" s="7">
        <f>T18*O18</f>
        <v>0</v>
      </c>
    </row>
    <row r="19" spans="1:21">
      <c r="A19" s="4" t="s">
        <v>68</v>
      </c>
      <c r="B19" s="4" t="s">
        <v>39</v>
      </c>
      <c r="C19" s="5">
        <v>45903.56618055556</v>
      </c>
      <c r="D19" s="5">
        <v>45903</v>
      </c>
      <c r="E19" s="6">
        <f>IF(AND(C19&lt;&gt;"",D19&lt;&gt;""),D19-C19,"")</f>
        <v>0</v>
      </c>
      <c r="F19" s="4" t="s">
        <v>69</v>
      </c>
      <c r="G19" s="4"/>
      <c r="H19" s="4" t="s">
        <v>32</v>
      </c>
      <c r="I19" s="4" t="s">
        <v>33</v>
      </c>
      <c r="J19" s="4">
        <v>1</v>
      </c>
      <c r="K19" s="4">
        <v>0</v>
      </c>
      <c r="L19" s="4">
        <f>J19+K19</f>
        <v>0</v>
      </c>
      <c r="M19" s="4" t="s">
        <v>42</v>
      </c>
      <c r="N19" s="4"/>
      <c r="O19" s="4">
        <v>1</v>
      </c>
      <c r="P19" s="4" t="s">
        <v>43</v>
      </c>
      <c r="Q19" s="4" t="s">
        <v>44</v>
      </c>
      <c r="R19" s="7">
        <v>370000</v>
      </c>
      <c r="S19" s="7">
        <v>0</v>
      </c>
      <c r="T19" s="7">
        <f>R19-S19</f>
        <v>0</v>
      </c>
      <c r="U19" s="7">
        <f>T19*O19</f>
        <v>0</v>
      </c>
    </row>
    <row r="20" spans="1:21">
      <c r="A20" s="4" t="s">
        <v>70</v>
      </c>
      <c r="B20" s="4" t="s">
        <v>48</v>
      </c>
      <c r="C20" s="5">
        <v>45903.59752314815</v>
      </c>
      <c r="D20" s="5">
        <v>45961</v>
      </c>
      <c r="E20" s="6">
        <f>IF(AND(C20&lt;&gt;"",D20&lt;&gt;""),D20-C20,"")</f>
        <v>0</v>
      </c>
      <c r="F20" s="4" t="s">
        <v>64</v>
      </c>
      <c r="G20" s="4" t="s">
        <v>65</v>
      </c>
      <c r="H20" s="4" t="s">
        <v>32</v>
      </c>
      <c r="I20" s="4" t="s">
        <v>33</v>
      </c>
      <c r="J20" s="4">
        <v>2</v>
      </c>
      <c r="K20" s="4">
        <v>2</v>
      </c>
      <c r="L20" s="4">
        <f>J20+K20</f>
        <v>0</v>
      </c>
      <c r="M20" s="4"/>
      <c r="N20" s="4"/>
      <c r="O20" s="4">
        <v>0</v>
      </c>
      <c r="P20" s="4"/>
      <c r="Q20" s="4"/>
      <c r="R20" s="7">
        <v>0</v>
      </c>
      <c r="S20" s="7">
        <v>0</v>
      </c>
      <c r="T20" s="7">
        <f>R20-S20</f>
        <v>0</v>
      </c>
      <c r="U20" s="7">
        <f>T20*O20</f>
        <v>0</v>
      </c>
    </row>
    <row r="21" spans="1:21">
      <c r="A21" s="4" t="s">
        <v>71</v>
      </c>
      <c r="B21" s="4" t="s">
        <v>48</v>
      </c>
      <c r="C21" s="5">
        <v>45903.59972222222</v>
      </c>
      <c r="D21" s="5">
        <v>45961</v>
      </c>
      <c r="E21" s="6">
        <f>IF(AND(C21&lt;&gt;"",D21&lt;&gt;""),D21-C21,"")</f>
        <v>0</v>
      </c>
      <c r="F21" s="4" t="s">
        <v>72</v>
      </c>
      <c r="G21" s="4" t="s">
        <v>73</v>
      </c>
      <c r="H21" s="4" t="s">
        <v>32</v>
      </c>
      <c r="I21" s="4" t="s">
        <v>33</v>
      </c>
      <c r="J21" s="4">
        <v>1</v>
      </c>
      <c r="K21" s="4">
        <v>1</v>
      </c>
      <c r="L21" s="4">
        <f>J21+K21</f>
        <v>0</v>
      </c>
      <c r="M21" s="4"/>
      <c r="N21" s="4"/>
      <c r="O21" s="4">
        <v>0</v>
      </c>
      <c r="P21" s="4"/>
      <c r="Q21" s="4"/>
      <c r="R21" s="7">
        <v>0</v>
      </c>
      <c r="S21" s="7">
        <v>0</v>
      </c>
      <c r="T21" s="7">
        <f>R21-S21</f>
        <v>0</v>
      </c>
      <c r="U21" s="7">
        <f>T21*O21</f>
        <v>0</v>
      </c>
    </row>
    <row r="22" spans="1:21">
      <c r="A22" s="4" t="s">
        <v>74</v>
      </c>
      <c r="B22" s="4" t="s">
        <v>39</v>
      </c>
      <c r="C22" s="5">
        <v>45903.63273148148</v>
      </c>
      <c r="D22" s="5">
        <v>45903</v>
      </c>
      <c r="E22" s="6">
        <f>IF(AND(C22&lt;&gt;"",D22&lt;&gt;""),D22-C22,"")</f>
        <v>0</v>
      </c>
      <c r="F22" s="4" t="s">
        <v>75</v>
      </c>
      <c r="G22" s="4" t="s">
        <v>76</v>
      </c>
      <c r="H22" s="4" t="s">
        <v>32</v>
      </c>
      <c r="I22" s="4" t="s">
        <v>33</v>
      </c>
      <c r="J22" s="4">
        <v>1</v>
      </c>
      <c r="K22" s="4">
        <v>0</v>
      </c>
      <c r="L22" s="4">
        <f>J22+K22</f>
        <v>0</v>
      </c>
      <c r="M22" s="4" t="s">
        <v>42</v>
      </c>
      <c r="N22" s="4"/>
      <c r="O22" s="4">
        <v>1</v>
      </c>
      <c r="P22" s="4" t="s">
        <v>43</v>
      </c>
      <c r="Q22" s="4" t="s">
        <v>44</v>
      </c>
      <c r="R22" s="7">
        <v>370000</v>
      </c>
      <c r="S22" s="7">
        <v>0</v>
      </c>
      <c r="T22" s="7">
        <f>R22-S22</f>
        <v>0</v>
      </c>
      <c r="U22" s="7">
        <f>T22*O22</f>
        <v>0</v>
      </c>
    </row>
    <row r="23" spans="1:21">
      <c r="A23" s="4" t="s">
        <v>74</v>
      </c>
      <c r="B23" s="4" t="s">
        <v>39</v>
      </c>
      <c r="C23" s="5">
        <v>45903.63273148148</v>
      </c>
      <c r="D23" s="5">
        <v>45903</v>
      </c>
      <c r="E23" s="6">
        <f>IF(AND(C23&lt;&gt;"",D23&lt;&gt;""),D23-C23,"")</f>
        <v>0</v>
      </c>
      <c r="F23" s="4" t="s">
        <v>75</v>
      </c>
      <c r="G23" s="4" t="s">
        <v>76</v>
      </c>
      <c r="H23" s="4" t="s">
        <v>32</v>
      </c>
      <c r="I23" s="4" t="s">
        <v>33</v>
      </c>
      <c r="J23" s="4">
        <v>0</v>
      </c>
      <c r="K23" s="4">
        <v>1</v>
      </c>
      <c r="L23" s="4">
        <f>J23+K23</f>
        <v>0</v>
      </c>
      <c r="M23" s="4" t="s">
        <v>46</v>
      </c>
      <c r="N23" s="4"/>
      <c r="O23" s="4">
        <v>1</v>
      </c>
      <c r="P23" s="4" t="s">
        <v>43</v>
      </c>
      <c r="Q23" s="4" t="s">
        <v>44</v>
      </c>
      <c r="R23" s="7">
        <v>325000</v>
      </c>
      <c r="S23" s="7">
        <v>0</v>
      </c>
      <c r="T23" s="7">
        <f>R23-S23</f>
        <v>0</v>
      </c>
      <c r="U23" s="7">
        <f>T23*O23</f>
        <v>0</v>
      </c>
    </row>
    <row r="24" spans="1:21">
      <c r="A24" s="4" t="s">
        <v>77</v>
      </c>
      <c r="B24" s="4" t="s">
        <v>39</v>
      </c>
      <c r="C24" s="5">
        <v>45903.64729166667</v>
      </c>
      <c r="D24" s="5">
        <v>45903</v>
      </c>
      <c r="E24" s="6">
        <f>IF(AND(C24&lt;&gt;"",D24&lt;&gt;""),D24-C24,"")</f>
        <v>0</v>
      </c>
      <c r="F24" s="4" t="s">
        <v>78</v>
      </c>
      <c r="G24" s="4" t="s">
        <v>79</v>
      </c>
      <c r="H24" s="4"/>
      <c r="I24" s="4" t="s">
        <v>56</v>
      </c>
      <c r="J24" s="4">
        <v>0</v>
      </c>
      <c r="K24" s="4">
        <v>1</v>
      </c>
      <c r="L24" s="4">
        <f>J24+K24</f>
        <v>0</v>
      </c>
      <c r="M24" s="4" t="s">
        <v>46</v>
      </c>
      <c r="N24" s="4"/>
      <c r="O24" s="4">
        <v>1</v>
      </c>
      <c r="P24" s="4" t="s">
        <v>43</v>
      </c>
      <c r="Q24" s="4" t="s">
        <v>44</v>
      </c>
      <c r="R24" s="7">
        <v>325000</v>
      </c>
      <c r="S24" s="7">
        <v>0</v>
      </c>
      <c r="T24" s="7">
        <f>R24-S24</f>
        <v>0</v>
      </c>
      <c r="U24" s="7">
        <f>T24*O24</f>
        <v>0</v>
      </c>
    </row>
    <row r="25" spans="1:21">
      <c r="A25" s="4" t="s">
        <v>77</v>
      </c>
      <c r="B25" s="4" t="s">
        <v>39</v>
      </c>
      <c r="C25" s="5">
        <v>45903.64729166667</v>
      </c>
      <c r="D25" s="5">
        <v>45903</v>
      </c>
      <c r="E25" s="6">
        <f>IF(AND(C25&lt;&gt;"",D25&lt;&gt;""),D25-C25,"")</f>
        <v>0</v>
      </c>
      <c r="F25" s="4" t="s">
        <v>78</v>
      </c>
      <c r="G25" s="4" t="s">
        <v>79</v>
      </c>
      <c r="H25" s="4"/>
      <c r="I25" s="4" t="s">
        <v>56</v>
      </c>
      <c r="J25" s="4">
        <v>1</v>
      </c>
      <c r="K25" s="4">
        <v>0</v>
      </c>
      <c r="L25" s="4">
        <f>J25+K25</f>
        <v>0</v>
      </c>
      <c r="M25" s="4" t="s">
        <v>42</v>
      </c>
      <c r="N25" s="4"/>
      <c r="O25" s="4">
        <v>1</v>
      </c>
      <c r="P25" s="4" t="s">
        <v>43</v>
      </c>
      <c r="Q25" s="4" t="s">
        <v>44</v>
      </c>
      <c r="R25" s="7">
        <v>370000</v>
      </c>
      <c r="S25" s="7">
        <v>0</v>
      </c>
      <c r="T25" s="7">
        <f>R25-S25</f>
        <v>0</v>
      </c>
      <c r="U25" s="7">
        <f>T25*O25</f>
        <v>0</v>
      </c>
    </row>
    <row r="26" spans="1:21">
      <c r="A26" s="4" t="s">
        <v>77</v>
      </c>
      <c r="B26" s="4" t="s">
        <v>39</v>
      </c>
      <c r="C26" s="5">
        <v>45903.64729166667</v>
      </c>
      <c r="D26" s="5">
        <v>45903</v>
      </c>
      <c r="E26" s="6">
        <f>IF(AND(C26&lt;&gt;"",D26&lt;&gt;""),D26-C26,"")</f>
        <v>0</v>
      </c>
      <c r="F26" s="4" t="s">
        <v>78</v>
      </c>
      <c r="G26" s="4" t="s">
        <v>79</v>
      </c>
      <c r="H26" s="4"/>
      <c r="I26" s="4" t="s">
        <v>56</v>
      </c>
      <c r="J26" s="4">
        <v>1</v>
      </c>
      <c r="K26" s="4">
        <v>0</v>
      </c>
      <c r="L26" s="4">
        <f>J26+K26</f>
        <v>0</v>
      </c>
      <c r="M26" s="4" t="s">
        <v>80</v>
      </c>
      <c r="N26" s="4"/>
      <c r="O26" s="4">
        <v>1</v>
      </c>
      <c r="P26" s="4" t="s">
        <v>43</v>
      </c>
      <c r="Q26" s="4" t="s">
        <v>44</v>
      </c>
      <c r="R26" s="7">
        <v>620000</v>
      </c>
      <c r="S26" s="7">
        <v>0</v>
      </c>
      <c r="T26" s="7">
        <f>R26-S26</f>
        <v>0</v>
      </c>
      <c r="U26" s="7">
        <f>T26*O26</f>
        <v>0</v>
      </c>
    </row>
    <row r="27" spans="1:21">
      <c r="A27" s="4" t="s">
        <v>77</v>
      </c>
      <c r="B27" s="4" t="s">
        <v>39</v>
      </c>
      <c r="C27" s="5">
        <v>45903.64729166667</v>
      </c>
      <c r="D27" s="5">
        <v>45903</v>
      </c>
      <c r="E27" s="6">
        <f>IF(AND(C27&lt;&gt;"",D27&lt;&gt;""),D27-C27,"")</f>
        <v>0</v>
      </c>
      <c r="F27" s="4" t="s">
        <v>78</v>
      </c>
      <c r="G27" s="4" t="s">
        <v>79</v>
      </c>
      <c r="H27" s="4"/>
      <c r="I27" s="4" t="s">
        <v>56</v>
      </c>
      <c r="J27" s="4">
        <v>0</v>
      </c>
      <c r="K27" s="4">
        <v>1</v>
      </c>
      <c r="L27" s="4">
        <f>J27+K27</f>
        <v>0</v>
      </c>
      <c r="M27" s="4" t="s">
        <v>81</v>
      </c>
      <c r="N27" s="4"/>
      <c r="O27" s="4">
        <v>1</v>
      </c>
      <c r="P27" s="4" t="s">
        <v>43</v>
      </c>
      <c r="Q27" s="4" t="s">
        <v>44</v>
      </c>
      <c r="R27" s="7">
        <v>495000</v>
      </c>
      <c r="S27" s="7">
        <v>0</v>
      </c>
      <c r="T27" s="7">
        <f>R27-S27</f>
        <v>0</v>
      </c>
      <c r="U27" s="7">
        <f>T27*O27</f>
        <v>0</v>
      </c>
    </row>
    <row r="28" spans="1:21">
      <c r="A28" s="4" t="s">
        <v>82</v>
      </c>
      <c r="B28" s="4" t="s">
        <v>39</v>
      </c>
      <c r="C28" s="5">
        <v>45903.64787037037</v>
      </c>
      <c r="D28" s="5">
        <v>45903</v>
      </c>
      <c r="E28" s="6">
        <f>IF(AND(C28&lt;&gt;"",D28&lt;&gt;""),D28-C28,"")</f>
        <v>0</v>
      </c>
      <c r="F28" s="4" t="s">
        <v>83</v>
      </c>
      <c r="G28" s="4" t="s">
        <v>84</v>
      </c>
      <c r="H28" s="4" t="s">
        <v>32</v>
      </c>
      <c r="I28" s="4" t="s">
        <v>33</v>
      </c>
      <c r="J28" s="4">
        <v>0</v>
      </c>
      <c r="K28" s="4">
        <v>1</v>
      </c>
      <c r="L28" s="4">
        <f>J28+K28</f>
        <v>0</v>
      </c>
      <c r="M28" s="4" t="s">
        <v>46</v>
      </c>
      <c r="N28" s="4"/>
      <c r="O28" s="4">
        <v>1</v>
      </c>
      <c r="P28" s="4" t="s">
        <v>43</v>
      </c>
      <c r="Q28" s="4" t="s">
        <v>44</v>
      </c>
      <c r="R28" s="7">
        <v>325000</v>
      </c>
      <c r="S28" s="7">
        <v>0</v>
      </c>
      <c r="T28" s="7">
        <f>R28-S28</f>
        <v>0</v>
      </c>
      <c r="U28" s="7">
        <f>T28*O28</f>
        <v>0</v>
      </c>
    </row>
    <row r="29" spans="1:21">
      <c r="A29" s="4" t="s">
        <v>82</v>
      </c>
      <c r="B29" s="4" t="s">
        <v>39</v>
      </c>
      <c r="C29" s="5">
        <v>45903.64787037037</v>
      </c>
      <c r="D29" s="5">
        <v>45903</v>
      </c>
      <c r="E29" s="6">
        <f>IF(AND(C29&lt;&gt;"",D29&lt;&gt;""),D29-C29,"")</f>
        <v>0</v>
      </c>
      <c r="F29" s="4" t="s">
        <v>83</v>
      </c>
      <c r="G29" s="4" t="s">
        <v>84</v>
      </c>
      <c r="H29" s="4" t="s">
        <v>32</v>
      </c>
      <c r="I29" s="4" t="s">
        <v>33</v>
      </c>
      <c r="J29" s="4">
        <v>1</v>
      </c>
      <c r="K29" s="4">
        <v>0</v>
      </c>
      <c r="L29" s="4">
        <f>J29+K29</f>
        <v>0</v>
      </c>
      <c r="M29" s="4" t="s">
        <v>42</v>
      </c>
      <c r="N29" s="4"/>
      <c r="O29" s="4">
        <v>1</v>
      </c>
      <c r="P29" s="4" t="s">
        <v>43</v>
      </c>
      <c r="Q29" s="4" t="s">
        <v>44</v>
      </c>
      <c r="R29" s="7">
        <v>370000</v>
      </c>
      <c r="S29" s="7">
        <v>0</v>
      </c>
      <c r="T29" s="7">
        <f>R29-S29</f>
        <v>0</v>
      </c>
      <c r="U29" s="7">
        <f>T29*O29</f>
        <v>0</v>
      </c>
    </row>
    <row r="30" spans="1:21">
      <c r="A30" s="4" t="s">
        <v>85</v>
      </c>
      <c r="B30" s="4" t="s">
        <v>48</v>
      </c>
      <c r="C30" s="5">
        <v>45903.66184027777</v>
      </c>
      <c r="D30" s="5">
        <v>45903</v>
      </c>
      <c r="E30" s="6">
        <f>IF(AND(C30&lt;&gt;"",D30&lt;&gt;""),D30-C30,"")</f>
        <v>0</v>
      </c>
      <c r="F30" s="4" t="s">
        <v>64</v>
      </c>
      <c r="G30" s="4" t="s">
        <v>65</v>
      </c>
      <c r="H30" s="4" t="s">
        <v>32</v>
      </c>
      <c r="I30" s="4" t="s">
        <v>33</v>
      </c>
      <c r="J30" s="4">
        <v>1</v>
      </c>
      <c r="K30" s="4">
        <v>1</v>
      </c>
      <c r="L30" s="4">
        <f>J30+K30</f>
        <v>0</v>
      </c>
      <c r="M30" s="4"/>
      <c r="N30" s="4"/>
      <c r="O30" s="4">
        <v>0</v>
      </c>
      <c r="P30" s="4"/>
      <c r="Q30" s="4"/>
      <c r="R30" s="7">
        <v>0</v>
      </c>
      <c r="S30" s="7">
        <v>0</v>
      </c>
      <c r="T30" s="7">
        <f>R30-S30</f>
        <v>0</v>
      </c>
      <c r="U30" s="7">
        <f>T30*O30</f>
        <v>0</v>
      </c>
    </row>
    <row r="31" spans="1:21">
      <c r="A31" s="4" t="s">
        <v>86</v>
      </c>
      <c r="B31" s="4" t="s">
        <v>39</v>
      </c>
      <c r="C31" s="5">
        <v>45903.66333333333</v>
      </c>
      <c r="D31" s="5">
        <v>45903</v>
      </c>
      <c r="E31" s="6">
        <f>IF(AND(C31&lt;&gt;"",D31&lt;&gt;""),D31-C31,"")</f>
        <v>0</v>
      </c>
      <c r="F31" s="4" t="s">
        <v>87</v>
      </c>
      <c r="G31" s="4"/>
      <c r="H31" s="4" t="s">
        <v>32</v>
      </c>
      <c r="I31" s="4" t="s">
        <v>33</v>
      </c>
      <c r="J31" s="4">
        <v>1</v>
      </c>
      <c r="K31" s="4">
        <v>0</v>
      </c>
      <c r="L31" s="4">
        <f>J31+K31</f>
        <v>0</v>
      </c>
      <c r="M31" s="4" t="s">
        <v>80</v>
      </c>
      <c r="N31" s="4"/>
      <c r="O31" s="4">
        <v>1</v>
      </c>
      <c r="P31" s="4" t="s">
        <v>43</v>
      </c>
      <c r="Q31" s="4" t="s">
        <v>44</v>
      </c>
      <c r="R31" s="7">
        <v>620000</v>
      </c>
      <c r="S31" s="7">
        <v>0</v>
      </c>
      <c r="T31" s="7">
        <f>R31-S31</f>
        <v>0</v>
      </c>
      <c r="U31" s="7">
        <f>T31*O31</f>
        <v>0</v>
      </c>
    </row>
    <row r="32" spans="1:21">
      <c r="A32" s="4" t="s">
        <v>88</v>
      </c>
      <c r="B32" s="4" t="s">
        <v>48</v>
      </c>
      <c r="C32" s="5">
        <v>45903.67959490741</v>
      </c>
      <c r="D32" s="5">
        <v>45961</v>
      </c>
      <c r="E32" s="6">
        <f>IF(AND(C32&lt;&gt;"",D32&lt;&gt;""),D32-C32,"")</f>
        <v>0</v>
      </c>
      <c r="F32" s="4" t="s">
        <v>64</v>
      </c>
      <c r="G32" s="4" t="s">
        <v>65</v>
      </c>
      <c r="H32" s="4" t="s">
        <v>32</v>
      </c>
      <c r="I32" s="4" t="s">
        <v>33</v>
      </c>
      <c r="J32" s="4">
        <v>2</v>
      </c>
      <c r="K32" s="4">
        <v>2</v>
      </c>
      <c r="L32" s="4">
        <f>J32+K32</f>
        <v>0</v>
      </c>
      <c r="M32" s="4"/>
      <c r="N32" s="4"/>
      <c r="O32" s="4">
        <v>0</v>
      </c>
      <c r="P32" s="4"/>
      <c r="Q32" s="4"/>
      <c r="R32" s="7">
        <v>0</v>
      </c>
      <c r="S32" s="7">
        <v>0</v>
      </c>
      <c r="T32" s="7">
        <f>R32-S32</f>
        <v>0</v>
      </c>
      <c r="U32" s="7">
        <f>T32*O32</f>
        <v>0</v>
      </c>
    </row>
    <row r="33" spans="1:21">
      <c r="A33" s="4" t="s">
        <v>89</v>
      </c>
      <c r="B33" s="4" t="s">
        <v>48</v>
      </c>
      <c r="C33" s="5">
        <v>45903.70903935185</v>
      </c>
      <c r="D33" s="5">
        <v>45961</v>
      </c>
      <c r="E33" s="6">
        <f>IF(AND(C33&lt;&gt;"",D33&lt;&gt;""),D33-C33,"")</f>
        <v>0</v>
      </c>
      <c r="F33" s="4" t="s">
        <v>64</v>
      </c>
      <c r="G33" s="4" t="s">
        <v>65</v>
      </c>
      <c r="H33" s="4" t="s">
        <v>32</v>
      </c>
      <c r="I33" s="4" t="s">
        <v>33</v>
      </c>
      <c r="J33" s="4">
        <v>3</v>
      </c>
      <c r="K33" s="4">
        <v>2</v>
      </c>
      <c r="L33" s="4">
        <f>J33+K33</f>
        <v>0</v>
      </c>
      <c r="M33" s="4"/>
      <c r="N33" s="4"/>
      <c r="O33" s="4">
        <v>0</v>
      </c>
      <c r="P33" s="4"/>
      <c r="Q33" s="4"/>
      <c r="R33" s="7">
        <v>0</v>
      </c>
      <c r="S33" s="7">
        <v>0</v>
      </c>
      <c r="T33" s="7">
        <f>R33-S33</f>
        <v>0</v>
      </c>
      <c r="U33" s="7">
        <f>T33*O33</f>
        <v>0</v>
      </c>
    </row>
    <row r="34" spans="1:21">
      <c r="A34" s="4" t="s">
        <v>90</v>
      </c>
      <c r="B34" s="4"/>
      <c r="C34" s="5">
        <v>45903.86709490741</v>
      </c>
      <c r="D34" s="5">
        <v>45961</v>
      </c>
      <c r="E34" s="6">
        <f>IF(AND(C34&lt;&gt;"",D34&lt;&gt;""),D34-C34,"")</f>
        <v>0</v>
      </c>
      <c r="F34" s="4" t="s">
        <v>30</v>
      </c>
      <c r="G34" s="4" t="s">
        <v>31</v>
      </c>
      <c r="H34" s="4" t="s">
        <v>32</v>
      </c>
      <c r="I34" s="4" t="s">
        <v>33</v>
      </c>
      <c r="J34" s="4">
        <v>10</v>
      </c>
      <c r="K34" s="4">
        <v>10</v>
      </c>
      <c r="L34" s="4">
        <f>J34+K34</f>
        <v>0</v>
      </c>
      <c r="M34" s="4"/>
      <c r="N34" s="4"/>
      <c r="O34" s="4">
        <v>0</v>
      </c>
      <c r="P34" s="4"/>
      <c r="Q34" s="4"/>
      <c r="R34" s="7">
        <v>0</v>
      </c>
      <c r="S34" s="7">
        <v>0</v>
      </c>
      <c r="T34" s="7">
        <f>R34-S34</f>
        <v>0</v>
      </c>
      <c r="U34" s="7">
        <f>T34*O34</f>
        <v>0</v>
      </c>
    </row>
    <row r="35" spans="1:21">
      <c r="A35" s="4" t="s">
        <v>91</v>
      </c>
      <c r="B35" s="4"/>
      <c r="C35" s="5">
        <v>45903.86821759259</v>
      </c>
      <c r="D35" s="5">
        <v>45961</v>
      </c>
      <c r="E35" s="6">
        <f>IF(AND(C35&lt;&gt;"",D35&lt;&gt;""),D35-C35,"")</f>
        <v>0</v>
      </c>
      <c r="F35" s="4" t="s">
        <v>92</v>
      </c>
      <c r="G35" s="4"/>
      <c r="H35" s="4"/>
      <c r="I35" s="4" t="s">
        <v>56</v>
      </c>
      <c r="J35" s="4">
        <v>2</v>
      </c>
      <c r="K35" s="4">
        <v>0</v>
      </c>
      <c r="L35" s="4">
        <f>J35+K35</f>
        <v>0</v>
      </c>
      <c r="M35" s="4"/>
      <c r="N35" s="4"/>
      <c r="O35" s="4">
        <v>0</v>
      </c>
      <c r="P35" s="4"/>
      <c r="Q35" s="4"/>
      <c r="R35" s="7">
        <v>0</v>
      </c>
      <c r="S35" s="7">
        <v>0</v>
      </c>
      <c r="T35" s="7">
        <f>R35-S35</f>
        <v>0</v>
      </c>
      <c r="U35" s="7">
        <f>T35*O35</f>
        <v>0</v>
      </c>
    </row>
    <row r="36" spans="1:21">
      <c r="A36" s="4" t="s">
        <v>93</v>
      </c>
      <c r="B36" s="4"/>
      <c r="C36" s="5">
        <v>45903.86960648148</v>
      </c>
      <c r="D36" s="5">
        <v>45961</v>
      </c>
      <c r="E36" s="6">
        <f>IF(AND(C36&lt;&gt;"",D36&lt;&gt;""),D36-C36,"")</f>
        <v>0</v>
      </c>
      <c r="F36" s="4" t="s">
        <v>94</v>
      </c>
      <c r="G36" s="4"/>
      <c r="H36" s="4"/>
      <c r="I36" s="4" t="s">
        <v>56</v>
      </c>
      <c r="J36" s="4">
        <v>2</v>
      </c>
      <c r="K36" s="4">
        <v>0</v>
      </c>
      <c r="L36" s="4">
        <f>J36+K36</f>
        <v>0</v>
      </c>
      <c r="M36" s="4"/>
      <c r="N36" s="4"/>
      <c r="O36" s="4">
        <v>0</v>
      </c>
      <c r="P36" s="4"/>
      <c r="Q36" s="4"/>
      <c r="R36" s="7">
        <v>0</v>
      </c>
      <c r="S36" s="7">
        <v>0</v>
      </c>
      <c r="T36" s="7">
        <f>R36-S36</f>
        <v>0</v>
      </c>
      <c r="U36" s="7">
        <f>T36*O36</f>
        <v>0</v>
      </c>
    </row>
    <row r="37" spans="1:21">
      <c r="A37" s="4" t="s">
        <v>95</v>
      </c>
      <c r="B37" s="4"/>
      <c r="C37" s="5">
        <v>45903.93100694445</v>
      </c>
      <c r="D37" s="5">
        <v>45961</v>
      </c>
      <c r="E37" s="6">
        <f>IF(AND(C37&lt;&gt;"",D37&lt;&gt;""),D37-C37,"")</f>
        <v>0</v>
      </c>
      <c r="F37" s="4" t="s">
        <v>96</v>
      </c>
      <c r="G37" s="4" t="s">
        <v>97</v>
      </c>
      <c r="H37" s="4" t="s">
        <v>32</v>
      </c>
      <c r="I37" s="4" t="s">
        <v>33</v>
      </c>
      <c r="J37" s="4">
        <v>2</v>
      </c>
      <c r="K37" s="4">
        <v>0</v>
      </c>
      <c r="L37" s="4">
        <f>J37+K37</f>
        <v>0</v>
      </c>
      <c r="M37" s="4"/>
      <c r="N37" s="4"/>
      <c r="O37" s="4">
        <v>0</v>
      </c>
      <c r="P37" s="4"/>
      <c r="Q37" s="4"/>
      <c r="R37" s="7">
        <v>0</v>
      </c>
      <c r="S37" s="7">
        <v>0</v>
      </c>
      <c r="T37" s="7">
        <f>R37-S37</f>
        <v>0</v>
      </c>
      <c r="U37" s="7">
        <f>T37*O37</f>
        <v>0</v>
      </c>
    </row>
    <row r="38" spans="1:21">
      <c r="A38" s="4" t="s">
        <v>98</v>
      </c>
      <c r="B38" s="4"/>
      <c r="C38" s="5">
        <v>45903.98331018518</v>
      </c>
      <c r="D38" s="5">
        <v>45961</v>
      </c>
      <c r="E38" s="6">
        <f>IF(AND(C38&lt;&gt;"",D38&lt;&gt;""),D38-C38,"")</f>
        <v>0</v>
      </c>
      <c r="F38" s="4" t="s">
        <v>96</v>
      </c>
      <c r="G38" s="4" t="s">
        <v>97</v>
      </c>
      <c r="H38" s="4" t="s">
        <v>32</v>
      </c>
      <c r="I38" s="4" t="s">
        <v>33</v>
      </c>
      <c r="J38" s="4">
        <v>1</v>
      </c>
      <c r="K38" s="4">
        <v>0</v>
      </c>
      <c r="L38" s="4">
        <f>J38+K38</f>
        <v>0</v>
      </c>
      <c r="M38" s="4"/>
      <c r="N38" s="4"/>
      <c r="O38" s="4">
        <v>0</v>
      </c>
      <c r="P38" s="4"/>
      <c r="Q38" s="4"/>
      <c r="R38" s="7">
        <v>0</v>
      </c>
      <c r="S38" s="7">
        <v>0</v>
      </c>
      <c r="T38" s="7">
        <f>R38-S38</f>
        <v>0</v>
      </c>
      <c r="U38" s="7">
        <f>T38*O38</f>
        <v>0</v>
      </c>
    </row>
    <row r="39" spans="1:21">
      <c r="A39" s="4" t="s">
        <v>99</v>
      </c>
      <c r="B39" s="4"/>
      <c r="C39" s="5">
        <v>45903.98407407408</v>
      </c>
      <c r="D39" s="5">
        <v>45961</v>
      </c>
      <c r="E39" s="6">
        <f>IF(AND(C39&lt;&gt;"",D39&lt;&gt;""),D39-C39,"")</f>
        <v>0</v>
      </c>
      <c r="F39" s="4" t="s">
        <v>30</v>
      </c>
      <c r="G39" s="4" t="s">
        <v>31</v>
      </c>
      <c r="H39" s="4" t="s">
        <v>32</v>
      </c>
      <c r="I39" s="4" t="s">
        <v>33</v>
      </c>
      <c r="J39" s="4">
        <v>1</v>
      </c>
      <c r="K39" s="4">
        <v>0</v>
      </c>
      <c r="L39" s="4">
        <f>J39+K39</f>
        <v>0</v>
      </c>
      <c r="M39" s="4"/>
      <c r="N39" s="4"/>
      <c r="O39" s="4">
        <v>0</v>
      </c>
      <c r="P39" s="4"/>
      <c r="Q39" s="4"/>
      <c r="R39" s="7">
        <v>0</v>
      </c>
      <c r="S39" s="7">
        <v>0</v>
      </c>
      <c r="T39" s="7">
        <f>R39-S39</f>
        <v>0</v>
      </c>
      <c r="U39" s="7">
        <f>T39*O39</f>
        <v>0</v>
      </c>
    </row>
    <row r="40" spans="1:21">
      <c r="A40" s="4" t="s">
        <v>100</v>
      </c>
      <c r="B40" s="4" t="s">
        <v>48</v>
      </c>
      <c r="C40" s="5">
        <v>45904.01144675926</v>
      </c>
      <c r="D40" s="5">
        <v>45961</v>
      </c>
      <c r="E40" s="6">
        <f>IF(AND(C40&lt;&gt;"",D40&lt;&gt;""),D40-C40,"")</f>
        <v>0</v>
      </c>
      <c r="F40" s="4" t="s">
        <v>64</v>
      </c>
      <c r="G40" s="4" t="s">
        <v>65</v>
      </c>
      <c r="H40" s="4" t="s">
        <v>32</v>
      </c>
      <c r="I40" s="4" t="s">
        <v>33</v>
      </c>
      <c r="J40" s="4">
        <v>1</v>
      </c>
      <c r="K40" s="4">
        <v>0</v>
      </c>
      <c r="L40" s="4">
        <f>J40+K40</f>
        <v>0</v>
      </c>
      <c r="M40" s="4"/>
      <c r="N40" s="4"/>
      <c r="O40" s="4">
        <v>0</v>
      </c>
      <c r="P40" s="4"/>
      <c r="Q40" s="4"/>
      <c r="R40" s="7">
        <v>0</v>
      </c>
      <c r="S40" s="7">
        <v>0</v>
      </c>
      <c r="T40" s="7">
        <f>R40-S40</f>
        <v>0</v>
      </c>
      <c r="U40" s="7">
        <f>T40*O40</f>
        <v>0</v>
      </c>
    </row>
    <row r="41" spans="1:21">
      <c r="A41" s="4" t="s">
        <v>101</v>
      </c>
      <c r="B41" s="4" t="s">
        <v>48</v>
      </c>
      <c r="C41" s="5">
        <v>45904.01592592592</v>
      </c>
      <c r="D41" s="5">
        <v>45961</v>
      </c>
      <c r="E41" s="6">
        <f>IF(AND(C41&lt;&gt;"",D41&lt;&gt;""),D41-C41,"")</f>
        <v>0</v>
      </c>
      <c r="F41" s="4" t="s">
        <v>64</v>
      </c>
      <c r="G41" s="4" t="s">
        <v>65</v>
      </c>
      <c r="H41" s="4" t="s">
        <v>32</v>
      </c>
      <c r="I41" s="4" t="s">
        <v>33</v>
      </c>
      <c r="J41" s="4">
        <v>3</v>
      </c>
      <c r="K41" s="4">
        <v>0</v>
      </c>
      <c r="L41" s="4">
        <f>J41+K41</f>
        <v>0</v>
      </c>
      <c r="M41" s="4"/>
      <c r="N41" s="4"/>
      <c r="O41" s="4">
        <v>0</v>
      </c>
      <c r="P41" s="4"/>
      <c r="Q41" s="4"/>
      <c r="R41" s="7">
        <v>0</v>
      </c>
      <c r="S41" s="7">
        <v>0</v>
      </c>
      <c r="T41" s="7">
        <f>R41-S41</f>
        <v>0</v>
      </c>
      <c r="U41" s="7">
        <f>T41*O41</f>
        <v>0</v>
      </c>
    </row>
    <row r="42" spans="1:21">
      <c r="A42" s="4" t="s">
        <v>102</v>
      </c>
      <c r="B42" s="4" t="s">
        <v>103</v>
      </c>
      <c r="C42" s="5">
        <v>45904.03893518518</v>
      </c>
      <c r="D42" s="5">
        <v>45961</v>
      </c>
      <c r="E42" s="6">
        <f>IF(AND(C42&lt;&gt;"",D42&lt;&gt;""),D42-C42,"")</f>
        <v>0</v>
      </c>
      <c r="F42" s="4" t="s">
        <v>104</v>
      </c>
      <c r="G42" s="4" t="s">
        <v>105</v>
      </c>
      <c r="H42" s="4"/>
      <c r="I42" s="4" t="s">
        <v>56</v>
      </c>
      <c r="J42" s="4">
        <v>0</v>
      </c>
      <c r="K42" s="4">
        <v>0</v>
      </c>
      <c r="L42" s="4">
        <f>J42+K42</f>
        <v>0</v>
      </c>
      <c r="M42" s="4"/>
      <c r="N42" s="4"/>
      <c r="O42" s="4">
        <v>0</v>
      </c>
      <c r="P42" s="4"/>
      <c r="Q42" s="4"/>
      <c r="R42" s="7">
        <v>0</v>
      </c>
      <c r="S42" s="7">
        <v>0</v>
      </c>
      <c r="T42" s="7">
        <f>R42-S42</f>
        <v>0</v>
      </c>
      <c r="U42" s="7">
        <f>T42*O42</f>
        <v>0</v>
      </c>
    </row>
    <row r="43" spans="1:21">
      <c r="A43" s="4" t="s">
        <v>106</v>
      </c>
      <c r="B43" s="4" t="s">
        <v>103</v>
      </c>
      <c r="C43" s="5">
        <v>45904.03945601852</v>
      </c>
      <c r="D43" s="5">
        <v>45961</v>
      </c>
      <c r="E43" s="6">
        <f>IF(AND(C43&lt;&gt;"",D43&lt;&gt;""),D43-C43,"")</f>
        <v>0</v>
      </c>
      <c r="F43" s="4" t="s">
        <v>104</v>
      </c>
      <c r="G43" s="4" t="s">
        <v>105</v>
      </c>
      <c r="H43" s="4"/>
      <c r="I43" s="4" t="s">
        <v>56</v>
      </c>
      <c r="J43" s="4">
        <v>10</v>
      </c>
      <c r="K43" s="4">
        <v>0</v>
      </c>
      <c r="L43" s="4">
        <f>J43+K43</f>
        <v>0</v>
      </c>
      <c r="M43" s="4"/>
      <c r="N43" s="4"/>
      <c r="O43" s="4">
        <v>0</v>
      </c>
      <c r="P43" s="4"/>
      <c r="Q43" s="4"/>
      <c r="R43" s="7">
        <v>0</v>
      </c>
      <c r="S43" s="7">
        <v>0</v>
      </c>
      <c r="T43" s="7">
        <f>R43-S43</f>
        <v>0</v>
      </c>
      <c r="U43" s="7">
        <f>T43*O43</f>
        <v>0</v>
      </c>
    </row>
    <row r="44" spans="1:21">
      <c r="A44" s="4" t="s">
        <v>107</v>
      </c>
      <c r="B44" s="4"/>
      <c r="C44" s="5">
        <v>45904.04017361111</v>
      </c>
      <c r="D44" s="5">
        <v>45961</v>
      </c>
      <c r="E44" s="6">
        <f>IF(AND(C44&lt;&gt;"",D44&lt;&gt;""),D44-C44,"")</f>
        <v>0</v>
      </c>
      <c r="F44" s="4" t="s">
        <v>108</v>
      </c>
      <c r="G44" s="4"/>
      <c r="H44" s="4"/>
      <c r="I44" s="4" t="s">
        <v>56</v>
      </c>
      <c r="J44" s="4">
        <v>4</v>
      </c>
      <c r="K44" s="4">
        <v>0</v>
      </c>
      <c r="L44" s="4">
        <f>J44+K44</f>
        <v>0</v>
      </c>
      <c r="M44" s="4"/>
      <c r="N44" s="4"/>
      <c r="O44" s="4">
        <v>0</v>
      </c>
      <c r="P44" s="4"/>
      <c r="Q44" s="4"/>
      <c r="R44" s="7">
        <v>0</v>
      </c>
      <c r="S44" s="7">
        <v>0</v>
      </c>
      <c r="T44" s="7">
        <f>R44-S44</f>
        <v>0</v>
      </c>
      <c r="U44" s="7">
        <f>T44*O44</f>
        <v>0</v>
      </c>
    </row>
    <row r="45" spans="1:21">
      <c r="A45" s="4" t="s">
        <v>109</v>
      </c>
      <c r="B45" s="4" t="s">
        <v>103</v>
      </c>
      <c r="C45" s="5">
        <v>45904.04481481481</v>
      </c>
      <c r="D45" s="5">
        <v>45961</v>
      </c>
      <c r="E45" s="6">
        <f>IF(AND(C45&lt;&gt;"",D45&lt;&gt;""),D45-C45,"")</f>
        <v>0</v>
      </c>
      <c r="F45" s="4" t="s">
        <v>104</v>
      </c>
      <c r="G45" s="4" t="s">
        <v>105</v>
      </c>
      <c r="H45" s="4"/>
      <c r="I45" s="4" t="s">
        <v>56</v>
      </c>
      <c r="J45" s="4">
        <v>5</v>
      </c>
      <c r="K45" s="4">
        <v>0</v>
      </c>
      <c r="L45" s="4">
        <f>J45+K45</f>
        <v>0</v>
      </c>
      <c r="M45" s="4"/>
      <c r="N45" s="4"/>
      <c r="O45" s="4">
        <v>0</v>
      </c>
      <c r="P45" s="4"/>
      <c r="Q45" s="4"/>
      <c r="R45" s="7">
        <v>0</v>
      </c>
      <c r="S45" s="7">
        <v>0</v>
      </c>
      <c r="T45" s="7">
        <f>R45-S45</f>
        <v>0</v>
      </c>
      <c r="U45" s="7">
        <f>T45*O45</f>
        <v>0</v>
      </c>
    </row>
    <row r="46" spans="1:21">
      <c r="A46" s="4" t="s">
        <v>110</v>
      </c>
      <c r="B46" s="4" t="s">
        <v>103</v>
      </c>
      <c r="C46" s="5">
        <v>45904.33791666666</v>
      </c>
      <c r="D46" s="5">
        <v>45961</v>
      </c>
      <c r="E46" s="6">
        <f>IF(AND(C46&lt;&gt;"",D46&lt;&gt;""),D46-C46,"")</f>
        <v>0</v>
      </c>
      <c r="F46" s="4" t="s">
        <v>104</v>
      </c>
      <c r="G46" s="4" t="s">
        <v>105</v>
      </c>
      <c r="H46" s="4"/>
      <c r="I46" s="4" t="s">
        <v>56</v>
      </c>
      <c r="J46" s="4">
        <v>0</v>
      </c>
      <c r="K46" s="4">
        <v>0</v>
      </c>
      <c r="L46" s="4">
        <f>J46+K46</f>
        <v>0</v>
      </c>
      <c r="M46" s="4"/>
      <c r="N46" s="4"/>
      <c r="O46" s="4">
        <v>0</v>
      </c>
      <c r="P46" s="4"/>
      <c r="Q46" s="4"/>
      <c r="R46" s="7">
        <v>0</v>
      </c>
      <c r="S46" s="7">
        <v>0</v>
      </c>
      <c r="T46" s="7">
        <f>R46-S46</f>
        <v>0</v>
      </c>
      <c r="U46" s="7">
        <f>T46*O46</f>
        <v>0</v>
      </c>
    </row>
    <row r="47" spans="1:21">
      <c r="A47" s="4" t="s">
        <v>111</v>
      </c>
      <c r="B47" s="4"/>
      <c r="C47" s="5">
        <v>45904.43236111111</v>
      </c>
      <c r="D47" s="5">
        <v>45961</v>
      </c>
      <c r="E47" s="6">
        <f>IF(AND(C47&lt;&gt;"",D47&lt;&gt;""),D47-C47,"")</f>
        <v>0</v>
      </c>
      <c r="F47" s="4" t="s">
        <v>112</v>
      </c>
      <c r="G47" s="4"/>
      <c r="H47" s="4"/>
      <c r="I47" s="4" t="s">
        <v>56</v>
      </c>
      <c r="J47" s="4">
        <v>2</v>
      </c>
      <c r="K47" s="4">
        <v>0</v>
      </c>
      <c r="L47" s="4">
        <f>J47+K47</f>
        <v>0</v>
      </c>
      <c r="M47" s="4"/>
      <c r="N47" s="4"/>
      <c r="O47" s="4">
        <v>0</v>
      </c>
      <c r="P47" s="4"/>
      <c r="Q47" s="4"/>
      <c r="R47" s="7">
        <v>0</v>
      </c>
      <c r="S47" s="7">
        <v>0</v>
      </c>
      <c r="T47" s="7">
        <f>R47-S47</f>
        <v>0</v>
      </c>
      <c r="U47" s="7">
        <f>T47*O47</f>
        <v>0</v>
      </c>
    </row>
    <row r="48" spans="1:21">
      <c r="A48" s="4" t="s">
        <v>113</v>
      </c>
      <c r="B48" s="4" t="s">
        <v>103</v>
      </c>
      <c r="C48" s="5">
        <v>45904.43552083334</v>
      </c>
      <c r="D48" s="5">
        <v>45961</v>
      </c>
      <c r="E48" s="6">
        <f>IF(AND(C48&lt;&gt;"",D48&lt;&gt;""),D48-C48,"")</f>
        <v>0</v>
      </c>
      <c r="F48" s="4" t="s">
        <v>114</v>
      </c>
      <c r="G48" s="4"/>
      <c r="H48" s="4"/>
      <c r="I48" s="4" t="s">
        <v>56</v>
      </c>
      <c r="J48" s="4">
        <v>2</v>
      </c>
      <c r="K48" s="4">
        <v>1</v>
      </c>
      <c r="L48" s="4">
        <f>J48+K48</f>
        <v>0</v>
      </c>
      <c r="M48" s="4"/>
      <c r="N48" s="4"/>
      <c r="O48" s="4">
        <v>0</v>
      </c>
      <c r="P48" s="4"/>
      <c r="Q48" s="4"/>
      <c r="R48" s="7">
        <v>0</v>
      </c>
      <c r="S48" s="7">
        <v>0</v>
      </c>
      <c r="T48" s="7">
        <f>R48-S48</f>
        <v>0</v>
      </c>
      <c r="U48" s="7">
        <f>T48*O48</f>
        <v>0</v>
      </c>
    </row>
    <row r="49" spans="1:21">
      <c r="A49" s="4" t="s">
        <v>115</v>
      </c>
      <c r="B49" s="4"/>
      <c r="C49" s="5">
        <v>45904.44260416667</v>
      </c>
      <c r="D49" s="5">
        <v>45961</v>
      </c>
      <c r="E49" s="6">
        <f>IF(AND(C49&lt;&gt;"",D49&lt;&gt;""),D49-C49,"")</f>
        <v>0</v>
      </c>
      <c r="F49" s="4" t="s">
        <v>116</v>
      </c>
      <c r="G49" s="4" t="s">
        <v>117</v>
      </c>
      <c r="H49" s="4"/>
      <c r="I49" s="4" t="s">
        <v>56</v>
      </c>
      <c r="J49" s="4">
        <v>18</v>
      </c>
      <c r="K49" s="4">
        <v>6</v>
      </c>
      <c r="L49" s="4">
        <f>J49+K49</f>
        <v>0</v>
      </c>
      <c r="M49" s="4"/>
      <c r="N49" s="4"/>
      <c r="O49" s="4">
        <v>0</v>
      </c>
      <c r="P49" s="4"/>
      <c r="Q49" s="4"/>
      <c r="R49" s="7">
        <v>0</v>
      </c>
      <c r="S49" s="7">
        <v>0</v>
      </c>
      <c r="T49" s="7">
        <f>R49-S49</f>
        <v>0</v>
      </c>
      <c r="U49" s="7">
        <f>T49*O49</f>
        <v>0</v>
      </c>
    </row>
    <row r="50" spans="1:21">
      <c r="A50" s="4" t="s">
        <v>118</v>
      </c>
      <c r="B50" s="4"/>
      <c r="C50" s="5">
        <v>45904.44450231481</v>
      </c>
      <c r="D50" s="5">
        <v>45961</v>
      </c>
      <c r="E50" s="6">
        <f>IF(AND(C50&lt;&gt;"",D50&lt;&gt;""),D50-C50,"")</f>
        <v>0</v>
      </c>
      <c r="F50" s="4" t="s">
        <v>30</v>
      </c>
      <c r="G50" s="4" t="s">
        <v>31</v>
      </c>
      <c r="H50" s="4" t="s">
        <v>32</v>
      </c>
      <c r="I50" s="4" t="s">
        <v>33</v>
      </c>
      <c r="J50" s="4">
        <v>4</v>
      </c>
      <c r="K50" s="4">
        <v>2</v>
      </c>
      <c r="L50" s="4">
        <f>J50+K50</f>
        <v>0</v>
      </c>
      <c r="M50" s="4"/>
      <c r="N50" s="4"/>
      <c r="O50" s="4">
        <v>0</v>
      </c>
      <c r="P50" s="4"/>
      <c r="Q50" s="4"/>
      <c r="R50" s="7">
        <v>0</v>
      </c>
      <c r="S50" s="7">
        <v>0</v>
      </c>
      <c r="T50" s="7">
        <f>R50-S50</f>
        <v>0</v>
      </c>
      <c r="U50" s="7">
        <f>T50*O50</f>
        <v>0</v>
      </c>
    </row>
    <row r="51" spans="1:21">
      <c r="A51" s="4" t="s">
        <v>119</v>
      </c>
      <c r="B51" s="4"/>
      <c r="C51" s="5">
        <v>45904.45561342593</v>
      </c>
      <c r="D51" s="5">
        <v>45961</v>
      </c>
      <c r="E51" s="6">
        <f>IF(AND(C51&lt;&gt;"",D51&lt;&gt;""),D51-C51,"")</f>
        <v>0</v>
      </c>
      <c r="F51" s="4" t="s">
        <v>30</v>
      </c>
      <c r="G51" s="4" t="s">
        <v>31</v>
      </c>
      <c r="H51" s="4" t="s">
        <v>32</v>
      </c>
      <c r="I51" s="4" t="s">
        <v>33</v>
      </c>
      <c r="J51" s="4">
        <v>1</v>
      </c>
      <c r="K51" s="4">
        <v>0</v>
      </c>
      <c r="L51" s="4">
        <f>J51+K51</f>
        <v>0</v>
      </c>
      <c r="M51" s="4"/>
      <c r="N51" s="4"/>
      <c r="O51" s="4">
        <v>0</v>
      </c>
      <c r="P51" s="4"/>
      <c r="Q51" s="4"/>
      <c r="R51" s="7">
        <v>0</v>
      </c>
      <c r="S51" s="7">
        <v>0</v>
      </c>
      <c r="T51" s="7">
        <f>R51-S51</f>
        <v>0</v>
      </c>
      <c r="U51" s="7">
        <f>T51*O51</f>
        <v>0</v>
      </c>
    </row>
    <row r="52" spans="1:21">
      <c r="A52" s="4" t="s">
        <v>120</v>
      </c>
      <c r="B52" s="4"/>
      <c r="C52" s="5">
        <v>45904.45622685185</v>
      </c>
      <c r="D52" s="5">
        <v>45961</v>
      </c>
      <c r="E52" s="6">
        <f>IF(AND(C52&lt;&gt;"",D52&lt;&gt;""),D52-C52,"")</f>
        <v>0</v>
      </c>
      <c r="F52" s="4" t="s">
        <v>30</v>
      </c>
      <c r="G52" s="4" t="s">
        <v>31</v>
      </c>
      <c r="H52" s="4" t="s">
        <v>32</v>
      </c>
      <c r="I52" s="4" t="s">
        <v>33</v>
      </c>
      <c r="J52" s="4">
        <v>1</v>
      </c>
      <c r="K52" s="4">
        <v>0</v>
      </c>
      <c r="L52" s="4">
        <f>J52+K52</f>
        <v>0</v>
      </c>
      <c r="M52" s="4"/>
      <c r="N52" s="4"/>
      <c r="O52" s="4">
        <v>0</v>
      </c>
      <c r="P52" s="4"/>
      <c r="Q52" s="4"/>
      <c r="R52" s="7">
        <v>0</v>
      </c>
      <c r="S52" s="7">
        <v>0</v>
      </c>
      <c r="T52" s="7">
        <f>R52-S52</f>
        <v>0</v>
      </c>
      <c r="U52" s="7">
        <f>T52*O52</f>
        <v>0</v>
      </c>
    </row>
    <row r="53" spans="1:21">
      <c r="A53" s="4" t="s">
        <v>121</v>
      </c>
      <c r="B53" s="4" t="s">
        <v>122</v>
      </c>
      <c r="C53" s="5">
        <v>45904.46719907408</v>
      </c>
      <c r="D53" s="5">
        <v>45961</v>
      </c>
      <c r="E53" s="6">
        <f>IF(AND(C53&lt;&gt;"",D53&lt;&gt;""),D53-C53,"")</f>
        <v>0</v>
      </c>
      <c r="F53" s="4" t="s">
        <v>123</v>
      </c>
      <c r="G53" s="4" t="s">
        <v>124</v>
      </c>
      <c r="H53" s="4"/>
      <c r="I53" s="4" t="s">
        <v>56</v>
      </c>
      <c r="J53" s="4">
        <v>4</v>
      </c>
      <c r="K53" s="4">
        <v>0</v>
      </c>
      <c r="L53" s="4">
        <f>J53+K53</f>
        <v>0</v>
      </c>
      <c r="M53" s="4"/>
      <c r="N53" s="4"/>
      <c r="O53" s="4">
        <v>0</v>
      </c>
      <c r="P53" s="4"/>
      <c r="Q53" s="4"/>
      <c r="R53" s="7">
        <v>0</v>
      </c>
      <c r="S53" s="7">
        <v>0</v>
      </c>
      <c r="T53" s="7">
        <f>R53-S53</f>
        <v>0</v>
      </c>
      <c r="U53" s="7">
        <f>T53*O53</f>
        <v>0</v>
      </c>
    </row>
    <row r="54" spans="1:21">
      <c r="A54" s="4" t="s">
        <v>125</v>
      </c>
      <c r="B54" s="4" t="s">
        <v>103</v>
      </c>
      <c r="C54" s="5">
        <v>45904.4950462963</v>
      </c>
      <c r="D54" s="5">
        <v>45961</v>
      </c>
      <c r="E54" s="6">
        <f>IF(AND(C54&lt;&gt;"",D54&lt;&gt;""),D54-C54,"")</f>
        <v>0</v>
      </c>
      <c r="F54" s="4" t="s">
        <v>104</v>
      </c>
      <c r="G54" s="4" t="s">
        <v>105</v>
      </c>
      <c r="H54" s="4"/>
      <c r="I54" s="4" t="s">
        <v>56</v>
      </c>
      <c r="J54" s="4">
        <v>1</v>
      </c>
      <c r="K54" s="4">
        <v>1</v>
      </c>
      <c r="L54" s="4">
        <f>J54+K54</f>
        <v>0</v>
      </c>
      <c r="M54" s="4"/>
      <c r="N54" s="4"/>
      <c r="O54" s="4">
        <v>0</v>
      </c>
      <c r="P54" s="4"/>
      <c r="Q54" s="4"/>
      <c r="R54" s="7">
        <v>0</v>
      </c>
      <c r="S54" s="7">
        <v>0</v>
      </c>
      <c r="T54" s="7">
        <f>R54-S54</f>
        <v>0</v>
      </c>
      <c r="U54" s="7">
        <f>T54*O54</f>
        <v>0</v>
      </c>
    </row>
    <row r="55" spans="1:21">
      <c r="A55" s="4" t="s">
        <v>126</v>
      </c>
      <c r="B55" s="4" t="s">
        <v>103</v>
      </c>
      <c r="C55" s="5">
        <v>45904.52190972222</v>
      </c>
      <c r="D55" s="5">
        <v>45961</v>
      </c>
      <c r="E55" s="6">
        <f>IF(AND(C55&lt;&gt;"",D55&lt;&gt;""),D55-C55,"")</f>
        <v>0</v>
      </c>
      <c r="F55" s="4" t="s">
        <v>104</v>
      </c>
      <c r="G55" s="4" t="s">
        <v>105</v>
      </c>
      <c r="H55" s="4"/>
      <c r="I55" s="4" t="s">
        <v>56</v>
      </c>
      <c r="J55" s="4">
        <v>2</v>
      </c>
      <c r="K55" s="4">
        <v>0</v>
      </c>
      <c r="L55" s="4">
        <f>J55+K55</f>
        <v>0</v>
      </c>
      <c r="M55" s="4"/>
      <c r="N55" s="4"/>
      <c r="O55" s="4">
        <v>0</v>
      </c>
      <c r="P55" s="4"/>
      <c r="Q55" s="4"/>
      <c r="R55" s="7">
        <v>0</v>
      </c>
      <c r="S55" s="7">
        <v>0</v>
      </c>
      <c r="T55" s="7">
        <f>R55-S55</f>
        <v>0</v>
      </c>
      <c r="U55" s="7">
        <f>T55*O55</f>
        <v>0</v>
      </c>
    </row>
    <row r="56" spans="1:21">
      <c r="A56" s="4" t="s">
        <v>127</v>
      </c>
      <c r="B56" s="4" t="s">
        <v>103</v>
      </c>
      <c r="C56" s="5">
        <v>45904.53252314815</v>
      </c>
      <c r="D56" s="5">
        <v>45961</v>
      </c>
      <c r="E56" s="6">
        <f>IF(AND(C56&lt;&gt;"",D56&lt;&gt;""),D56-C56,"")</f>
        <v>0</v>
      </c>
      <c r="F56" s="4" t="s">
        <v>104</v>
      </c>
      <c r="G56" s="4" t="s">
        <v>105</v>
      </c>
      <c r="H56" s="4"/>
      <c r="I56" s="4" t="s">
        <v>56</v>
      </c>
      <c r="J56" s="4">
        <v>20</v>
      </c>
      <c r="K56" s="4">
        <v>0</v>
      </c>
      <c r="L56" s="4">
        <f>J56+K56</f>
        <v>0</v>
      </c>
      <c r="M56" s="4"/>
      <c r="N56" s="4"/>
      <c r="O56" s="4">
        <v>0</v>
      </c>
      <c r="P56" s="4"/>
      <c r="Q56" s="4"/>
      <c r="R56" s="7">
        <v>0</v>
      </c>
      <c r="S56" s="7">
        <v>0</v>
      </c>
      <c r="T56" s="7">
        <f>R56-S56</f>
        <v>0</v>
      </c>
      <c r="U56" s="7">
        <f>T56*O56</f>
        <v>0</v>
      </c>
    </row>
    <row r="57" spans="1:21">
      <c r="A57" s="4" t="s">
        <v>128</v>
      </c>
      <c r="B57" s="4" t="s">
        <v>103</v>
      </c>
      <c r="C57" s="5">
        <v>45904.54571759259</v>
      </c>
      <c r="D57" s="5">
        <v>45961</v>
      </c>
      <c r="E57" s="6">
        <f>IF(AND(C57&lt;&gt;"",D57&lt;&gt;""),D57-C57,"")</f>
        <v>0</v>
      </c>
      <c r="F57" s="4" t="s">
        <v>104</v>
      </c>
      <c r="G57" s="4" t="s">
        <v>105</v>
      </c>
      <c r="H57" s="4"/>
      <c r="I57" s="4" t="s">
        <v>56</v>
      </c>
      <c r="J57" s="4">
        <v>10</v>
      </c>
      <c r="K57" s="4">
        <v>0</v>
      </c>
      <c r="L57" s="4">
        <f>J57+K57</f>
        <v>0</v>
      </c>
      <c r="M57" s="4"/>
      <c r="N57" s="4"/>
      <c r="O57" s="4">
        <v>0</v>
      </c>
      <c r="P57" s="4"/>
      <c r="Q57" s="4"/>
      <c r="R57" s="7">
        <v>0</v>
      </c>
      <c r="S57" s="7">
        <v>0</v>
      </c>
      <c r="T57" s="7">
        <f>R57-S57</f>
        <v>0</v>
      </c>
      <c r="U57" s="7">
        <f>T57*O57</f>
        <v>0</v>
      </c>
    </row>
    <row r="58" spans="1:21">
      <c r="A58" s="4" t="s">
        <v>129</v>
      </c>
      <c r="B58" s="4"/>
      <c r="C58" s="5">
        <v>45904.55335648148</v>
      </c>
      <c r="D58" s="5">
        <v>45961</v>
      </c>
      <c r="E58" s="6">
        <f>IF(AND(C58&lt;&gt;"",D58&lt;&gt;""),D58-C58,"")</f>
        <v>0</v>
      </c>
      <c r="F58" s="4" t="s">
        <v>130</v>
      </c>
      <c r="G58" s="4" t="s">
        <v>62</v>
      </c>
      <c r="H58" s="4" t="s">
        <v>32</v>
      </c>
      <c r="I58" s="4" t="s">
        <v>33</v>
      </c>
      <c r="J58" s="4">
        <v>3</v>
      </c>
      <c r="K58" s="4">
        <v>0</v>
      </c>
      <c r="L58" s="4">
        <f>J58+K58</f>
        <v>0</v>
      </c>
      <c r="M58" s="4"/>
      <c r="N58" s="4"/>
      <c r="O58" s="4">
        <v>0</v>
      </c>
      <c r="P58" s="4"/>
      <c r="Q58" s="4"/>
      <c r="R58" s="7">
        <v>0</v>
      </c>
      <c r="S58" s="7">
        <v>0</v>
      </c>
      <c r="T58" s="7">
        <f>R58-S58</f>
        <v>0</v>
      </c>
      <c r="U58" s="7">
        <f>T58*O58</f>
        <v>0</v>
      </c>
    </row>
    <row r="59" spans="1:21">
      <c r="A59" s="4" t="s">
        <v>131</v>
      </c>
      <c r="B59" s="4" t="s">
        <v>39</v>
      </c>
      <c r="C59" s="5">
        <v>45904.61811342592</v>
      </c>
      <c r="D59" s="5">
        <v>45904</v>
      </c>
      <c r="E59" s="6">
        <f>IF(AND(C59&lt;&gt;"",D59&lt;&gt;""),D59-C59,"")</f>
        <v>0</v>
      </c>
      <c r="F59" s="4" t="s">
        <v>132</v>
      </c>
      <c r="G59" s="4"/>
      <c r="H59" s="4"/>
      <c r="I59" s="4" t="s">
        <v>56</v>
      </c>
      <c r="J59" s="4">
        <v>0</v>
      </c>
      <c r="K59" s="4">
        <v>0</v>
      </c>
      <c r="L59" s="4">
        <f>J59+K59</f>
        <v>0</v>
      </c>
      <c r="M59" s="4" t="s">
        <v>45</v>
      </c>
      <c r="N59" s="4"/>
      <c r="O59" s="4">
        <v>1</v>
      </c>
      <c r="P59" s="4" t="s">
        <v>43</v>
      </c>
      <c r="Q59" s="4" t="s">
        <v>44</v>
      </c>
      <c r="R59" s="7">
        <v>10001</v>
      </c>
      <c r="S59" s="7">
        <v>0</v>
      </c>
      <c r="T59" s="7">
        <f>R59-S59</f>
        <v>0</v>
      </c>
      <c r="U59" s="7">
        <f>T59*O59</f>
        <v>0</v>
      </c>
    </row>
    <row r="60" spans="1:21">
      <c r="A60" s="4" t="s">
        <v>131</v>
      </c>
      <c r="B60" s="4" t="s">
        <v>39</v>
      </c>
      <c r="C60" s="5">
        <v>45904.61811342592</v>
      </c>
      <c r="D60" s="5">
        <v>45904</v>
      </c>
      <c r="E60" s="6">
        <f>IF(AND(C60&lt;&gt;"",D60&lt;&gt;""),D60-C60,"")</f>
        <v>0</v>
      </c>
      <c r="F60" s="4" t="s">
        <v>132</v>
      </c>
      <c r="G60" s="4"/>
      <c r="H60" s="4"/>
      <c r="I60" s="4" t="s">
        <v>56</v>
      </c>
      <c r="J60" s="4">
        <v>1</v>
      </c>
      <c r="K60" s="4">
        <v>0</v>
      </c>
      <c r="L60" s="4">
        <f>J60+K60</f>
        <v>0</v>
      </c>
      <c r="M60" s="4" t="s">
        <v>42</v>
      </c>
      <c r="N60" s="4"/>
      <c r="O60" s="4">
        <v>1</v>
      </c>
      <c r="P60" s="4" t="s">
        <v>43</v>
      </c>
      <c r="Q60" s="4" t="s">
        <v>44</v>
      </c>
      <c r="R60" s="7">
        <v>370000</v>
      </c>
      <c r="S60" s="7">
        <v>0</v>
      </c>
      <c r="T60" s="7">
        <f>R60-S60</f>
        <v>0</v>
      </c>
      <c r="U60" s="7">
        <f>T60*O60</f>
        <v>0</v>
      </c>
    </row>
    <row r="61" spans="1:21">
      <c r="A61" s="4" t="s">
        <v>131</v>
      </c>
      <c r="B61" s="4" t="s">
        <v>39</v>
      </c>
      <c r="C61" s="5">
        <v>45904.61811342592</v>
      </c>
      <c r="D61" s="5">
        <v>45904</v>
      </c>
      <c r="E61" s="6">
        <f>IF(AND(C61&lt;&gt;"",D61&lt;&gt;""),D61-C61,"")</f>
        <v>0</v>
      </c>
      <c r="F61" s="4" t="s">
        <v>132</v>
      </c>
      <c r="G61" s="4"/>
      <c r="H61" s="4"/>
      <c r="I61" s="4" t="s">
        <v>56</v>
      </c>
      <c r="J61" s="4">
        <v>1</v>
      </c>
      <c r="K61" s="4">
        <v>0</v>
      </c>
      <c r="L61" s="4">
        <f>J61+K61</f>
        <v>0</v>
      </c>
      <c r="M61" s="4" t="s">
        <v>42</v>
      </c>
      <c r="N61" s="4"/>
      <c r="O61" s="4">
        <v>1</v>
      </c>
      <c r="P61" s="4" t="s">
        <v>43</v>
      </c>
      <c r="Q61" s="4" t="s">
        <v>44</v>
      </c>
      <c r="R61" s="7">
        <v>370000</v>
      </c>
      <c r="S61" s="7">
        <v>0</v>
      </c>
      <c r="T61" s="7">
        <f>R61-S61</f>
        <v>0</v>
      </c>
      <c r="U61" s="7">
        <f>T61*O61</f>
        <v>0</v>
      </c>
    </row>
    <row r="62" spans="1:21">
      <c r="A62" s="4" t="s">
        <v>131</v>
      </c>
      <c r="B62" s="4" t="s">
        <v>39</v>
      </c>
      <c r="C62" s="5">
        <v>45904.61811342592</v>
      </c>
      <c r="D62" s="5">
        <v>45904</v>
      </c>
      <c r="E62" s="6">
        <f>IF(AND(C62&lt;&gt;"",D62&lt;&gt;""),D62-C62,"")</f>
        <v>0</v>
      </c>
      <c r="F62" s="4" t="s">
        <v>132</v>
      </c>
      <c r="G62" s="4"/>
      <c r="H62" s="4"/>
      <c r="I62" s="4" t="s">
        <v>56</v>
      </c>
      <c r="J62" s="4">
        <v>0</v>
      </c>
      <c r="K62" s="4">
        <v>0</v>
      </c>
      <c r="L62" s="4">
        <f>J62+K62</f>
        <v>0</v>
      </c>
      <c r="M62" s="4" t="s">
        <v>45</v>
      </c>
      <c r="N62" s="4"/>
      <c r="O62" s="4">
        <v>1</v>
      </c>
      <c r="P62" s="4" t="s">
        <v>43</v>
      </c>
      <c r="Q62" s="4" t="s">
        <v>44</v>
      </c>
      <c r="R62" s="7">
        <v>250000</v>
      </c>
      <c r="S62" s="7">
        <v>0</v>
      </c>
      <c r="T62" s="7">
        <f>R62-S62</f>
        <v>0</v>
      </c>
      <c r="U62" s="7">
        <f>T62*O62</f>
        <v>0</v>
      </c>
    </row>
    <row r="63" spans="1:21">
      <c r="A63" s="4" t="s">
        <v>133</v>
      </c>
      <c r="B63" s="4" t="s">
        <v>39</v>
      </c>
      <c r="C63" s="5">
        <v>45904.62422453704</v>
      </c>
      <c r="D63" s="5">
        <v>45904</v>
      </c>
      <c r="E63" s="6">
        <f>IF(AND(C63&lt;&gt;"",D63&lt;&gt;""),D63-C63,"")</f>
        <v>0</v>
      </c>
      <c r="F63" s="4" t="s">
        <v>134</v>
      </c>
      <c r="G63" s="4"/>
      <c r="H63" s="4"/>
      <c r="I63" s="4" t="s">
        <v>56</v>
      </c>
      <c r="J63" s="4">
        <v>0</v>
      </c>
      <c r="K63" s="4">
        <v>0</v>
      </c>
      <c r="L63" s="4">
        <f>J63+K63</f>
        <v>0</v>
      </c>
      <c r="M63" s="4" t="s">
        <v>45</v>
      </c>
      <c r="N63" s="4"/>
      <c r="O63" s="4">
        <v>1</v>
      </c>
      <c r="P63" s="4" t="s">
        <v>135</v>
      </c>
      <c r="Q63" s="4" t="s">
        <v>44</v>
      </c>
      <c r="R63" s="7">
        <v>250000</v>
      </c>
      <c r="S63" s="7">
        <v>0</v>
      </c>
      <c r="T63" s="7">
        <f>R63-S63</f>
        <v>0</v>
      </c>
      <c r="U63" s="7">
        <f>T63*O63</f>
        <v>0</v>
      </c>
    </row>
    <row r="64" spans="1:21">
      <c r="A64" s="4" t="s">
        <v>136</v>
      </c>
      <c r="B64" s="4" t="s">
        <v>103</v>
      </c>
      <c r="C64" s="5">
        <v>45904.64166666667</v>
      </c>
      <c r="D64" s="5">
        <v>45961</v>
      </c>
      <c r="E64" s="6">
        <f>IF(AND(C64&lt;&gt;"",D64&lt;&gt;""),D64-C64,"")</f>
        <v>0</v>
      </c>
      <c r="F64" s="4" t="s">
        <v>137</v>
      </c>
      <c r="G64" s="4" t="s">
        <v>138</v>
      </c>
      <c r="H64" s="4"/>
      <c r="I64" s="4" t="s">
        <v>56</v>
      </c>
      <c r="J64" s="4">
        <v>3</v>
      </c>
      <c r="K64" s="4">
        <v>2</v>
      </c>
      <c r="L64" s="4">
        <f>J64+K64</f>
        <v>0</v>
      </c>
      <c r="M64" s="4"/>
      <c r="N64" s="4"/>
      <c r="O64" s="4">
        <v>0</v>
      </c>
      <c r="P64" s="4"/>
      <c r="Q64" s="4"/>
      <c r="R64" s="7">
        <v>0</v>
      </c>
      <c r="S64" s="7">
        <v>0</v>
      </c>
      <c r="T64" s="7">
        <f>R64-S64</f>
        <v>0</v>
      </c>
      <c r="U64" s="7">
        <f>T64*O64</f>
        <v>0</v>
      </c>
    </row>
    <row r="65" spans="1:21">
      <c r="A65" s="4" t="s">
        <v>139</v>
      </c>
      <c r="B65" s="4" t="s">
        <v>103</v>
      </c>
      <c r="C65" s="5">
        <v>45904.64184027778</v>
      </c>
      <c r="D65" s="5">
        <v>45961</v>
      </c>
      <c r="E65" s="6">
        <f>IF(AND(C65&lt;&gt;"",D65&lt;&gt;""),D65-C65,"")</f>
        <v>0</v>
      </c>
      <c r="F65" s="4" t="s">
        <v>140</v>
      </c>
      <c r="G65" s="4" t="s">
        <v>141</v>
      </c>
      <c r="H65" s="4"/>
      <c r="I65" s="4" t="s">
        <v>56</v>
      </c>
      <c r="J65" s="4">
        <v>5</v>
      </c>
      <c r="K65" s="4">
        <v>0</v>
      </c>
      <c r="L65" s="4">
        <f>J65+K65</f>
        <v>0</v>
      </c>
      <c r="M65" s="4"/>
      <c r="N65" s="4"/>
      <c r="O65" s="4">
        <v>0</v>
      </c>
      <c r="P65" s="4"/>
      <c r="Q65" s="4"/>
      <c r="R65" s="7">
        <v>0</v>
      </c>
      <c r="S65" s="7">
        <v>0</v>
      </c>
      <c r="T65" s="7">
        <f>R65-S65</f>
        <v>0</v>
      </c>
      <c r="U65" s="7">
        <f>T65*O65</f>
        <v>0</v>
      </c>
    </row>
    <row r="66" spans="1:21">
      <c r="A66" s="4" t="s">
        <v>142</v>
      </c>
      <c r="B66" s="4" t="s">
        <v>103</v>
      </c>
      <c r="C66" s="5">
        <v>45904.64184027778</v>
      </c>
      <c r="D66" s="5">
        <v>45961</v>
      </c>
      <c r="E66" s="6">
        <f>IF(AND(C66&lt;&gt;"",D66&lt;&gt;""),D66-C66,"")</f>
        <v>0</v>
      </c>
      <c r="F66" s="4" t="s">
        <v>143</v>
      </c>
      <c r="G66" s="4" t="s">
        <v>144</v>
      </c>
      <c r="H66" s="4"/>
      <c r="I66" s="4" t="s">
        <v>56</v>
      </c>
      <c r="J66" s="4">
        <v>1</v>
      </c>
      <c r="K66" s="4">
        <v>0</v>
      </c>
      <c r="L66" s="4">
        <f>J66+K66</f>
        <v>0</v>
      </c>
      <c r="M66" s="4"/>
      <c r="N66" s="4"/>
      <c r="O66" s="4">
        <v>0</v>
      </c>
      <c r="P66" s="4"/>
      <c r="Q66" s="4"/>
      <c r="R66" s="7">
        <v>0</v>
      </c>
      <c r="S66" s="7">
        <v>0</v>
      </c>
      <c r="T66" s="7">
        <f>R66-S66</f>
        <v>0</v>
      </c>
      <c r="U66" s="7">
        <f>T66*O66</f>
        <v>0</v>
      </c>
    </row>
    <row r="67" spans="1:21">
      <c r="A67" s="4" t="s">
        <v>145</v>
      </c>
      <c r="B67" s="4" t="s">
        <v>103</v>
      </c>
      <c r="C67" s="5">
        <v>45904.64193287037</v>
      </c>
      <c r="D67" s="5">
        <v>45961</v>
      </c>
      <c r="E67" s="6">
        <f>IF(AND(C67&lt;&gt;"",D67&lt;&gt;""),D67-C67,"")</f>
        <v>0</v>
      </c>
      <c r="F67" s="4" t="s">
        <v>104</v>
      </c>
      <c r="G67" s="4" t="s">
        <v>105</v>
      </c>
      <c r="H67" s="4"/>
      <c r="I67" s="4" t="s">
        <v>56</v>
      </c>
      <c r="J67" s="4">
        <v>3</v>
      </c>
      <c r="K67" s="4">
        <v>2</v>
      </c>
      <c r="L67" s="4">
        <f>J67+K67</f>
        <v>0</v>
      </c>
      <c r="M67" s="4"/>
      <c r="N67" s="4"/>
      <c r="O67" s="4">
        <v>0</v>
      </c>
      <c r="P67" s="4"/>
      <c r="Q67" s="4"/>
      <c r="R67" s="7">
        <v>0</v>
      </c>
      <c r="S67" s="7">
        <v>0</v>
      </c>
      <c r="T67" s="7">
        <f>R67-S67</f>
        <v>0</v>
      </c>
      <c r="U67" s="7">
        <f>T67*O67</f>
        <v>0</v>
      </c>
    </row>
    <row r="68" spans="1:21">
      <c r="A68" s="4" t="s">
        <v>146</v>
      </c>
      <c r="B68" s="4" t="s">
        <v>103</v>
      </c>
      <c r="C68" s="5">
        <v>45904.64194444445</v>
      </c>
      <c r="D68" s="5">
        <v>45961</v>
      </c>
      <c r="E68" s="6">
        <f>IF(AND(C68&lt;&gt;"",D68&lt;&gt;""),D68-C68,"")</f>
        <v>0</v>
      </c>
      <c r="F68" s="4" t="s">
        <v>147</v>
      </c>
      <c r="G68" s="4" t="s">
        <v>148</v>
      </c>
      <c r="H68" s="4"/>
      <c r="I68" s="4" t="s">
        <v>56</v>
      </c>
      <c r="J68" s="4">
        <v>5</v>
      </c>
      <c r="K68" s="4">
        <v>0</v>
      </c>
      <c r="L68" s="4">
        <f>J68+K68</f>
        <v>0</v>
      </c>
      <c r="M68" s="4"/>
      <c r="N68" s="4"/>
      <c r="O68" s="4">
        <v>0</v>
      </c>
      <c r="P68" s="4"/>
      <c r="Q68" s="4"/>
      <c r="R68" s="7">
        <v>0</v>
      </c>
      <c r="S68" s="7">
        <v>0</v>
      </c>
      <c r="T68" s="7">
        <f>R68-S68</f>
        <v>0</v>
      </c>
      <c r="U68" s="7">
        <f>T68*O68</f>
        <v>0</v>
      </c>
    </row>
    <row r="69" spans="1:21">
      <c r="A69" s="4" t="s">
        <v>149</v>
      </c>
      <c r="B69" s="4" t="s">
        <v>103</v>
      </c>
      <c r="C69" s="5">
        <v>45904.6434837963</v>
      </c>
      <c r="D69" s="5">
        <v>45961</v>
      </c>
      <c r="E69" s="6">
        <f>IF(AND(C69&lt;&gt;"",D69&lt;&gt;""),D69-C69,"")</f>
        <v>0</v>
      </c>
      <c r="F69" s="4" t="s">
        <v>150</v>
      </c>
      <c r="G69" s="4" t="s">
        <v>151</v>
      </c>
      <c r="H69" s="4"/>
      <c r="I69" s="4" t="s">
        <v>56</v>
      </c>
      <c r="J69" s="4">
        <v>1</v>
      </c>
      <c r="K69" s="4">
        <v>0</v>
      </c>
      <c r="L69" s="4">
        <f>J69+K69</f>
        <v>0</v>
      </c>
      <c r="M69" s="4"/>
      <c r="N69" s="4"/>
      <c r="O69" s="4">
        <v>0</v>
      </c>
      <c r="P69" s="4"/>
      <c r="Q69" s="4"/>
      <c r="R69" s="7">
        <v>0</v>
      </c>
      <c r="S69" s="7">
        <v>0</v>
      </c>
      <c r="T69" s="7">
        <f>R69-S69</f>
        <v>0</v>
      </c>
      <c r="U69" s="7">
        <f>T69*O69</f>
        <v>0</v>
      </c>
    </row>
    <row r="70" spans="1:21">
      <c r="A70" s="4" t="s">
        <v>152</v>
      </c>
      <c r="B70" s="4" t="s">
        <v>103</v>
      </c>
      <c r="C70" s="5">
        <v>45904.64351851852</v>
      </c>
      <c r="D70" s="5">
        <v>45961</v>
      </c>
      <c r="E70" s="6">
        <f>IF(AND(C70&lt;&gt;"",D70&lt;&gt;""),D70-C70,"")</f>
        <v>0</v>
      </c>
      <c r="F70" s="4" t="s">
        <v>153</v>
      </c>
      <c r="G70" s="4" t="s">
        <v>154</v>
      </c>
      <c r="H70" s="4"/>
      <c r="I70" s="4" t="s">
        <v>56</v>
      </c>
      <c r="J70" s="4">
        <v>21</v>
      </c>
      <c r="K70" s="4">
        <v>8</v>
      </c>
      <c r="L70" s="4">
        <f>J70+K70</f>
        <v>0</v>
      </c>
      <c r="M70" s="4"/>
      <c r="N70" s="4"/>
      <c r="O70" s="4">
        <v>0</v>
      </c>
      <c r="P70" s="4"/>
      <c r="Q70" s="4"/>
      <c r="R70" s="7">
        <v>0</v>
      </c>
      <c r="S70" s="7">
        <v>0</v>
      </c>
      <c r="T70" s="7">
        <f>R70-S70</f>
        <v>0</v>
      </c>
      <c r="U70" s="7">
        <f>T70*O70</f>
        <v>0</v>
      </c>
    </row>
    <row r="71" spans="1:21">
      <c r="A71" s="4" t="s">
        <v>155</v>
      </c>
      <c r="B71" s="4" t="s">
        <v>39</v>
      </c>
      <c r="C71" s="5">
        <v>45904.72842592592</v>
      </c>
      <c r="D71" s="5">
        <v>45904</v>
      </c>
      <c r="E71" s="6">
        <f>IF(AND(C71&lt;&gt;"",D71&lt;&gt;""),D71-C71,"")</f>
        <v>0</v>
      </c>
      <c r="F71" s="4" t="s">
        <v>156</v>
      </c>
      <c r="G71" s="4"/>
      <c r="H71" s="4"/>
      <c r="I71" s="4" t="s">
        <v>56</v>
      </c>
      <c r="J71" s="4">
        <v>1</v>
      </c>
      <c r="K71" s="4">
        <v>0</v>
      </c>
      <c r="L71" s="4">
        <f>J71+K71</f>
        <v>0</v>
      </c>
      <c r="M71" s="4" t="s">
        <v>42</v>
      </c>
      <c r="N71" s="4"/>
      <c r="O71" s="4">
        <v>1</v>
      </c>
      <c r="P71" s="4" t="s">
        <v>135</v>
      </c>
      <c r="Q71" s="4" t="s">
        <v>44</v>
      </c>
      <c r="R71" s="7">
        <v>370000</v>
      </c>
      <c r="S71" s="7">
        <v>0</v>
      </c>
      <c r="T71" s="7">
        <f>R71-S71</f>
        <v>0</v>
      </c>
      <c r="U71" s="7">
        <f>T71*O71</f>
        <v>0</v>
      </c>
    </row>
    <row r="72" spans="1:21">
      <c r="A72" s="4" t="s">
        <v>157</v>
      </c>
      <c r="B72" s="4" t="s">
        <v>39</v>
      </c>
      <c r="C72" s="5">
        <v>45904.74091435185</v>
      </c>
      <c r="D72" s="5">
        <v>45904</v>
      </c>
      <c r="E72" s="6">
        <f>IF(AND(C72&lt;&gt;"",D72&lt;&gt;""),D72-C72,"")</f>
        <v>0</v>
      </c>
      <c r="F72" s="4" t="s">
        <v>158</v>
      </c>
      <c r="G72" s="4"/>
      <c r="H72" s="4" t="s">
        <v>32</v>
      </c>
      <c r="I72" s="4" t="s">
        <v>33</v>
      </c>
      <c r="J72" s="4">
        <v>1</v>
      </c>
      <c r="K72" s="4">
        <v>0</v>
      </c>
      <c r="L72" s="4">
        <f>J72+K72</f>
        <v>0</v>
      </c>
      <c r="M72" s="4" t="s">
        <v>42</v>
      </c>
      <c r="N72" s="4"/>
      <c r="O72" s="4">
        <v>1</v>
      </c>
      <c r="P72" s="4" t="s">
        <v>135</v>
      </c>
      <c r="Q72" s="4" t="s">
        <v>44</v>
      </c>
      <c r="R72" s="7">
        <v>370000</v>
      </c>
      <c r="S72" s="7">
        <v>0</v>
      </c>
      <c r="T72" s="7">
        <f>R72-S72</f>
        <v>0</v>
      </c>
      <c r="U72" s="7">
        <f>T72*O72</f>
        <v>0</v>
      </c>
    </row>
    <row r="73" spans="1:21">
      <c r="A73" s="4" t="s">
        <v>159</v>
      </c>
      <c r="B73" s="4" t="s">
        <v>103</v>
      </c>
      <c r="C73" s="5">
        <v>45904.92686342593</v>
      </c>
      <c r="D73" s="5">
        <v>45961</v>
      </c>
      <c r="E73" s="6">
        <f>IF(AND(C73&lt;&gt;"",D73&lt;&gt;""),D73-C73,"")</f>
        <v>0</v>
      </c>
      <c r="F73" s="4" t="s">
        <v>160</v>
      </c>
      <c r="G73" s="4"/>
      <c r="H73" s="4"/>
      <c r="I73" s="4" t="s">
        <v>56</v>
      </c>
      <c r="J73" s="4">
        <v>3</v>
      </c>
      <c r="K73" s="4">
        <v>4</v>
      </c>
      <c r="L73" s="4">
        <f>J73+K73</f>
        <v>0</v>
      </c>
      <c r="M73" s="4"/>
      <c r="N73" s="4"/>
      <c r="O73" s="4">
        <v>0</v>
      </c>
      <c r="P73" s="4"/>
      <c r="Q73" s="4"/>
      <c r="R73" s="7">
        <v>0</v>
      </c>
      <c r="S73" s="7">
        <v>0</v>
      </c>
      <c r="T73" s="7">
        <f>R73-S73</f>
        <v>0</v>
      </c>
      <c r="U73" s="7">
        <f>T73*O73</f>
        <v>0</v>
      </c>
    </row>
    <row r="74" spans="1:21">
      <c r="A74" s="4" t="s">
        <v>161</v>
      </c>
      <c r="B74" s="4" t="s">
        <v>48</v>
      </c>
      <c r="C74" s="5">
        <v>45904.98320601852</v>
      </c>
      <c r="D74" s="5">
        <v>45961</v>
      </c>
      <c r="E74" s="6">
        <f>IF(AND(C74&lt;&gt;"",D74&lt;&gt;""),D74-C74,"")</f>
        <v>0</v>
      </c>
      <c r="F74" s="4" t="s">
        <v>162</v>
      </c>
      <c r="G74" s="4" t="s">
        <v>163</v>
      </c>
      <c r="H74" s="4" t="s">
        <v>32</v>
      </c>
      <c r="I74" s="4" t="s">
        <v>33</v>
      </c>
      <c r="J74" s="4">
        <v>3</v>
      </c>
      <c r="K74" s="4">
        <v>0</v>
      </c>
      <c r="L74" s="4">
        <f>J74+K74</f>
        <v>0</v>
      </c>
      <c r="M74" s="4"/>
      <c r="N74" s="4"/>
      <c r="O74" s="4">
        <v>0</v>
      </c>
      <c r="P74" s="4"/>
      <c r="Q74" s="4"/>
      <c r="R74" s="7">
        <v>0</v>
      </c>
      <c r="S74" s="7">
        <v>0</v>
      </c>
      <c r="T74" s="7">
        <f>R74-S74</f>
        <v>0</v>
      </c>
      <c r="U74" s="7">
        <f>T74*O74</f>
        <v>0</v>
      </c>
    </row>
    <row r="75" spans="1:21">
      <c r="A75" s="4" t="s">
        <v>164</v>
      </c>
      <c r="B75" s="4" t="s">
        <v>48</v>
      </c>
      <c r="C75" s="5">
        <v>45905.01681712963</v>
      </c>
      <c r="D75" s="5">
        <v>45961</v>
      </c>
      <c r="E75" s="6">
        <f>IF(AND(C75&lt;&gt;"",D75&lt;&gt;""),D75-C75,"")</f>
        <v>0</v>
      </c>
      <c r="F75" s="4" t="s">
        <v>165</v>
      </c>
      <c r="G75" s="4" t="s">
        <v>65</v>
      </c>
      <c r="H75" s="4" t="s">
        <v>32</v>
      </c>
      <c r="I75" s="4" t="s">
        <v>33</v>
      </c>
      <c r="J75" s="4">
        <v>2</v>
      </c>
      <c r="K75" s="4">
        <v>0</v>
      </c>
      <c r="L75" s="4">
        <f>J75+K75</f>
        <v>0</v>
      </c>
      <c r="M75" s="4"/>
      <c r="N75" s="4"/>
      <c r="O75" s="4">
        <v>0</v>
      </c>
      <c r="P75" s="4"/>
      <c r="Q75" s="4"/>
      <c r="R75" s="7">
        <v>0</v>
      </c>
      <c r="S75" s="7">
        <v>0</v>
      </c>
      <c r="T75" s="7">
        <f>R75-S75</f>
        <v>0</v>
      </c>
      <c r="U75" s="7">
        <f>T75*O75</f>
        <v>0</v>
      </c>
    </row>
    <row r="76" spans="1:21">
      <c r="A76" s="4" t="s">
        <v>166</v>
      </c>
      <c r="B76" s="4" t="s">
        <v>103</v>
      </c>
      <c r="C76" s="5">
        <v>45905.031875</v>
      </c>
      <c r="D76" s="5">
        <v>45961</v>
      </c>
      <c r="E76" s="6">
        <f>IF(AND(C76&lt;&gt;"",D76&lt;&gt;""),D76-C76,"")</f>
        <v>0</v>
      </c>
      <c r="F76" s="4" t="s">
        <v>104</v>
      </c>
      <c r="G76" s="4" t="s">
        <v>105</v>
      </c>
      <c r="H76" s="4"/>
      <c r="I76" s="4" t="s">
        <v>56</v>
      </c>
      <c r="J76" s="4">
        <v>1</v>
      </c>
      <c r="K76" s="4">
        <v>0</v>
      </c>
      <c r="L76" s="4">
        <f>J76+K76</f>
        <v>0</v>
      </c>
      <c r="M76" s="4"/>
      <c r="N76" s="4"/>
      <c r="O76" s="4">
        <v>0</v>
      </c>
      <c r="P76" s="4"/>
      <c r="Q76" s="4"/>
      <c r="R76" s="7">
        <v>0</v>
      </c>
      <c r="S76" s="7">
        <v>0</v>
      </c>
      <c r="T76" s="7">
        <f>R76-S76</f>
        <v>0</v>
      </c>
      <c r="U76" s="7">
        <f>T76*O76</f>
        <v>0</v>
      </c>
    </row>
    <row r="77" spans="1:21">
      <c r="A77" s="4" t="s">
        <v>167</v>
      </c>
      <c r="B77" s="4"/>
      <c r="C77" s="5">
        <v>45905.0362037037</v>
      </c>
      <c r="D77" s="5">
        <v>45961</v>
      </c>
      <c r="E77" s="6">
        <f>IF(AND(C77&lt;&gt;"",D77&lt;&gt;""),D77-C77,"")</f>
        <v>0</v>
      </c>
      <c r="F77" s="4" t="s">
        <v>165</v>
      </c>
      <c r="G77" s="4" t="s">
        <v>65</v>
      </c>
      <c r="H77" s="4" t="s">
        <v>32</v>
      </c>
      <c r="I77" s="4" t="s">
        <v>33</v>
      </c>
      <c r="J77" s="4">
        <v>1</v>
      </c>
      <c r="K77" s="4">
        <v>0</v>
      </c>
      <c r="L77" s="4">
        <f>J77+K77</f>
        <v>0</v>
      </c>
      <c r="M77" s="4"/>
      <c r="N77" s="4"/>
      <c r="O77" s="4">
        <v>0</v>
      </c>
      <c r="P77" s="4"/>
      <c r="Q77" s="4"/>
      <c r="R77" s="7">
        <v>0</v>
      </c>
      <c r="S77" s="7">
        <v>0</v>
      </c>
      <c r="T77" s="7">
        <f>R77-S77</f>
        <v>0</v>
      </c>
      <c r="U77" s="7">
        <f>T77*O77</f>
        <v>0</v>
      </c>
    </row>
    <row r="78" spans="1:21">
      <c r="A78" s="4" t="s">
        <v>168</v>
      </c>
      <c r="B78" s="4" t="s">
        <v>39</v>
      </c>
      <c r="C78" s="5">
        <v>45905.11106481482</v>
      </c>
      <c r="D78" s="5">
        <v>45905</v>
      </c>
      <c r="E78" s="6">
        <f>IF(AND(C78&lt;&gt;"",D78&lt;&gt;""),D78-C78,"")</f>
        <v>0</v>
      </c>
      <c r="F78" s="4" t="s">
        <v>169</v>
      </c>
      <c r="G78" s="4" t="s">
        <v>170</v>
      </c>
      <c r="H78" s="4"/>
      <c r="I78" s="4" t="s">
        <v>56</v>
      </c>
      <c r="J78" s="4">
        <v>1</v>
      </c>
      <c r="K78" s="4">
        <v>0</v>
      </c>
      <c r="L78" s="4">
        <f>J78+K78</f>
        <v>0</v>
      </c>
      <c r="M78" s="4" t="s">
        <v>80</v>
      </c>
      <c r="N78" s="4"/>
      <c r="O78" s="4">
        <v>1</v>
      </c>
      <c r="P78" s="4" t="s">
        <v>135</v>
      </c>
      <c r="Q78" s="4" t="s">
        <v>44</v>
      </c>
      <c r="R78" s="7">
        <v>620000</v>
      </c>
      <c r="S78" s="7">
        <v>0</v>
      </c>
      <c r="T78" s="7">
        <f>R78-S78</f>
        <v>0</v>
      </c>
      <c r="U78" s="7">
        <f>T78*O78</f>
        <v>0</v>
      </c>
    </row>
    <row r="79" spans="1:21">
      <c r="A79" s="4" t="s">
        <v>168</v>
      </c>
      <c r="B79" s="4" t="s">
        <v>39</v>
      </c>
      <c r="C79" s="5">
        <v>45905.11106481482</v>
      </c>
      <c r="D79" s="5">
        <v>45905</v>
      </c>
      <c r="E79" s="6">
        <f>IF(AND(C79&lt;&gt;"",D79&lt;&gt;""),D79-C79,"")</f>
        <v>0</v>
      </c>
      <c r="F79" s="4" t="s">
        <v>169</v>
      </c>
      <c r="G79" s="4" t="s">
        <v>170</v>
      </c>
      <c r="H79" s="4"/>
      <c r="I79" s="4" t="s">
        <v>56</v>
      </c>
      <c r="J79" s="4">
        <v>0</v>
      </c>
      <c r="K79" s="4">
        <v>1</v>
      </c>
      <c r="L79" s="4">
        <f>J79+K79</f>
        <v>0</v>
      </c>
      <c r="M79" s="4" t="s">
        <v>81</v>
      </c>
      <c r="N79" s="4"/>
      <c r="O79" s="4">
        <v>1</v>
      </c>
      <c r="P79" s="4" t="s">
        <v>135</v>
      </c>
      <c r="Q79" s="4" t="s">
        <v>44</v>
      </c>
      <c r="R79" s="7">
        <v>495000</v>
      </c>
      <c r="S79" s="7">
        <v>0</v>
      </c>
      <c r="T79" s="7">
        <f>R79-S79</f>
        <v>0</v>
      </c>
      <c r="U79" s="7">
        <f>T79*O79</f>
        <v>0</v>
      </c>
    </row>
    <row r="80" spans="1:21">
      <c r="A80" s="4" t="s">
        <v>171</v>
      </c>
      <c r="B80" s="4" t="s">
        <v>39</v>
      </c>
      <c r="C80" s="5">
        <v>45905.14141203704</v>
      </c>
      <c r="D80" s="5">
        <v>45905</v>
      </c>
      <c r="E80" s="6">
        <f>IF(AND(C80&lt;&gt;"",D80&lt;&gt;""),D80-C80,"")</f>
        <v>0</v>
      </c>
      <c r="F80" s="4" t="s">
        <v>172</v>
      </c>
      <c r="G80" s="4" t="s">
        <v>173</v>
      </c>
      <c r="H80" s="4" t="s">
        <v>32</v>
      </c>
      <c r="I80" s="4" t="s">
        <v>33</v>
      </c>
      <c r="J80" s="4">
        <v>2</v>
      </c>
      <c r="K80" s="4">
        <v>0</v>
      </c>
      <c r="L80" s="4">
        <f>J80+K80</f>
        <v>0</v>
      </c>
      <c r="M80" s="4" t="s">
        <v>42</v>
      </c>
      <c r="N80" s="4"/>
      <c r="O80" s="4">
        <v>2</v>
      </c>
      <c r="P80" s="4" t="s">
        <v>43</v>
      </c>
      <c r="Q80" s="4" t="s">
        <v>44</v>
      </c>
      <c r="R80" s="7">
        <v>350000</v>
      </c>
      <c r="S80" s="7">
        <v>0</v>
      </c>
      <c r="T80" s="7">
        <f>R80-S80</f>
        <v>0</v>
      </c>
      <c r="U80" s="7">
        <f>T80*O80</f>
        <v>0</v>
      </c>
    </row>
    <row r="81" spans="1:21">
      <c r="A81" s="4" t="s">
        <v>171</v>
      </c>
      <c r="B81" s="4" t="s">
        <v>39</v>
      </c>
      <c r="C81" s="5">
        <v>45905.14141203704</v>
      </c>
      <c r="D81" s="5">
        <v>45905</v>
      </c>
      <c r="E81" s="6">
        <f>IF(AND(C81&lt;&gt;"",D81&lt;&gt;""),D81-C81,"")</f>
        <v>0</v>
      </c>
      <c r="F81" s="4" t="s">
        <v>172</v>
      </c>
      <c r="G81" s="4" t="s">
        <v>173</v>
      </c>
      <c r="H81" s="4" t="s">
        <v>32</v>
      </c>
      <c r="I81" s="4" t="s">
        <v>33</v>
      </c>
      <c r="J81" s="4">
        <v>2</v>
      </c>
      <c r="K81" s="4">
        <v>0</v>
      </c>
      <c r="L81" s="4">
        <f>J81+K81</f>
        <v>0</v>
      </c>
      <c r="M81" s="4" t="s">
        <v>42</v>
      </c>
      <c r="N81" s="4"/>
      <c r="O81" s="4">
        <v>2</v>
      </c>
      <c r="P81" s="4" t="s">
        <v>43</v>
      </c>
      <c r="Q81" s="4" t="s">
        <v>44</v>
      </c>
      <c r="R81" s="7">
        <v>370000</v>
      </c>
      <c r="S81" s="7">
        <v>0</v>
      </c>
      <c r="T81" s="7">
        <f>R81-S81</f>
        <v>0</v>
      </c>
      <c r="U81" s="7">
        <f>T81*O81</f>
        <v>0</v>
      </c>
    </row>
    <row r="82" spans="1:21">
      <c r="A82" s="4" t="s">
        <v>174</v>
      </c>
      <c r="B82" s="4" t="s">
        <v>39</v>
      </c>
      <c r="C82" s="5">
        <v>45905.14145833333</v>
      </c>
      <c r="D82" s="5">
        <v>45905</v>
      </c>
      <c r="E82" s="6">
        <f>IF(AND(C82&lt;&gt;"",D82&lt;&gt;""),D82-C82,"")</f>
        <v>0</v>
      </c>
      <c r="F82" s="4" t="s">
        <v>175</v>
      </c>
      <c r="G82" s="4" t="s">
        <v>176</v>
      </c>
      <c r="H82" s="4" t="s">
        <v>177</v>
      </c>
      <c r="I82" s="4" t="s">
        <v>56</v>
      </c>
      <c r="J82" s="4">
        <v>2</v>
      </c>
      <c r="K82" s="4">
        <v>0</v>
      </c>
      <c r="L82" s="4">
        <f>J82+K82</f>
        <v>0</v>
      </c>
      <c r="M82" s="4" t="s">
        <v>42</v>
      </c>
      <c r="N82" s="4"/>
      <c r="O82" s="4">
        <v>2</v>
      </c>
      <c r="P82" s="4" t="s">
        <v>43</v>
      </c>
      <c r="Q82" s="4" t="s">
        <v>178</v>
      </c>
      <c r="R82" s="7">
        <v>370000</v>
      </c>
      <c r="S82" s="7">
        <v>0</v>
      </c>
      <c r="T82" s="7">
        <f>R82-S82</f>
        <v>0</v>
      </c>
      <c r="U82" s="7">
        <f>T82*O82</f>
        <v>0</v>
      </c>
    </row>
    <row r="83" spans="1:21">
      <c r="A83" s="4" t="s">
        <v>174</v>
      </c>
      <c r="B83" s="4" t="s">
        <v>39</v>
      </c>
      <c r="C83" s="5">
        <v>45905.14145833333</v>
      </c>
      <c r="D83" s="5">
        <v>45905</v>
      </c>
      <c r="E83" s="6">
        <f>IF(AND(C83&lt;&gt;"",D83&lt;&gt;""),D83-C83,"")</f>
        <v>0</v>
      </c>
      <c r="F83" s="4" t="s">
        <v>175</v>
      </c>
      <c r="G83" s="4" t="s">
        <v>176</v>
      </c>
      <c r="H83" s="4" t="s">
        <v>177</v>
      </c>
      <c r="I83" s="4" t="s">
        <v>56</v>
      </c>
      <c r="J83" s="4">
        <v>0</v>
      </c>
      <c r="K83" s="4">
        <v>1</v>
      </c>
      <c r="L83" s="4">
        <f>J83+K83</f>
        <v>0</v>
      </c>
      <c r="M83" s="4" t="s">
        <v>46</v>
      </c>
      <c r="N83" s="4"/>
      <c r="O83" s="4">
        <v>1</v>
      </c>
      <c r="P83" s="4" t="s">
        <v>43</v>
      </c>
      <c r="Q83" s="4" t="s">
        <v>178</v>
      </c>
      <c r="R83" s="7">
        <v>325000</v>
      </c>
      <c r="S83" s="7">
        <v>0</v>
      </c>
      <c r="T83" s="7">
        <f>R83-S83</f>
        <v>0</v>
      </c>
      <c r="U83" s="7">
        <f>T83*O83</f>
        <v>0</v>
      </c>
    </row>
    <row r="84" spans="1:21">
      <c r="A84" s="4" t="s">
        <v>179</v>
      </c>
      <c r="B84" s="4" t="s">
        <v>39</v>
      </c>
      <c r="C84" s="5">
        <v>45905.14570601852</v>
      </c>
      <c r="D84" s="5">
        <v>45905</v>
      </c>
      <c r="E84" s="6">
        <f>IF(AND(C84&lt;&gt;"",D84&lt;&gt;""),D84-C84,"")</f>
        <v>0</v>
      </c>
      <c r="F84" s="4" t="s">
        <v>180</v>
      </c>
      <c r="G84" s="4" t="s">
        <v>181</v>
      </c>
      <c r="H84" s="4" t="s">
        <v>32</v>
      </c>
      <c r="I84" s="4" t="s">
        <v>33</v>
      </c>
      <c r="J84" s="4">
        <v>1</v>
      </c>
      <c r="K84" s="4">
        <v>0</v>
      </c>
      <c r="L84" s="4">
        <f>J84+K84</f>
        <v>0</v>
      </c>
      <c r="M84" s="4" t="s">
        <v>80</v>
      </c>
      <c r="N84" s="4"/>
      <c r="O84" s="4">
        <v>1</v>
      </c>
      <c r="P84" s="4" t="s">
        <v>43</v>
      </c>
      <c r="Q84" s="4"/>
      <c r="R84" s="7">
        <v>620000</v>
      </c>
      <c r="S84" s="7">
        <v>0</v>
      </c>
      <c r="T84" s="7">
        <f>R84-S84</f>
        <v>0</v>
      </c>
      <c r="U84" s="7">
        <f>T84*O84</f>
        <v>0</v>
      </c>
    </row>
    <row r="85" spans="1:21">
      <c r="A85" s="4" t="s">
        <v>179</v>
      </c>
      <c r="B85" s="4" t="s">
        <v>39</v>
      </c>
      <c r="C85" s="5">
        <v>45905.14570601852</v>
      </c>
      <c r="D85" s="5">
        <v>45905</v>
      </c>
      <c r="E85" s="6">
        <f>IF(AND(C85&lt;&gt;"",D85&lt;&gt;""),D85-C85,"")</f>
        <v>0</v>
      </c>
      <c r="F85" s="4" t="s">
        <v>180</v>
      </c>
      <c r="G85" s="4" t="s">
        <v>181</v>
      </c>
      <c r="H85" s="4" t="s">
        <v>32</v>
      </c>
      <c r="I85" s="4" t="s">
        <v>33</v>
      </c>
      <c r="J85" s="4">
        <v>0</v>
      </c>
      <c r="K85" s="4">
        <v>1</v>
      </c>
      <c r="L85" s="4">
        <f>J85+K85</f>
        <v>0</v>
      </c>
      <c r="M85" s="4" t="s">
        <v>81</v>
      </c>
      <c r="N85" s="4"/>
      <c r="O85" s="4">
        <v>1</v>
      </c>
      <c r="P85" s="4" t="s">
        <v>43</v>
      </c>
      <c r="Q85" s="4"/>
      <c r="R85" s="7">
        <v>495000</v>
      </c>
      <c r="S85" s="7">
        <v>0</v>
      </c>
      <c r="T85" s="7">
        <f>R85-S85</f>
        <v>0</v>
      </c>
      <c r="U85" s="7">
        <f>T85*O85</f>
        <v>0</v>
      </c>
    </row>
    <row r="86" spans="1:21">
      <c r="A86" s="4" t="s">
        <v>182</v>
      </c>
      <c r="B86" s="4" t="s">
        <v>39</v>
      </c>
      <c r="C86" s="5">
        <v>45905.15309027778</v>
      </c>
      <c r="D86" s="5">
        <v>45905</v>
      </c>
      <c r="E86" s="6">
        <f>IF(AND(C86&lt;&gt;"",D86&lt;&gt;""),D86-C86,"")</f>
        <v>0</v>
      </c>
      <c r="F86" s="4" t="s">
        <v>172</v>
      </c>
      <c r="G86" s="4" t="s">
        <v>173</v>
      </c>
      <c r="H86" s="4" t="s">
        <v>32</v>
      </c>
      <c r="I86" s="4" t="s">
        <v>33</v>
      </c>
      <c r="J86" s="4">
        <v>2</v>
      </c>
      <c r="K86" s="4">
        <v>0</v>
      </c>
      <c r="L86" s="4">
        <f>J86+K86</f>
        <v>0</v>
      </c>
      <c r="M86" s="4" t="s">
        <v>42</v>
      </c>
      <c r="N86" s="4"/>
      <c r="O86" s="4">
        <v>2</v>
      </c>
      <c r="P86" s="4" t="s">
        <v>135</v>
      </c>
      <c r="Q86" s="4" t="s">
        <v>44</v>
      </c>
      <c r="R86" s="7">
        <v>370000</v>
      </c>
      <c r="S86" s="7">
        <v>0</v>
      </c>
      <c r="T86" s="7">
        <f>R86-S86</f>
        <v>0</v>
      </c>
      <c r="U86" s="7">
        <f>T86*O86</f>
        <v>0</v>
      </c>
    </row>
    <row r="87" spans="1:21">
      <c r="A87" s="4" t="s">
        <v>182</v>
      </c>
      <c r="B87" s="4" t="s">
        <v>39</v>
      </c>
      <c r="C87" s="5">
        <v>45905.15309027778</v>
      </c>
      <c r="D87" s="5">
        <v>45905</v>
      </c>
      <c r="E87" s="6">
        <f>IF(AND(C87&lt;&gt;"",D87&lt;&gt;""),D87-C87,"")</f>
        <v>0</v>
      </c>
      <c r="F87" s="4" t="s">
        <v>172</v>
      </c>
      <c r="G87" s="4" t="s">
        <v>173</v>
      </c>
      <c r="H87" s="4" t="s">
        <v>32</v>
      </c>
      <c r="I87" s="4" t="s">
        <v>33</v>
      </c>
      <c r="J87" s="4">
        <v>0</v>
      </c>
      <c r="K87" s="4">
        <v>0</v>
      </c>
      <c r="L87" s="4">
        <f>J87+K87</f>
        <v>0</v>
      </c>
      <c r="M87" s="4" t="s">
        <v>45</v>
      </c>
      <c r="N87" s="4"/>
      <c r="O87" s="4">
        <v>1</v>
      </c>
      <c r="P87" s="4" t="s">
        <v>135</v>
      </c>
      <c r="Q87" s="4" t="s">
        <v>44</v>
      </c>
      <c r="R87" s="7">
        <v>600000</v>
      </c>
      <c r="S87" s="7">
        <v>0</v>
      </c>
      <c r="T87" s="7">
        <f>R87-S87</f>
        <v>0</v>
      </c>
      <c r="U87" s="7">
        <f>T87*O87</f>
        <v>0</v>
      </c>
    </row>
    <row r="88" spans="1:21">
      <c r="A88" s="4" t="s">
        <v>182</v>
      </c>
      <c r="B88" s="4" t="s">
        <v>39</v>
      </c>
      <c r="C88" s="5">
        <v>45905.15309027778</v>
      </c>
      <c r="D88" s="5">
        <v>45905</v>
      </c>
      <c r="E88" s="6">
        <f>IF(AND(C88&lt;&gt;"",D88&lt;&gt;""),D88-C88,"")</f>
        <v>0</v>
      </c>
      <c r="F88" s="4" t="s">
        <v>172</v>
      </c>
      <c r="G88" s="4" t="s">
        <v>173</v>
      </c>
      <c r="H88" s="4" t="s">
        <v>32</v>
      </c>
      <c r="I88" s="4" t="s">
        <v>33</v>
      </c>
      <c r="J88" s="4">
        <v>0</v>
      </c>
      <c r="K88" s="4">
        <v>2</v>
      </c>
      <c r="L88" s="4">
        <f>J88+K88</f>
        <v>0</v>
      </c>
      <c r="M88" s="4" t="s">
        <v>46</v>
      </c>
      <c r="N88" s="4"/>
      <c r="O88" s="4">
        <v>2</v>
      </c>
      <c r="P88" s="4" t="s">
        <v>135</v>
      </c>
      <c r="Q88" s="4" t="s">
        <v>44</v>
      </c>
      <c r="R88" s="7">
        <v>325000</v>
      </c>
      <c r="S88" s="7">
        <v>0</v>
      </c>
      <c r="T88" s="7">
        <f>R88-S88</f>
        <v>0</v>
      </c>
      <c r="U88" s="7">
        <f>T88*O88</f>
        <v>0</v>
      </c>
    </row>
    <row r="89" spans="1:21">
      <c r="A89" s="4" t="s">
        <v>183</v>
      </c>
      <c r="B89" s="4" t="s">
        <v>39</v>
      </c>
      <c r="C89" s="5">
        <v>45905.1591550926</v>
      </c>
      <c r="D89" s="5">
        <v>45905</v>
      </c>
      <c r="E89" s="6">
        <f>IF(AND(C89&lt;&gt;"",D89&lt;&gt;""),D89-C89,"")</f>
        <v>0</v>
      </c>
      <c r="F89" s="4" t="s">
        <v>184</v>
      </c>
      <c r="G89" s="4"/>
      <c r="H89" s="4" t="s">
        <v>32</v>
      </c>
      <c r="I89" s="4" t="s">
        <v>33</v>
      </c>
      <c r="J89" s="4">
        <v>1</v>
      </c>
      <c r="K89" s="4">
        <v>0</v>
      </c>
      <c r="L89" s="4">
        <f>J89+K89</f>
        <v>0</v>
      </c>
      <c r="M89" s="4" t="s">
        <v>42</v>
      </c>
      <c r="N89" s="4"/>
      <c r="O89" s="4">
        <v>1</v>
      </c>
      <c r="P89" s="4" t="s">
        <v>135</v>
      </c>
      <c r="Q89" s="4"/>
      <c r="R89" s="7">
        <v>370000</v>
      </c>
      <c r="S89" s="7">
        <v>0</v>
      </c>
      <c r="T89" s="7">
        <f>R89-S89</f>
        <v>0</v>
      </c>
      <c r="U89" s="7">
        <f>T89*O89</f>
        <v>0</v>
      </c>
    </row>
    <row r="90" spans="1:21">
      <c r="A90" s="4" t="s">
        <v>183</v>
      </c>
      <c r="B90" s="4" t="s">
        <v>39</v>
      </c>
      <c r="C90" s="5">
        <v>45905.1591550926</v>
      </c>
      <c r="D90" s="5">
        <v>45905</v>
      </c>
      <c r="E90" s="6">
        <f>IF(AND(C90&lt;&gt;"",D90&lt;&gt;""),D90-C90,"")</f>
        <v>0</v>
      </c>
      <c r="F90" s="4" t="s">
        <v>184</v>
      </c>
      <c r="G90" s="4"/>
      <c r="H90" s="4" t="s">
        <v>32</v>
      </c>
      <c r="I90" s="4" t="s">
        <v>33</v>
      </c>
      <c r="J90" s="4">
        <v>0</v>
      </c>
      <c r="K90" s="4">
        <v>0</v>
      </c>
      <c r="L90" s="4">
        <f>J90+K90</f>
        <v>0</v>
      </c>
      <c r="M90" s="4" t="s">
        <v>45</v>
      </c>
      <c r="N90" s="4"/>
      <c r="O90" s="4">
        <v>1</v>
      </c>
      <c r="P90" s="4" t="s">
        <v>135</v>
      </c>
      <c r="Q90" s="4"/>
      <c r="R90" s="7">
        <v>500000</v>
      </c>
      <c r="S90" s="7">
        <v>0</v>
      </c>
      <c r="T90" s="7">
        <f>R90-S90</f>
        <v>0</v>
      </c>
      <c r="U90" s="7">
        <f>T90*O90</f>
        <v>0</v>
      </c>
    </row>
    <row r="91" spans="1:21">
      <c r="A91" s="4" t="s">
        <v>185</v>
      </c>
      <c r="B91" s="4" t="s">
        <v>39</v>
      </c>
      <c r="C91" s="5">
        <v>45905.1808912037</v>
      </c>
      <c r="D91" s="5">
        <v>45905</v>
      </c>
      <c r="E91" s="6">
        <f>IF(AND(C91&lt;&gt;"",D91&lt;&gt;""),D91-C91,"")</f>
        <v>0</v>
      </c>
      <c r="F91" s="4" t="s">
        <v>186</v>
      </c>
      <c r="G91" s="4"/>
      <c r="H91" s="4"/>
      <c r="I91" s="4" t="s">
        <v>56</v>
      </c>
      <c r="J91" s="4">
        <v>1</v>
      </c>
      <c r="K91" s="4">
        <v>0</v>
      </c>
      <c r="L91" s="4">
        <f>J91+K91</f>
        <v>0</v>
      </c>
      <c r="M91" s="4" t="s">
        <v>42</v>
      </c>
      <c r="N91" s="4"/>
      <c r="O91" s="4">
        <v>1</v>
      </c>
      <c r="P91" s="4" t="s">
        <v>135</v>
      </c>
      <c r="Q91" s="4"/>
      <c r="R91" s="7">
        <v>370000</v>
      </c>
      <c r="S91" s="7">
        <v>0</v>
      </c>
      <c r="T91" s="7">
        <f>R91-S91</f>
        <v>0</v>
      </c>
      <c r="U91" s="7">
        <f>T91*O91</f>
        <v>0</v>
      </c>
    </row>
    <row r="92" spans="1:21">
      <c r="A92" s="4" t="s">
        <v>185</v>
      </c>
      <c r="B92" s="4" t="s">
        <v>39</v>
      </c>
      <c r="C92" s="5">
        <v>45905.1808912037</v>
      </c>
      <c r="D92" s="5">
        <v>45905</v>
      </c>
      <c r="E92" s="6">
        <f>IF(AND(C92&lt;&gt;"",D92&lt;&gt;""),D92-C92,"")</f>
        <v>0</v>
      </c>
      <c r="F92" s="4" t="s">
        <v>186</v>
      </c>
      <c r="G92" s="4"/>
      <c r="H92" s="4"/>
      <c r="I92" s="4" t="s">
        <v>56</v>
      </c>
      <c r="J92" s="4">
        <v>1</v>
      </c>
      <c r="K92" s="4">
        <v>0</v>
      </c>
      <c r="L92" s="4">
        <f>J92+K92</f>
        <v>0</v>
      </c>
      <c r="M92" s="4" t="s">
        <v>42</v>
      </c>
      <c r="N92" s="4"/>
      <c r="O92" s="4">
        <v>1</v>
      </c>
      <c r="P92" s="4" t="s">
        <v>135</v>
      </c>
      <c r="Q92" s="4"/>
      <c r="R92" s="7">
        <v>370000</v>
      </c>
      <c r="S92" s="7">
        <v>0</v>
      </c>
      <c r="T92" s="7">
        <f>R92-S92</f>
        <v>0</v>
      </c>
      <c r="U92" s="7">
        <f>T92*O92</f>
        <v>0</v>
      </c>
    </row>
    <row r="93" spans="1:21">
      <c r="A93" s="4" t="s">
        <v>187</v>
      </c>
      <c r="B93" s="4" t="s">
        <v>39</v>
      </c>
      <c r="C93" s="5">
        <v>45905.21480324074</v>
      </c>
      <c r="D93" s="5">
        <v>45905</v>
      </c>
      <c r="E93" s="6">
        <f>IF(AND(C93&lt;&gt;"",D93&lt;&gt;""),D93-C93,"")</f>
        <v>0</v>
      </c>
      <c r="F93" s="4" t="s">
        <v>188</v>
      </c>
      <c r="G93" s="4" t="s">
        <v>189</v>
      </c>
      <c r="H93" s="4" t="s">
        <v>190</v>
      </c>
      <c r="I93" s="4" t="s">
        <v>56</v>
      </c>
      <c r="J93" s="4">
        <v>1</v>
      </c>
      <c r="K93" s="4">
        <v>0</v>
      </c>
      <c r="L93" s="4">
        <f>J93+K93</f>
        <v>0</v>
      </c>
      <c r="M93" s="4" t="s">
        <v>42</v>
      </c>
      <c r="N93" s="4"/>
      <c r="O93" s="4">
        <v>1</v>
      </c>
      <c r="P93" s="4" t="s">
        <v>135</v>
      </c>
      <c r="Q93" s="4"/>
      <c r="R93" s="7">
        <v>370000</v>
      </c>
      <c r="S93" s="7">
        <v>0</v>
      </c>
      <c r="T93" s="7">
        <f>R93-S93</f>
        <v>0</v>
      </c>
      <c r="U93" s="7">
        <f>T93*O93</f>
        <v>0</v>
      </c>
    </row>
    <row r="94" spans="1:21">
      <c r="A94" s="4" t="s">
        <v>187</v>
      </c>
      <c r="B94" s="4" t="s">
        <v>39</v>
      </c>
      <c r="C94" s="5">
        <v>45905.21480324074</v>
      </c>
      <c r="D94" s="5">
        <v>45905</v>
      </c>
      <c r="E94" s="6">
        <f>IF(AND(C94&lt;&gt;"",D94&lt;&gt;""),D94-C94,"")</f>
        <v>0</v>
      </c>
      <c r="F94" s="4" t="s">
        <v>188</v>
      </c>
      <c r="G94" s="4" t="s">
        <v>189</v>
      </c>
      <c r="H94" s="4" t="s">
        <v>190</v>
      </c>
      <c r="I94" s="4" t="s">
        <v>56</v>
      </c>
      <c r="J94" s="4">
        <v>1</v>
      </c>
      <c r="K94" s="4">
        <v>0</v>
      </c>
      <c r="L94" s="4">
        <f>J94+K94</f>
        <v>0</v>
      </c>
      <c r="M94" s="4" t="s">
        <v>42</v>
      </c>
      <c r="N94" s="4"/>
      <c r="O94" s="4">
        <v>1</v>
      </c>
      <c r="P94" s="4" t="s">
        <v>135</v>
      </c>
      <c r="Q94" s="4"/>
      <c r="R94" s="7">
        <v>370000</v>
      </c>
      <c r="S94" s="7">
        <v>0</v>
      </c>
      <c r="T94" s="7">
        <f>R94-S94</f>
        <v>0</v>
      </c>
      <c r="U94" s="7">
        <f>T94*O94</f>
        <v>0</v>
      </c>
    </row>
    <row r="95" spans="1:21">
      <c r="A95" s="4" t="s">
        <v>191</v>
      </c>
      <c r="B95" s="4" t="s">
        <v>39</v>
      </c>
      <c r="C95" s="5">
        <v>45905.22224537037</v>
      </c>
      <c r="D95" s="5">
        <v>45905</v>
      </c>
      <c r="E95" s="6">
        <f>IF(AND(C95&lt;&gt;"",D95&lt;&gt;""),D95-C95,"")</f>
        <v>0</v>
      </c>
      <c r="F95" s="4" t="s">
        <v>184</v>
      </c>
      <c r="G95" s="4"/>
      <c r="H95" s="4" t="s">
        <v>32</v>
      </c>
      <c r="I95" s="4" t="s">
        <v>33</v>
      </c>
      <c r="J95" s="4">
        <v>0</v>
      </c>
      <c r="K95" s="4">
        <v>1</v>
      </c>
      <c r="L95" s="4">
        <f>J95+K95</f>
        <v>0</v>
      </c>
      <c r="M95" s="4" t="s">
        <v>46</v>
      </c>
      <c r="N95" s="4"/>
      <c r="O95" s="4">
        <v>1</v>
      </c>
      <c r="P95" s="4" t="s">
        <v>135</v>
      </c>
      <c r="Q95" s="4"/>
      <c r="R95" s="7">
        <v>325000</v>
      </c>
      <c r="S95" s="7">
        <v>0</v>
      </c>
      <c r="T95" s="7">
        <f>R95-S95</f>
        <v>0</v>
      </c>
      <c r="U95" s="7">
        <f>T95*O95</f>
        <v>0</v>
      </c>
    </row>
    <row r="96" spans="1:21">
      <c r="A96" s="4" t="s">
        <v>191</v>
      </c>
      <c r="B96" s="4" t="s">
        <v>39</v>
      </c>
      <c r="C96" s="5">
        <v>45905.22224537037</v>
      </c>
      <c r="D96" s="5">
        <v>45905</v>
      </c>
      <c r="E96" s="6">
        <f>IF(AND(C96&lt;&gt;"",D96&lt;&gt;""),D96-C96,"")</f>
        <v>0</v>
      </c>
      <c r="F96" s="4" t="s">
        <v>184</v>
      </c>
      <c r="G96" s="4"/>
      <c r="H96" s="4" t="s">
        <v>32</v>
      </c>
      <c r="I96" s="4" t="s">
        <v>33</v>
      </c>
      <c r="J96" s="4">
        <v>0</v>
      </c>
      <c r="K96" s="4">
        <v>0</v>
      </c>
      <c r="L96" s="4">
        <f>J96+K96</f>
        <v>0</v>
      </c>
      <c r="M96" s="4" t="s">
        <v>45</v>
      </c>
      <c r="N96" s="4"/>
      <c r="O96" s="4">
        <v>1</v>
      </c>
      <c r="P96" s="4" t="s">
        <v>135</v>
      </c>
      <c r="Q96" s="4"/>
      <c r="R96" s="7">
        <v>500000</v>
      </c>
      <c r="S96" s="7">
        <v>0</v>
      </c>
      <c r="T96" s="7">
        <f>R96-S96</f>
        <v>0</v>
      </c>
      <c r="U96" s="7">
        <f>T96*O96</f>
        <v>0</v>
      </c>
    </row>
    <row r="97" spans="1:21">
      <c r="A97" s="4" t="s">
        <v>191</v>
      </c>
      <c r="B97" s="4" t="s">
        <v>39</v>
      </c>
      <c r="C97" s="5">
        <v>45905.22224537037</v>
      </c>
      <c r="D97" s="5">
        <v>45905</v>
      </c>
      <c r="E97" s="6">
        <f>IF(AND(C97&lt;&gt;"",D97&lt;&gt;""),D97-C97,"")</f>
        <v>0</v>
      </c>
      <c r="F97" s="4" t="s">
        <v>184</v>
      </c>
      <c r="G97" s="4"/>
      <c r="H97" s="4" t="s">
        <v>32</v>
      </c>
      <c r="I97" s="4" t="s">
        <v>33</v>
      </c>
      <c r="J97" s="4">
        <v>1</v>
      </c>
      <c r="K97" s="4">
        <v>0</v>
      </c>
      <c r="L97" s="4">
        <f>J97+K97</f>
        <v>0</v>
      </c>
      <c r="M97" s="4" t="s">
        <v>80</v>
      </c>
      <c r="N97" s="4"/>
      <c r="O97" s="4">
        <v>1</v>
      </c>
      <c r="P97" s="4" t="s">
        <v>135</v>
      </c>
      <c r="Q97" s="4"/>
      <c r="R97" s="7">
        <v>620000</v>
      </c>
      <c r="S97" s="7">
        <v>0</v>
      </c>
      <c r="T97" s="7">
        <f>R97-S97</f>
        <v>0</v>
      </c>
      <c r="U97" s="7">
        <f>T97*O97</f>
        <v>0</v>
      </c>
    </row>
    <row r="98" spans="1:21">
      <c r="A98" s="4" t="s">
        <v>192</v>
      </c>
      <c r="B98" s="4" t="s">
        <v>39</v>
      </c>
      <c r="C98" s="5">
        <v>45905.23675925926</v>
      </c>
      <c r="D98" s="5">
        <v>45905</v>
      </c>
      <c r="E98" s="6">
        <f>IF(AND(C98&lt;&gt;"",D98&lt;&gt;""),D98-C98,"")</f>
        <v>0</v>
      </c>
      <c r="F98" s="4" t="s">
        <v>193</v>
      </c>
      <c r="G98" s="4" t="s">
        <v>194</v>
      </c>
      <c r="H98" s="4" t="s">
        <v>195</v>
      </c>
      <c r="I98" s="4" t="s">
        <v>56</v>
      </c>
      <c r="J98" s="4">
        <v>1</v>
      </c>
      <c r="K98" s="4">
        <v>0</v>
      </c>
      <c r="L98" s="4">
        <f>J98+K98</f>
        <v>0</v>
      </c>
      <c r="M98" s="4" t="s">
        <v>42</v>
      </c>
      <c r="N98" s="4"/>
      <c r="O98" s="4">
        <v>1</v>
      </c>
      <c r="P98" s="4" t="s">
        <v>135</v>
      </c>
      <c r="Q98" s="4"/>
      <c r="R98" s="7">
        <v>370000</v>
      </c>
      <c r="S98" s="7">
        <v>0</v>
      </c>
      <c r="T98" s="7">
        <f>R98-S98</f>
        <v>0</v>
      </c>
      <c r="U98" s="7">
        <f>T98*O98</f>
        <v>0</v>
      </c>
    </row>
    <row r="99" spans="1:21">
      <c r="A99" s="4" t="s">
        <v>192</v>
      </c>
      <c r="B99" s="4" t="s">
        <v>39</v>
      </c>
      <c r="C99" s="5">
        <v>45905.23675925926</v>
      </c>
      <c r="D99" s="5">
        <v>45905</v>
      </c>
      <c r="E99" s="6">
        <f>IF(AND(C99&lt;&gt;"",D99&lt;&gt;""),D99-C99,"")</f>
        <v>0</v>
      </c>
      <c r="F99" s="4" t="s">
        <v>193</v>
      </c>
      <c r="G99" s="4" t="s">
        <v>194</v>
      </c>
      <c r="H99" s="4" t="s">
        <v>195</v>
      </c>
      <c r="I99" s="4" t="s">
        <v>56</v>
      </c>
      <c r="J99" s="4">
        <v>1</v>
      </c>
      <c r="K99" s="4">
        <v>0</v>
      </c>
      <c r="L99" s="4">
        <f>J99+K99</f>
        <v>0</v>
      </c>
      <c r="M99" s="4" t="s">
        <v>42</v>
      </c>
      <c r="N99" s="4"/>
      <c r="O99" s="4">
        <v>1</v>
      </c>
      <c r="P99" s="4" t="s">
        <v>135</v>
      </c>
      <c r="Q99" s="4"/>
      <c r="R99" s="7">
        <v>370000</v>
      </c>
      <c r="S99" s="7">
        <v>0</v>
      </c>
      <c r="T99" s="7">
        <f>R99-S99</f>
        <v>0</v>
      </c>
      <c r="U99" s="7">
        <f>T99*O99</f>
        <v>0</v>
      </c>
    </row>
    <row r="100" spans="1:21">
      <c r="A100" s="4" t="s">
        <v>196</v>
      </c>
      <c r="B100" s="4" t="s">
        <v>48</v>
      </c>
      <c r="C100" s="5">
        <v>45905.27443287037</v>
      </c>
      <c r="D100" s="5">
        <v>45961</v>
      </c>
      <c r="E100" s="6">
        <f>IF(AND(C100&lt;&gt;"",D100&lt;&gt;""),D100-C100,"")</f>
        <v>0</v>
      </c>
      <c r="F100" s="4" t="s">
        <v>197</v>
      </c>
      <c r="G100" s="4" t="s">
        <v>198</v>
      </c>
      <c r="H100" s="4" t="s">
        <v>32</v>
      </c>
      <c r="I100" s="4" t="s">
        <v>33</v>
      </c>
      <c r="J100" s="4">
        <v>1</v>
      </c>
      <c r="K100" s="4">
        <v>0</v>
      </c>
      <c r="L100" s="4">
        <f>J100+K100</f>
        <v>0</v>
      </c>
      <c r="M100" s="4"/>
      <c r="N100" s="4"/>
      <c r="O100" s="4">
        <v>0</v>
      </c>
      <c r="P100" s="4"/>
      <c r="Q100" s="4"/>
      <c r="R100" s="7">
        <v>0</v>
      </c>
      <c r="S100" s="7">
        <v>0</v>
      </c>
      <c r="T100" s="7">
        <f>R100-S100</f>
        <v>0</v>
      </c>
      <c r="U100" s="7">
        <f>T100*O100</f>
        <v>0</v>
      </c>
    </row>
    <row r="101" spans="1:21">
      <c r="A101" s="4" t="s">
        <v>199</v>
      </c>
      <c r="B101" s="4" t="s">
        <v>48</v>
      </c>
      <c r="C101" s="5">
        <v>45905.2753125</v>
      </c>
      <c r="D101" s="5">
        <v>45961</v>
      </c>
      <c r="E101" s="6">
        <f>IF(AND(C101&lt;&gt;"",D101&lt;&gt;""),D101-C101,"")</f>
        <v>0</v>
      </c>
      <c r="F101" s="4" t="s">
        <v>197</v>
      </c>
      <c r="G101" s="4" t="s">
        <v>198</v>
      </c>
      <c r="H101" s="4" t="s">
        <v>32</v>
      </c>
      <c r="I101" s="4" t="s">
        <v>33</v>
      </c>
      <c r="J101" s="4">
        <v>2</v>
      </c>
      <c r="K101" s="4">
        <v>0</v>
      </c>
      <c r="L101" s="4">
        <f>J101+K101</f>
        <v>0</v>
      </c>
      <c r="M101" s="4"/>
      <c r="N101" s="4"/>
      <c r="O101" s="4">
        <v>0</v>
      </c>
      <c r="P101" s="4"/>
      <c r="Q101" s="4"/>
      <c r="R101" s="7">
        <v>0</v>
      </c>
      <c r="S101" s="7">
        <v>0</v>
      </c>
      <c r="T101" s="7">
        <f>R101-S101</f>
        <v>0</v>
      </c>
      <c r="U101" s="7">
        <f>T101*O101</f>
        <v>0</v>
      </c>
    </row>
    <row r="102" spans="1:21">
      <c r="A102" s="4" t="s">
        <v>200</v>
      </c>
      <c r="B102" s="4" t="s">
        <v>48</v>
      </c>
      <c r="C102" s="5">
        <v>45905.28166666667</v>
      </c>
      <c r="D102" s="5">
        <v>45961</v>
      </c>
      <c r="E102" s="6">
        <f>IF(AND(C102&lt;&gt;"",D102&lt;&gt;""),D102-C102,"")</f>
        <v>0</v>
      </c>
      <c r="F102" s="4" t="s">
        <v>201</v>
      </c>
      <c r="G102" s="4" t="s">
        <v>202</v>
      </c>
      <c r="H102" s="4" t="s">
        <v>32</v>
      </c>
      <c r="I102" s="4" t="s">
        <v>33</v>
      </c>
      <c r="J102" s="4">
        <v>2</v>
      </c>
      <c r="K102" s="4">
        <v>2</v>
      </c>
      <c r="L102" s="4">
        <f>J102+K102</f>
        <v>0</v>
      </c>
      <c r="M102" s="4"/>
      <c r="N102" s="4"/>
      <c r="O102" s="4">
        <v>0</v>
      </c>
      <c r="P102" s="4"/>
      <c r="Q102" s="4"/>
      <c r="R102" s="7">
        <v>0</v>
      </c>
      <c r="S102" s="7">
        <v>0</v>
      </c>
      <c r="T102" s="7">
        <f>R102-S102</f>
        <v>0</v>
      </c>
      <c r="U102" s="7">
        <f>T102*O102</f>
        <v>0</v>
      </c>
    </row>
    <row r="103" spans="1:21">
      <c r="A103" s="4" t="s">
        <v>203</v>
      </c>
      <c r="B103" s="4" t="s">
        <v>48</v>
      </c>
      <c r="C103" s="5">
        <v>45905.32153935185</v>
      </c>
      <c r="D103" s="5">
        <v>45906</v>
      </c>
      <c r="E103" s="6">
        <f>IF(AND(C103&lt;&gt;"",D103&lt;&gt;""),D103-C103,"")</f>
        <v>0</v>
      </c>
      <c r="F103" s="4" t="s">
        <v>162</v>
      </c>
      <c r="G103" s="4" t="s">
        <v>163</v>
      </c>
      <c r="H103" s="4" t="s">
        <v>32</v>
      </c>
      <c r="I103" s="4" t="s">
        <v>33</v>
      </c>
      <c r="J103" s="4">
        <v>1</v>
      </c>
      <c r="K103" s="4">
        <v>0</v>
      </c>
      <c r="L103" s="4">
        <f>J103+K103</f>
        <v>0</v>
      </c>
      <c r="M103" s="4"/>
      <c r="N103" s="4"/>
      <c r="O103" s="4">
        <v>0</v>
      </c>
      <c r="P103" s="4"/>
      <c r="Q103" s="4"/>
      <c r="R103" s="7">
        <v>0</v>
      </c>
      <c r="S103" s="7">
        <v>0</v>
      </c>
      <c r="T103" s="7">
        <f>R103-S103</f>
        <v>0</v>
      </c>
      <c r="U103" s="7">
        <f>T103*O103</f>
        <v>0</v>
      </c>
    </row>
    <row r="104" spans="1:21">
      <c r="A104" s="4" t="s">
        <v>204</v>
      </c>
      <c r="B104" s="4" t="s">
        <v>39</v>
      </c>
      <c r="C104" s="5">
        <v>45905.32302083333</v>
      </c>
      <c r="D104" s="5">
        <v>45905</v>
      </c>
      <c r="E104" s="6">
        <f>IF(AND(C104&lt;&gt;"",D104&lt;&gt;""),D104-C104,"")</f>
        <v>0</v>
      </c>
      <c r="F104" s="4" t="s">
        <v>205</v>
      </c>
      <c r="G104" s="4" t="s">
        <v>206</v>
      </c>
      <c r="H104" s="4" t="s">
        <v>32</v>
      </c>
      <c r="I104" s="4" t="s">
        <v>33</v>
      </c>
      <c r="J104" s="4">
        <v>0</v>
      </c>
      <c r="K104" s="4">
        <v>0</v>
      </c>
      <c r="L104" s="4">
        <f>J104+K104</f>
        <v>0</v>
      </c>
      <c r="M104" s="4" t="s">
        <v>53</v>
      </c>
      <c r="N104" s="4"/>
      <c r="O104" s="4">
        <v>1</v>
      </c>
      <c r="P104" s="4" t="s">
        <v>135</v>
      </c>
      <c r="Q104" s="4"/>
      <c r="R104" s="7">
        <v>50000</v>
      </c>
      <c r="S104" s="7">
        <v>0</v>
      </c>
      <c r="T104" s="7">
        <f>R104-S104</f>
        <v>0</v>
      </c>
      <c r="U104" s="7">
        <f>T104*O104</f>
        <v>0</v>
      </c>
    </row>
    <row r="105" spans="1:21">
      <c r="A105" s="4" t="s">
        <v>207</v>
      </c>
      <c r="B105" s="4" t="s">
        <v>39</v>
      </c>
      <c r="C105" s="5">
        <v>45905.36071759259</v>
      </c>
      <c r="D105" s="5">
        <v>45905</v>
      </c>
      <c r="E105" s="6">
        <f>IF(AND(C105&lt;&gt;"",D105&lt;&gt;""),D105-C105,"")</f>
        <v>0</v>
      </c>
      <c r="F105" s="4" t="s">
        <v>208</v>
      </c>
      <c r="G105" s="4"/>
      <c r="H105" s="4"/>
      <c r="I105" s="4" t="s">
        <v>56</v>
      </c>
      <c r="J105" s="4">
        <v>1</v>
      </c>
      <c r="K105" s="4">
        <v>0</v>
      </c>
      <c r="L105" s="4">
        <f>J105+K105</f>
        <v>0</v>
      </c>
      <c r="M105" s="4" t="s">
        <v>42</v>
      </c>
      <c r="N105" s="4"/>
      <c r="O105" s="4">
        <v>1</v>
      </c>
      <c r="P105" s="4" t="s">
        <v>43</v>
      </c>
      <c r="Q105" s="4" t="s">
        <v>44</v>
      </c>
      <c r="R105" s="7">
        <v>370000</v>
      </c>
      <c r="S105" s="7">
        <v>0</v>
      </c>
      <c r="T105" s="7">
        <f>R105-S105</f>
        <v>0</v>
      </c>
      <c r="U105" s="7">
        <f>T105*O105</f>
        <v>0</v>
      </c>
    </row>
    <row r="106" spans="1:21">
      <c r="A106" s="4" t="s">
        <v>209</v>
      </c>
      <c r="B106" s="4" t="s">
        <v>39</v>
      </c>
      <c r="C106" s="5">
        <v>45905.40880787037</v>
      </c>
      <c r="D106" s="5">
        <v>45905</v>
      </c>
      <c r="E106" s="6">
        <f>IF(AND(C106&lt;&gt;"",D106&lt;&gt;""),D106-C106,"")</f>
        <v>0</v>
      </c>
      <c r="F106" s="4" t="s">
        <v>210</v>
      </c>
      <c r="G106" s="4" t="s">
        <v>211</v>
      </c>
      <c r="H106" s="4" t="s">
        <v>32</v>
      </c>
      <c r="I106" s="4" t="s">
        <v>33</v>
      </c>
      <c r="J106" s="4">
        <v>0</v>
      </c>
      <c r="K106" s="4">
        <v>1</v>
      </c>
      <c r="L106" s="4">
        <f>J106+K106</f>
        <v>0</v>
      </c>
      <c r="M106" s="4" t="s">
        <v>46</v>
      </c>
      <c r="N106" s="4"/>
      <c r="O106" s="4">
        <v>1</v>
      </c>
      <c r="P106" s="4" t="s">
        <v>135</v>
      </c>
      <c r="Q106" s="4"/>
      <c r="R106" s="7">
        <v>325000</v>
      </c>
      <c r="S106" s="7">
        <v>0</v>
      </c>
      <c r="T106" s="7">
        <f>R106-S106</f>
        <v>0</v>
      </c>
      <c r="U106" s="7">
        <f>T106*O106</f>
        <v>0</v>
      </c>
    </row>
    <row r="107" spans="1:21">
      <c r="A107" s="4" t="s">
        <v>209</v>
      </c>
      <c r="B107" s="4" t="s">
        <v>39</v>
      </c>
      <c r="C107" s="5">
        <v>45905.40880787037</v>
      </c>
      <c r="D107" s="5">
        <v>45905</v>
      </c>
      <c r="E107" s="6">
        <f>IF(AND(C107&lt;&gt;"",D107&lt;&gt;""),D107-C107,"")</f>
        <v>0</v>
      </c>
      <c r="F107" s="4" t="s">
        <v>210</v>
      </c>
      <c r="G107" s="4" t="s">
        <v>211</v>
      </c>
      <c r="H107" s="4" t="s">
        <v>32</v>
      </c>
      <c r="I107" s="4" t="s">
        <v>33</v>
      </c>
      <c r="J107" s="4">
        <v>1</v>
      </c>
      <c r="K107" s="4">
        <v>0</v>
      </c>
      <c r="L107" s="4">
        <f>J107+K107</f>
        <v>0</v>
      </c>
      <c r="M107" s="4" t="s">
        <v>42</v>
      </c>
      <c r="N107" s="4"/>
      <c r="O107" s="4">
        <v>1</v>
      </c>
      <c r="P107" s="4" t="s">
        <v>135</v>
      </c>
      <c r="Q107" s="4"/>
      <c r="R107" s="7">
        <v>-330578.51</v>
      </c>
      <c r="S107" s="7">
        <v>0</v>
      </c>
      <c r="T107" s="7">
        <f>R107-S107</f>
        <v>0</v>
      </c>
      <c r="U107" s="7">
        <f>T107*O107</f>
        <v>0</v>
      </c>
    </row>
    <row r="108" spans="1:21">
      <c r="A108" s="4" t="s">
        <v>209</v>
      </c>
      <c r="B108" s="4" t="s">
        <v>39</v>
      </c>
      <c r="C108" s="5">
        <v>45905.40880787037</v>
      </c>
      <c r="D108" s="5">
        <v>45905</v>
      </c>
      <c r="E108" s="6">
        <f>IF(AND(C108&lt;&gt;"",D108&lt;&gt;""),D108-C108,"")</f>
        <v>0</v>
      </c>
      <c r="F108" s="4" t="s">
        <v>210</v>
      </c>
      <c r="G108" s="4" t="s">
        <v>211</v>
      </c>
      <c r="H108" s="4" t="s">
        <v>32</v>
      </c>
      <c r="I108" s="4" t="s">
        <v>33</v>
      </c>
      <c r="J108" s="4">
        <v>0</v>
      </c>
      <c r="K108" s="4">
        <v>0</v>
      </c>
      <c r="L108" s="4">
        <f>J108+K108</f>
        <v>0</v>
      </c>
      <c r="M108" s="4" t="s">
        <v>45</v>
      </c>
      <c r="N108" s="4"/>
      <c r="O108" s="4">
        <v>1</v>
      </c>
      <c r="P108" s="4" t="s">
        <v>135</v>
      </c>
      <c r="Q108" s="4"/>
      <c r="R108" s="7">
        <v>5578.51</v>
      </c>
      <c r="S108" s="7">
        <v>0</v>
      </c>
      <c r="T108" s="7">
        <f>R108-S108</f>
        <v>0</v>
      </c>
      <c r="U108" s="7">
        <f>T108*O108</f>
        <v>0</v>
      </c>
    </row>
    <row r="109" spans="1:21">
      <c r="A109" s="4" t="s">
        <v>212</v>
      </c>
      <c r="B109" s="4" t="s">
        <v>48</v>
      </c>
      <c r="C109" s="5">
        <v>45905.59967592593</v>
      </c>
      <c r="D109" s="5">
        <v>45961</v>
      </c>
      <c r="E109" s="6">
        <f>IF(AND(C109&lt;&gt;"",D109&lt;&gt;""),D109-C109,"")</f>
        <v>0</v>
      </c>
      <c r="F109" s="4" t="s">
        <v>213</v>
      </c>
      <c r="G109" s="4" t="s">
        <v>214</v>
      </c>
      <c r="H109" s="4" t="s">
        <v>32</v>
      </c>
      <c r="I109" s="4" t="s">
        <v>33</v>
      </c>
      <c r="J109" s="4">
        <v>3</v>
      </c>
      <c r="K109" s="4">
        <v>0</v>
      </c>
      <c r="L109" s="4">
        <f>J109+K109</f>
        <v>0</v>
      </c>
      <c r="M109" s="4"/>
      <c r="N109" s="4"/>
      <c r="O109" s="4">
        <v>0</v>
      </c>
      <c r="P109" s="4"/>
      <c r="Q109" s="4"/>
      <c r="R109" s="7">
        <v>0</v>
      </c>
      <c r="S109" s="7">
        <v>0</v>
      </c>
      <c r="T109" s="7">
        <f>R109-S109</f>
        <v>0</v>
      </c>
      <c r="U109" s="7">
        <f>T109*O109</f>
        <v>0</v>
      </c>
    </row>
    <row r="110" spans="1:21">
      <c r="A110" s="4" t="s">
        <v>215</v>
      </c>
      <c r="B110" s="4" t="s">
        <v>48</v>
      </c>
      <c r="C110" s="5">
        <v>45905.6003587963</v>
      </c>
      <c r="D110" s="5">
        <v>45961</v>
      </c>
      <c r="E110" s="6">
        <f>IF(AND(C110&lt;&gt;"",D110&lt;&gt;""),D110-C110,"")</f>
        <v>0</v>
      </c>
      <c r="F110" s="4" t="s">
        <v>216</v>
      </c>
      <c r="G110" s="4" t="s">
        <v>217</v>
      </c>
      <c r="H110" s="4" t="s">
        <v>32</v>
      </c>
      <c r="I110" s="4" t="s">
        <v>33</v>
      </c>
      <c r="J110" s="4">
        <v>3</v>
      </c>
      <c r="K110" s="4">
        <v>0</v>
      </c>
      <c r="L110" s="4">
        <f>J110+K110</f>
        <v>0</v>
      </c>
      <c r="M110" s="4"/>
      <c r="N110" s="4"/>
      <c r="O110" s="4">
        <v>0</v>
      </c>
      <c r="P110" s="4"/>
      <c r="Q110" s="4"/>
      <c r="R110" s="7">
        <v>0</v>
      </c>
      <c r="S110" s="7">
        <v>0</v>
      </c>
      <c r="T110" s="7">
        <f>R110-S110</f>
        <v>0</v>
      </c>
      <c r="U110" s="7">
        <f>T110*O110</f>
        <v>0</v>
      </c>
    </row>
    <row r="111" spans="1:21">
      <c r="A111" s="4" t="s">
        <v>218</v>
      </c>
      <c r="B111" s="4" t="s">
        <v>48</v>
      </c>
      <c r="C111" s="5">
        <v>45905.6394212963</v>
      </c>
      <c r="D111" s="5">
        <v>45961</v>
      </c>
      <c r="E111" s="6">
        <f>IF(AND(C111&lt;&gt;"",D111&lt;&gt;""),D111-C111,"")</f>
        <v>0</v>
      </c>
      <c r="F111" s="4" t="s">
        <v>219</v>
      </c>
      <c r="G111" s="4" t="s">
        <v>220</v>
      </c>
      <c r="H111" s="4" t="s">
        <v>32</v>
      </c>
      <c r="I111" s="4" t="s">
        <v>33</v>
      </c>
      <c r="J111" s="4">
        <v>2</v>
      </c>
      <c r="K111" s="4">
        <v>0</v>
      </c>
      <c r="L111" s="4">
        <f>J111+K111</f>
        <v>0</v>
      </c>
      <c r="M111" s="4"/>
      <c r="N111" s="4"/>
      <c r="O111" s="4">
        <v>0</v>
      </c>
      <c r="P111" s="4"/>
      <c r="Q111" s="4"/>
      <c r="R111" s="7">
        <v>0</v>
      </c>
      <c r="S111" s="7">
        <v>0</v>
      </c>
      <c r="T111" s="7">
        <f>R111-S111</f>
        <v>0</v>
      </c>
      <c r="U111" s="7">
        <f>T111*O111</f>
        <v>0</v>
      </c>
    </row>
    <row r="112" spans="1:21">
      <c r="A112" s="4" t="s">
        <v>221</v>
      </c>
      <c r="B112" s="4" t="s">
        <v>48</v>
      </c>
      <c r="C112" s="5">
        <v>45905.67131944445</v>
      </c>
      <c r="D112" s="5">
        <v>45961</v>
      </c>
      <c r="E112" s="6">
        <f>IF(AND(C112&lt;&gt;"",D112&lt;&gt;""),D112-C112,"")</f>
        <v>0</v>
      </c>
      <c r="F112" s="4" t="s">
        <v>213</v>
      </c>
      <c r="G112" s="4" t="s">
        <v>222</v>
      </c>
      <c r="H112" s="4" t="s">
        <v>32</v>
      </c>
      <c r="I112" s="4" t="s">
        <v>33</v>
      </c>
      <c r="J112" s="4">
        <v>2</v>
      </c>
      <c r="K112" s="4">
        <v>0</v>
      </c>
      <c r="L112" s="4">
        <f>J112+K112</f>
        <v>0</v>
      </c>
      <c r="M112" s="4"/>
      <c r="N112" s="4"/>
      <c r="O112" s="4">
        <v>0</v>
      </c>
      <c r="P112" s="4"/>
      <c r="Q112" s="4"/>
      <c r="R112" s="7">
        <v>0</v>
      </c>
      <c r="S112" s="7">
        <v>0</v>
      </c>
      <c r="T112" s="7">
        <f>R112-S112</f>
        <v>0</v>
      </c>
      <c r="U112" s="7">
        <f>T112*O112</f>
        <v>0</v>
      </c>
    </row>
    <row r="113" spans="1:21">
      <c r="A113" s="4" t="s">
        <v>223</v>
      </c>
      <c r="B113" s="4" t="s">
        <v>48</v>
      </c>
      <c r="C113" s="5">
        <v>45905.67185185185</v>
      </c>
      <c r="D113" s="5">
        <v>45961</v>
      </c>
      <c r="E113" s="6">
        <f>IF(AND(C113&lt;&gt;"",D113&lt;&gt;""),D113-C113,"")</f>
        <v>0</v>
      </c>
      <c r="F113" s="4" t="s">
        <v>130</v>
      </c>
      <c r="G113" s="4" t="s">
        <v>62</v>
      </c>
      <c r="H113" s="4" t="s">
        <v>32</v>
      </c>
      <c r="I113" s="4" t="s">
        <v>33</v>
      </c>
      <c r="J113" s="4">
        <v>2</v>
      </c>
      <c r="K113" s="4">
        <v>0</v>
      </c>
      <c r="L113" s="4">
        <f>J113+K113</f>
        <v>0</v>
      </c>
      <c r="M113" s="4"/>
      <c r="N113" s="4"/>
      <c r="O113" s="4">
        <v>0</v>
      </c>
      <c r="P113" s="4"/>
      <c r="Q113" s="4"/>
      <c r="R113" s="7">
        <v>0</v>
      </c>
      <c r="S113" s="7">
        <v>0</v>
      </c>
      <c r="T113" s="7">
        <f>R113-S113</f>
        <v>0</v>
      </c>
      <c r="U113" s="7">
        <f>T113*O113</f>
        <v>0</v>
      </c>
    </row>
    <row r="114" spans="1:21">
      <c r="A114" s="4" t="s">
        <v>224</v>
      </c>
      <c r="B114" s="4" t="s">
        <v>48</v>
      </c>
      <c r="C114" s="5">
        <v>45905.6740625</v>
      </c>
      <c r="D114" s="5">
        <v>45961</v>
      </c>
      <c r="E114" s="6">
        <f>IF(AND(C114&lt;&gt;"",D114&lt;&gt;""),D114-C114,"")</f>
        <v>0</v>
      </c>
      <c r="F114" s="4" t="s">
        <v>49</v>
      </c>
      <c r="G114" s="4" t="s">
        <v>50</v>
      </c>
      <c r="H114" s="4" t="s">
        <v>32</v>
      </c>
      <c r="I114" s="4" t="s">
        <v>33</v>
      </c>
      <c r="J114" s="4">
        <v>2</v>
      </c>
      <c r="K114" s="4">
        <v>0</v>
      </c>
      <c r="L114" s="4">
        <f>J114+K114</f>
        <v>0</v>
      </c>
      <c r="M114" s="4"/>
      <c r="N114" s="4"/>
      <c r="O114" s="4">
        <v>0</v>
      </c>
      <c r="P114" s="4"/>
      <c r="Q114" s="4"/>
      <c r="R114" s="7">
        <v>0</v>
      </c>
      <c r="S114" s="7">
        <v>0</v>
      </c>
      <c r="T114" s="7">
        <f>R114-S114</f>
        <v>0</v>
      </c>
      <c r="U114" s="7">
        <f>T114*O114</f>
        <v>0</v>
      </c>
    </row>
    <row r="115" spans="1:21">
      <c r="A115" s="4" t="s">
        <v>225</v>
      </c>
      <c r="B115" s="4" t="s">
        <v>39</v>
      </c>
      <c r="C115" s="5">
        <v>45906.10278935185</v>
      </c>
      <c r="D115" s="5">
        <v>45906</v>
      </c>
      <c r="E115" s="6">
        <f>IF(AND(C115&lt;&gt;"",D115&lt;&gt;""),D115-C115,"")</f>
        <v>0</v>
      </c>
      <c r="F115" s="4" t="s">
        <v>162</v>
      </c>
      <c r="G115" s="4" t="s">
        <v>163</v>
      </c>
      <c r="H115" s="4" t="s">
        <v>32</v>
      </c>
      <c r="I115" s="4" t="s">
        <v>33</v>
      </c>
      <c r="J115" s="4">
        <v>1</v>
      </c>
      <c r="K115" s="4">
        <v>0</v>
      </c>
      <c r="L115" s="4">
        <f>J115+K115</f>
        <v>0</v>
      </c>
      <c r="M115" s="4" t="s">
        <v>42</v>
      </c>
      <c r="N115" s="4"/>
      <c r="O115" s="4">
        <v>1</v>
      </c>
      <c r="P115" s="4" t="s">
        <v>135</v>
      </c>
      <c r="Q115" s="4" t="s">
        <v>44</v>
      </c>
      <c r="R115" s="7">
        <v>370000</v>
      </c>
      <c r="S115" s="7">
        <v>0</v>
      </c>
      <c r="T115" s="7">
        <f>R115-S115</f>
        <v>0</v>
      </c>
      <c r="U115" s="7">
        <f>T115*O115</f>
        <v>0</v>
      </c>
    </row>
    <row r="116" spans="1:21">
      <c r="A116" s="4" t="s">
        <v>225</v>
      </c>
      <c r="B116" s="4" t="s">
        <v>39</v>
      </c>
      <c r="C116" s="5">
        <v>45906.10278935185</v>
      </c>
      <c r="D116" s="5">
        <v>45906</v>
      </c>
      <c r="E116" s="6">
        <f>IF(AND(C116&lt;&gt;"",D116&lt;&gt;""),D116-C116,"")</f>
        <v>0</v>
      </c>
      <c r="F116" s="4" t="s">
        <v>162</v>
      </c>
      <c r="G116" s="4" t="s">
        <v>163</v>
      </c>
      <c r="H116" s="4" t="s">
        <v>32</v>
      </c>
      <c r="I116" s="4" t="s">
        <v>33</v>
      </c>
      <c r="J116" s="4">
        <v>0</v>
      </c>
      <c r="K116" s="4">
        <v>0</v>
      </c>
      <c r="L116" s="4">
        <f>J116+K116</f>
        <v>0</v>
      </c>
      <c r="M116" s="4" t="s">
        <v>45</v>
      </c>
      <c r="N116" s="4"/>
      <c r="O116" s="4">
        <v>1</v>
      </c>
      <c r="P116" s="4" t="s">
        <v>135</v>
      </c>
      <c r="Q116" s="4" t="s">
        <v>44</v>
      </c>
      <c r="R116" s="7">
        <v>50000</v>
      </c>
      <c r="S116" s="7">
        <v>0</v>
      </c>
      <c r="T116" s="7">
        <f>R116-S116</f>
        <v>0</v>
      </c>
      <c r="U116" s="7">
        <f>T116*O116</f>
        <v>0</v>
      </c>
    </row>
    <row r="117" spans="1:21">
      <c r="A117" s="4" t="s">
        <v>226</v>
      </c>
      <c r="B117" s="4" t="s">
        <v>39</v>
      </c>
      <c r="C117" s="5">
        <v>45906.12212962963</v>
      </c>
      <c r="D117" s="5">
        <v>45906</v>
      </c>
      <c r="E117" s="6">
        <f>IF(AND(C117&lt;&gt;"",D117&lt;&gt;""),D117-C117,"")</f>
        <v>0</v>
      </c>
      <c r="F117" s="4" t="s">
        <v>162</v>
      </c>
      <c r="G117" s="4" t="s">
        <v>163</v>
      </c>
      <c r="H117" s="4" t="s">
        <v>32</v>
      </c>
      <c r="I117" s="4" t="s">
        <v>33</v>
      </c>
      <c r="J117" s="4">
        <v>0</v>
      </c>
      <c r="K117" s="4">
        <v>0</v>
      </c>
      <c r="L117" s="4">
        <f>J117+K117</f>
        <v>0</v>
      </c>
      <c r="M117" s="4" t="s">
        <v>45</v>
      </c>
      <c r="N117" s="4"/>
      <c r="O117" s="4">
        <v>1</v>
      </c>
      <c r="P117" s="4" t="s">
        <v>135</v>
      </c>
      <c r="Q117" s="4" t="s">
        <v>44</v>
      </c>
      <c r="R117" s="7">
        <v>10000</v>
      </c>
      <c r="S117" s="7">
        <v>0</v>
      </c>
      <c r="T117" s="7">
        <f>R117-S117</f>
        <v>0</v>
      </c>
      <c r="U117" s="7">
        <f>T117*O117</f>
        <v>0</v>
      </c>
    </row>
    <row r="118" spans="1:21">
      <c r="A118" s="4" t="s">
        <v>227</v>
      </c>
      <c r="B118" s="4" t="s">
        <v>39</v>
      </c>
      <c r="C118" s="5">
        <v>45906.12400462963</v>
      </c>
      <c r="D118" s="5">
        <v>45906</v>
      </c>
      <c r="E118" s="6">
        <f>IF(AND(C118&lt;&gt;"",D118&lt;&gt;""),D118-C118,"")</f>
        <v>0</v>
      </c>
      <c r="F118" s="4" t="s">
        <v>162</v>
      </c>
      <c r="G118" s="4" t="s">
        <v>163</v>
      </c>
      <c r="H118" s="4" t="s">
        <v>32</v>
      </c>
      <c r="I118" s="4" t="s">
        <v>33</v>
      </c>
      <c r="J118" s="4">
        <v>0</v>
      </c>
      <c r="K118" s="4">
        <v>0</v>
      </c>
      <c r="L118" s="4">
        <f>J118+K118</f>
        <v>0</v>
      </c>
      <c r="M118" s="4" t="s">
        <v>45</v>
      </c>
      <c r="N118" s="4"/>
      <c r="O118" s="4">
        <v>1</v>
      </c>
      <c r="P118" s="4" t="s">
        <v>135</v>
      </c>
      <c r="Q118" s="4" t="s">
        <v>44</v>
      </c>
      <c r="R118" s="7">
        <v>10000</v>
      </c>
      <c r="S118" s="7">
        <v>0</v>
      </c>
      <c r="T118" s="7">
        <f>R118-S118</f>
        <v>0</v>
      </c>
      <c r="U118" s="7">
        <f>T118*O118</f>
        <v>0</v>
      </c>
    </row>
    <row r="119" spans="1:21">
      <c r="A119" s="4" t="s">
        <v>228</v>
      </c>
      <c r="B119" s="4" t="s">
        <v>39</v>
      </c>
      <c r="C119" s="5">
        <v>45906.12954861111</v>
      </c>
      <c r="D119" s="5">
        <v>45906</v>
      </c>
      <c r="E119" s="6">
        <f>IF(AND(C119&lt;&gt;"",D119&lt;&gt;""),D119-C119,"")</f>
        <v>0</v>
      </c>
      <c r="F119" s="4" t="s">
        <v>130</v>
      </c>
      <c r="G119" s="4" t="s">
        <v>62</v>
      </c>
      <c r="H119" s="4" t="s">
        <v>32</v>
      </c>
      <c r="I119" s="4" t="s">
        <v>33</v>
      </c>
      <c r="J119" s="4">
        <v>0</v>
      </c>
      <c r="K119" s="4">
        <v>0</v>
      </c>
      <c r="L119" s="4">
        <f>J119+K119</f>
        <v>0</v>
      </c>
      <c r="M119" s="4" t="s">
        <v>45</v>
      </c>
      <c r="N119" s="4"/>
      <c r="O119" s="4">
        <v>1</v>
      </c>
      <c r="P119" s="4" t="s">
        <v>135</v>
      </c>
      <c r="Q119" s="4"/>
      <c r="R119" s="7">
        <v>10000</v>
      </c>
      <c r="S119" s="7">
        <v>0</v>
      </c>
      <c r="T119" s="7">
        <f>R119-S119</f>
        <v>0</v>
      </c>
      <c r="U119" s="7">
        <f>T119*O119</f>
        <v>0</v>
      </c>
    </row>
    <row r="120" spans="1:21">
      <c r="A120" s="4" t="s">
        <v>229</v>
      </c>
      <c r="B120" s="4" t="s">
        <v>39</v>
      </c>
      <c r="C120" s="5">
        <v>45906.13913194444</v>
      </c>
      <c r="D120" s="5">
        <v>45906</v>
      </c>
      <c r="E120" s="6">
        <f>IF(AND(C120&lt;&gt;"",D120&lt;&gt;""),D120-C120,"")</f>
        <v>0</v>
      </c>
      <c r="F120" s="4" t="s">
        <v>130</v>
      </c>
      <c r="G120" s="4" t="s">
        <v>62</v>
      </c>
      <c r="H120" s="4" t="s">
        <v>32</v>
      </c>
      <c r="I120" s="4" t="s">
        <v>33</v>
      </c>
      <c r="J120" s="4">
        <v>0</v>
      </c>
      <c r="K120" s="4">
        <v>0</v>
      </c>
      <c r="L120" s="4">
        <f>J120+K120</f>
        <v>0</v>
      </c>
      <c r="M120" s="4" t="s">
        <v>45</v>
      </c>
      <c r="N120" s="4"/>
      <c r="O120" s="4">
        <v>1</v>
      </c>
      <c r="P120" s="4" t="s">
        <v>135</v>
      </c>
      <c r="Q120" s="4"/>
      <c r="R120" s="7">
        <v>10000</v>
      </c>
      <c r="S120" s="7">
        <v>0</v>
      </c>
      <c r="T120" s="7">
        <f>R120-S120</f>
        <v>0</v>
      </c>
      <c r="U120" s="7">
        <f>T120*O120</f>
        <v>0</v>
      </c>
    </row>
    <row r="121" spans="1:21">
      <c r="A121" s="4" t="s">
        <v>230</v>
      </c>
      <c r="B121" s="4" t="s">
        <v>39</v>
      </c>
      <c r="C121" s="5">
        <v>45906.1403587963</v>
      </c>
      <c r="D121" s="5">
        <v>45906</v>
      </c>
      <c r="E121" s="6">
        <f>IF(AND(C121&lt;&gt;"",D121&lt;&gt;""),D121-C121,"")</f>
        <v>0</v>
      </c>
      <c r="F121" s="4" t="s">
        <v>130</v>
      </c>
      <c r="G121" s="4" t="s">
        <v>62</v>
      </c>
      <c r="H121" s="4" t="s">
        <v>32</v>
      </c>
      <c r="I121" s="4" t="s">
        <v>33</v>
      </c>
      <c r="J121" s="4">
        <v>0</v>
      </c>
      <c r="K121" s="4">
        <v>0</v>
      </c>
      <c r="L121" s="4">
        <f>J121+K121</f>
        <v>0</v>
      </c>
      <c r="M121" s="4" t="s">
        <v>45</v>
      </c>
      <c r="N121" s="4"/>
      <c r="O121" s="4">
        <v>1</v>
      </c>
      <c r="P121" s="4" t="s">
        <v>135</v>
      </c>
      <c r="Q121" s="4"/>
      <c r="R121" s="7">
        <v>20000</v>
      </c>
      <c r="S121" s="7">
        <v>0</v>
      </c>
      <c r="T121" s="7">
        <f>R121-S121</f>
        <v>0</v>
      </c>
      <c r="U121" s="7">
        <f>T121*O121</f>
        <v>0</v>
      </c>
    </row>
    <row r="122" spans="1:21">
      <c r="A122" s="4" t="s">
        <v>231</v>
      </c>
      <c r="B122" s="4" t="s">
        <v>48</v>
      </c>
      <c r="C122" s="5">
        <v>45907.01337962963</v>
      </c>
      <c r="D122" s="5">
        <v>45961</v>
      </c>
      <c r="E122" s="6">
        <f>IF(AND(C122&lt;&gt;"",D122&lt;&gt;""),D122-C122,"")</f>
        <v>0</v>
      </c>
      <c r="F122" s="4" t="s">
        <v>162</v>
      </c>
      <c r="G122" s="4" t="s">
        <v>163</v>
      </c>
      <c r="H122" s="4" t="s">
        <v>32</v>
      </c>
      <c r="I122" s="4" t="s">
        <v>33</v>
      </c>
      <c r="J122" s="4">
        <v>1</v>
      </c>
      <c r="K122" s="4">
        <v>0</v>
      </c>
      <c r="L122" s="4">
        <f>J122+K122</f>
        <v>0</v>
      </c>
      <c r="M122" s="4"/>
      <c r="N122" s="4"/>
      <c r="O122" s="4">
        <v>0</v>
      </c>
      <c r="P122" s="4"/>
      <c r="Q122" s="4"/>
      <c r="R122" s="7">
        <v>0</v>
      </c>
      <c r="S122" s="7">
        <v>0</v>
      </c>
      <c r="T122" s="7">
        <f>R122-S122</f>
        <v>0</v>
      </c>
      <c r="U122" s="7">
        <f>T122*O122</f>
        <v>0</v>
      </c>
    </row>
    <row r="123" spans="1:21">
      <c r="A123" s="4" t="s">
        <v>232</v>
      </c>
      <c r="B123" s="4" t="s">
        <v>48</v>
      </c>
      <c r="C123" s="5">
        <v>45907.01418981481</v>
      </c>
      <c r="D123" s="5">
        <v>45907</v>
      </c>
      <c r="E123" s="6">
        <f>IF(AND(C123&lt;&gt;"",D123&lt;&gt;""),D123-C123,"")</f>
        <v>0</v>
      </c>
      <c r="F123" s="4" t="s">
        <v>162</v>
      </c>
      <c r="G123" s="4" t="s">
        <v>163</v>
      </c>
      <c r="H123" s="4" t="s">
        <v>32</v>
      </c>
      <c r="I123" s="4" t="s">
        <v>33</v>
      </c>
      <c r="J123" s="4">
        <v>1</v>
      </c>
      <c r="K123" s="4">
        <v>0</v>
      </c>
      <c r="L123" s="4">
        <f>J123+K123</f>
        <v>0</v>
      </c>
      <c r="M123" s="4"/>
      <c r="N123" s="4"/>
      <c r="O123" s="4">
        <v>0</v>
      </c>
      <c r="P123" s="4"/>
      <c r="Q123" s="4"/>
      <c r="R123" s="7">
        <v>0</v>
      </c>
      <c r="S123" s="7">
        <v>0</v>
      </c>
      <c r="T123" s="7">
        <f>R123-S123</f>
        <v>0</v>
      </c>
      <c r="U123" s="7">
        <f>T123*O123</f>
        <v>0</v>
      </c>
    </row>
    <row r="124" spans="1:21">
      <c r="A124" s="4" t="s">
        <v>233</v>
      </c>
      <c r="B124" s="4" t="s">
        <v>39</v>
      </c>
      <c r="C124" s="5">
        <v>45907.33712962963</v>
      </c>
      <c r="D124" s="5">
        <v>45907</v>
      </c>
      <c r="E124" s="6">
        <f>IF(AND(C124&lt;&gt;"",D124&lt;&gt;""),D124-C124,"")</f>
        <v>0</v>
      </c>
      <c r="F124" s="4" t="s">
        <v>234</v>
      </c>
      <c r="G124" s="4" t="s">
        <v>235</v>
      </c>
      <c r="H124" s="4" t="s">
        <v>32</v>
      </c>
      <c r="I124" s="4" t="s">
        <v>33</v>
      </c>
      <c r="J124" s="4">
        <v>100</v>
      </c>
      <c r="K124" s="4">
        <v>0</v>
      </c>
      <c r="L124" s="4">
        <f>J124+K124</f>
        <v>0</v>
      </c>
      <c r="M124" s="4" t="s">
        <v>42</v>
      </c>
      <c r="N124" s="4"/>
      <c r="O124" s="4">
        <v>100</v>
      </c>
      <c r="P124" s="4" t="s">
        <v>135</v>
      </c>
      <c r="Q124" s="4" t="s">
        <v>44</v>
      </c>
      <c r="R124" s="7">
        <v>370000</v>
      </c>
      <c r="S124" s="7">
        <v>0</v>
      </c>
      <c r="T124" s="7">
        <f>R124-S124</f>
        <v>0</v>
      </c>
      <c r="U124" s="7">
        <f>T124*O124</f>
        <v>0</v>
      </c>
    </row>
    <row r="125" spans="1:21">
      <c r="A125" s="4" t="s">
        <v>236</v>
      </c>
      <c r="B125" s="4" t="s">
        <v>39</v>
      </c>
      <c r="C125" s="5">
        <v>45907.8324074074</v>
      </c>
      <c r="D125" s="5">
        <v>45907</v>
      </c>
      <c r="E125" s="6">
        <f>IF(AND(C125&lt;&gt;"",D125&lt;&gt;""),D125-C125,"")</f>
        <v>0</v>
      </c>
      <c r="F125" s="4" t="s">
        <v>162</v>
      </c>
      <c r="G125" s="4" t="s">
        <v>163</v>
      </c>
      <c r="H125" s="4" t="s">
        <v>32</v>
      </c>
      <c r="I125" s="4" t="s">
        <v>33</v>
      </c>
      <c r="J125" s="4">
        <v>1</v>
      </c>
      <c r="K125" s="4">
        <v>0</v>
      </c>
      <c r="L125" s="4">
        <f>J125+K125</f>
        <v>0</v>
      </c>
      <c r="M125" s="4" t="s">
        <v>42</v>
      </c>
      <c r="N125" s="4"/>
      <c r="O125" s="4">
        <v>1</v>
      </c>
      <c r="P125" s="4" t="s">
        <v>135</v>
      </c>
      <c r="Q125" s="4"/>
      <c r="R125" s="7">
        <v>370000</v>
      </c>
      <c r="S125" s="7">
        <v>0</v>
      </c>
      <c r="T125" s="7">
        <f>R125-S125</f>
        <v>0</v>
      </c>
      <c r="U125" s="7">
        <f>T125*O125</f>
        <v>0</v>
      </c>
    </row>
    <row r="126" spans="1:21">
      <c r="A126" s="4" t="s">
        <v>237</v>
      </c>
      <c r="B126" s="4" t="s">
        <v>39</v>
      </c>
      <c r="C126" s="5">
        <v>45907.83322916667</v>
      </c>
      <c r="D126" s="5">
        <v>45907</v>
      </c>
      <c r="E126" s="6">
        <f>IF(AND(C126&lt;&gt;"",D126&lt;&gt;""),D126-C126,"")</f>
        <v>0</v>
      </c>
      <c r="F126" s="4" t="s">
        <v>162</v>
      </c>
      <c r="G126" s="4" t="s">
        <v>163</v>
      </c>
      <c r="H126" s="4" t="s">
        <v>32</v>
      </c>
      <c r="I126" s="4" t="s">
        <v>33</v>
      </c>
      <c r="J126" s="4">
        <v>1</v>
      </c>
      <c r="K126" s="4">
        <v>0</v>
      </c>
      <c r="L126" s="4">
        <f>J126+K126</f>
        <v>0</v>
      </c>
      <c r="M126" s="4" t="s">
        <v>42</v>
      </c>
      <c r="N126" s="4"/>
      <c r="O126" s="4">
        <v>1</v>
      </c>
      <c r="P126" s="4" t="s">
        <v>135</v>
      </c>
      <c r="Q126" s="4"/>
      <c r="R126" s="7">
        <v>370000</v>
      </c>
      <c r="S126" s="7">
        <v>0</v>
      </c>
      <c r="T126" s="7">
        <f>R126-S126</f>
        <v>0</v>
      </c>
      <c r="U126" s="7">
        <f>T126*O126</f>
        <v>0</v>
      </c>
    </row>
    <row r="127" spans="1:21">
      <c r="A127" s="4" t="s">
        <v>238</v>
      </c>
      <c r="B127" s="4" t="s">
        <v>39</v>
      </c>
      <c r="C127" s="5">
        <v>45907.83519675926</v>
      </c>
      <c r="D127" s="5">
        <v>45907</v>
      </c>
      <c r="E127" s="6">
        <f>IF(AND(C127&lt;&gt;"",D127&lt;&gt;""),D127-C127,"")</f>
        <v>0</v>
      </c>
      <c r="F127" s="4" t="s">
        <v>162</v>
      </c>
      <c r="G127" s="4" t="s">
        <v>163</v>
      </c>
      <c r="H127" s="4" t="s">
        <v>32</v>
      </c>
      <c r="I127" s="4" t="s">
        <v>33</v>
      </c>
      <c r="J127" s="4">
        <v>0</v>
      </c>
      <c r="K127" s="4">
        <v>0</v>
      </c>
      <c r="L127" s="4">
        <f>J127+K127</f>
        <v>0</v>
      </c>
      <c r="M127" s="4" t="s">
        <v>45</v>
      </c>
      <c r="N127" s="4"/>
      <c r="O127" s="4">
        <v>1</v>
      </c>
      <c r="P127" s="4" t="s">
        <v>135</v>
      </c>
      <c r="Q127" s="4"/>
      <c r="R127" s="7">
        <v>10000</v>
      </c>
      <c r="S127" s="7">
        <v>0</v>
      </c>
      <c r="T127" s="7">
        <f>R127-S127</f>
        <v>0</v>
      </c>
      <c r="U127" s="7">
        <f>T127*O127</f>
        <v>0</v>
      </c>
    </row>
    <row r="128" spans="1:21">
      <c r="A128" s="4" t="s">
        <v>239</v>
      </c>
      <c r="B128" s="4" t="s">
        <v>39</v>
      </c>
      <c r="C128" s="5">
        <v>45907.83587962963</v>
      </c>
      <c r="D128" s="5">
        <v>45907</v>
      </c>
      <c r="E128" s="6">
        <f>IF(AND(C128&lt;&gt;"",D128&lt;&gt;""),D128-C128,"")</f>
        <v>0</v>
      </c>
      <c r="F128" s="4" t="s">
        <v>162</v>
      </c>
      <c r="G128" s="4" t="s">
        <v>163</v>
      </c>
      <c r="H128" s="4" t="s">
        <v>32</v>
      </c>
      <c r="I128" s="4" t="s">
        <v>33</v>
      </c>
      <c r="J128" s="4">
        <v>0</v>
      </c>
      <c r="K128" s="4">
        <v>0</v>
      </c>
      <c r="L128" s="4">
        <f>J128+K128</f>
        <v>0</v>
      </c>
      <c r="M128" s="4" t="s">
        <v>45</v>
      </c>
      <c r="N128" s="4"/>
      <c r="O128" s="4">
        <v>1</v>
      </c>
      <c r="P128" s="4" t="s">
        <v>43</v>
      </c>
      <c r="Q128" s="4"/>
      <c r="R128" s="7">
        <v>0</v>
      </c>
      <c r="S128" s="7">
        <v>0</v>
      </c>
      <c r="T128" s="7">
        <f>R128-S128</f>
        <v>0</v>
      </c>
      <c r="U128" s="7">
        <f>T128*O128</f>
        <v>0</v>
      </c>
    </row>
    <row r="129" spans="1:21">
      <c r="A129" s="4" t="s">
        <v>240</v>
      </c>
      <c r="B129" s="4" t="s">
        <v>39</v>
      </c>
      <c r="C129" s="5">
        <v>45907.86585648148</v>
      </c>
      <c r="D129" s="5">
        <v>45907</v>
      </c>
      <c r="E129" s="6">
        <f>IF(AND(C129&lt;&gt;"",D129&lt;&gt;""),D129-C129,"")</f>
        <v>0</v>
      </c>
      <c r="F129" s="4" t="s">
        <v>162</v>
      </c>
      <c r="G129" s="4" t="s">
        <v>163</v>
      </c>
      <c r="H129" s="4" t="s">
        <v>32</v>
      </c>
      <c r="I129" s="4" t="s">
        <v>33</v>
      </c>
      <c r="J129" s="4">
        <v>0</v>
      </c>
      <c r="K129" s="4">
        <v>0</v>
      </c>
      <c r="L129" s="4">
        <f>J129+K129</f>
        <v>0</v>
      </c>
      <c r="M129" s="4" t="s">
        <v>45</v>
      </c>
      <c r="N129" s="4"/>
      <c r="O129" s="4">
        <v>1</v>
      </c>
      <c r="P129" s="4" t="s">
        <v>135</v>
      </c>
      <c r="Q129" s="4"/>
      <c r="R129" s="7">
        <v>500000</v>
      </c>
      <c r="S129" s="7">
        <v>0</v>
      </c>
      <c r="T129" s="7">
        <f>R129-S129</f>
        <v>0</v>
      </c>
      <c r="U129" s="7">
        <f>T129*O129</f>
        <v>0</v>
      </c>
    </row>
    <row r="130" spans="1:21">
      <c r="A130" s="4" t="s">
        <v>241</v>
      </c>
      <c r="B130" s="4" t="s">
        <v>39</v>
      </c>
      <c r="C130" s="5">
        <v>45907.87136574074</v>
      </c>
      <c r="D130" s="5">
        <v>45907</v>
      </c>
      <c r="E130" s="6">
        <f>IF(AND(C130&lt;&gt;"",D130&lt;&gt;""),D130-C130,"")</f>
        <v>0</v>
      </c>
      <c r="F130" s="4" t="s">
        <v>162</v>
      </c>
      <c r="G130" s="4" t="s">
        <v>163</v>
      </c>
      <c r="H130" s="4" t="s">
        <v>32</v>
      </c>
      <c r="I130" s="4" t="s">
        <v>33</v>
      </c>
      <c r="J130" s="4">
        <v>0</v>
      </c>
      <c r="K130" s="4">
        <v>0</v>
      </c>
      <c r="L130" s="4">
        <f>J130+K130</f>
        <v>0</v>
      </c>
      <c r="M130" s="4" t="s">
        <v>45</v>
      </c>
      <c r="N130" s="4"/>
      <c r="O130" s="4">
        <v>1</v>
      </c>
      <c r="P130" s="4" t="s">
        <v>135</v>
      </c>
      <c r="Q130" s="4"/>
      <c r="R130" s="7">
        <v>500000</v>
      </c>
      <c r="S130" s="7">
        <v>0</v>
      </c>
      <c r="T130" s="7">
        <f>R130-S130</f>
        <v>0</v>
      </c>
      <c r="U130" s="7">
        <f>T130*O130</f>
        <v>0</v>
      </c>
    </row>
    <row r="131" spans="1:21">
      <c r="A131" s="4" t="s">
        <v>242</v>
      </c>
      <c r="B131" s="4" t="s">
        <v>39</v>
      </c>
      <c r="C131" s="5">
        <v>45907.95028935185</v>
      </c>
      <c r="D131" s="5">
        <v>45907</v>
      </c>
      <c r="E131" s="6">
        <f>IF(AND(C131&lt;&gt;"",D131&lt;&gt;""),D131-C131,"")</f>
        <v>0</v>
      </c>
      <c r="F131" s="4" t="s">
        <v>162</v>
      </c>
      <c r="G131" s="4" t="s">
        <v>163</v>
      </c>
      <c r="H131" s="4" t="s">
        <v>32</v>
      </c>
      <c r="I131" s="4" t="s">
        <v>33</v>
      </c>
      <c r="J131" s="4">
        <v>0</v>
      </c>
      <c r="K131" s="4">
        <v>0</v>
      </c>
      <c r="L131" s="4">
        <f>J131+K131</f>
        <v>0</v>
      </c>
      <c r="M131" s="4" t="s">
        <v>45</v>
      </c>
      <c r="N131" s="4"/>
      <c r="O131" s="4">
        <v>1</v>
      </c>
      <c r="P131" s="4" t="s">
        <v>135</v>
      </c>
      <c r="Q131" s="4"/>
      <c r="R131" s="7">
        <v>500000</v>
      </c>
      <c r="S131" s="7">
        <v>0</v>
      </c>
      <c r="T131" s="7">
        <f>R131-S131</f>
        <v>0</v>
      </c>
      <c r="U131" s="7">
        <f>T131*O131</f>
        <v>0</v>
      </c>
    </row>
    <row r="132" spans="1:21">
      <c r="A132" s="4" t="s">
        <v>243</v>
      </c>
      <c r="B132" s="4" t="s">
        <v>39</v>
      </c>
      <c r="C132" s="5">
        <v>45908.03928240741</v>
      </c>
      <c r="D132" s="5">
        <v>45908</v>
      </c>
      <c r="E132" s="6">
        <f>IF(AND(C132&lt;&gt;"",D132&lt;&gt;""),D132-C132,"")</f>
        <v>0</v>
      </c>
      <c r="F132" s="4" t="s">
        <v>244</v>
      </c>
      <c r="G132" s="4" t="s">
        <v>245</v>
      </c>
      <c r="H132" s="4" t="s">
        <v>32</v>
      </c>
      <c r="I132" s="4" t="s">
        <v>33</v>
      </c>
      <c r="J132" s="4">
        <v>0</v>
      </c>
      <c r="K132" s="4">
        <v>0</v>
      </c>
      <c r="L132" s="4">
        <f>J132+K132</f>
        <v>0</v>
      </c>
      <c r="M132" s="4" t="s">
        <v>45</v>
      </c>
      <c r="N132" s="4"/>
      <c r="O132" s="4">
        <v>1</v>
      </c>
      <c r="P132" s="4" t="s">
        <v>135</v>
      </c>
      <c r="Q132" s="4"/>
      <c r="R132" s="7">
        <v>10000</v>
      </c>
      <c r="S132" s="7">
        <v>0</v>
      </c>
      <c r="T132" s="7">
        <f>R132-S132</f>
        <v>0</v>
      </c>
      <c r="U132" s="7">
        <f>T132*O132</f>
        <v>0</v>
      </c>
    </row>
    <row r="133" spans="1:21">
      <c r="A133" s="4" t="s">
        <v>246</v>
      </c>
      <c r="B133" s="4" t="s">
        <v>39</v>
      </c>
      <c r="C133" s="5">
        <v>45908.04071759259</v>
      </c>
      <c r="D133" s="5">
        <v>45908</v>
      </c>
      <c r="E133" s="6">
        <f>IF(AND(C133&lt;&gt;"",D133&lt;&gt;""),D133-C133,"")</f>
        <v>0</v>
      </c>
      <c r="F133" s="4" t="s">
        <v>244</v>
      </c>
      <c r="G133" s="4" t="s">
        <v>245</v>
      </c>
      <c r="H133" s="4" t="s">
        <v>32</v>
      </c>
      <c r="I133" s="4" t="s">
        <v>33</v>
      </c>
      <c r="J133" s="4">
        <v>0</v>
      </c>
      <c r="K133" s="4">
        <v>0</v>
      </c>
      <c r="L133" s="4">
        <f>J133+K133</f>
        <v>0</v>
      </c>
      <c r="M133" s="4" t="s">
        <v>247</v>
      </c>
      <c r="N133" s="4"/>
      <c r="O133" s="4">
        <v>1</v>
      </c>
      <c r="P133" s="4" t="s">
        <v>43</v>
      </c>
      <c r="Q133" s="4"/>
      <c r="R133" s="7">
        <v>0</v>
      </c>
      <c r="S133" s="7">
        <v>0</v>
      </c>
      <c r="T133" s="7">
        <f>R133-S133</f>
        <v>0</v>
      </c>
      <c r="U133" s="7">
        <f>T133*O133</f>
        <v>0</v>
      </c>
    </row>
    <row r="134" spans="1:21">
      <c r="A134" s="4" t="s">
        <v>246</v>
      </c>
      <c r="B134" s="4" t="s">
        <v>39</v>
      </c>
      <c r="C134" s="5">
        <v>45908.04071759259</v>
      </c>
      <c r="D134" s="5">
        <v>45908</v>
      </c>
      <c r="E134" s="6">
        <f>IF(AND(C134&lt;&gt;"",D134&lt;&gt;""),D134-C134,"")</f>
        <v>0</v>
      </c>
      <c r="F134" s="4" t="s">
        <v>244</v>
      </c>
      <c r="G134" s="4" t="s">
        <v>245</v>
      </c>
      <c r="H134" s="4" t="s">
        <v>32</v>
      </c>
      <c r="I134" s="4" t="s">
        <v>33</v>
      </c>
      <c r="J134" s="4">
        <v>0</v>
      </c>
      <c r="K134" s="4">
        <v>0</v>
      </c>
      <c r="L134" s="4">
        <f>J134+K134</f>
        <v>0</v>
      </c>
      <c r="M134" s="4" t="s">
        <v>53</v>
      </c>
      <c r="N134" s="4"/>
      <c r="O134" s="4">
        <v>1</v>
      </c>
      <c r="P134" s="4" t="s">
        <v>43</v>
      </c>
      <c r="Q134" s="4"/>
      <c r="R134" s="7">
        <v>0</v>
      </c>
      <c r="S134" s="7">
        <v>0</v>
      </c>
      <c r="T134" s="7">
        <f>R134-S134</f>
        <v>0</v>
      </c>
      <c r="U134" s="7">
        <f>T134*O134</f>
        <v>0</v>
      </c>
    </row>
    <row r="135" spans="1:21">
      <c r="A135" s="4" t="s">
        <v>248</v>
      </c>
      <c r="B135" s="4" t="s">
        <v>48</v>
      </c>
      <c r="C135" s="5">
        <v>45908.12623842592</v>
      </c>
      <c r="D135" s="5">
        <v>45961</v>
      </c>
      <c r="E135" s="6">
        <f>IF(AND(C135&lt;&gt;"",D135&lt;&gt;""),D135-C135,"")</f>
        <v>0</v>
      </c>
      <c r="F135" s="4" t="s">
        <v>162</v>
      </c>
      <c r="G135" s="4" t="s">
        <v>163</v>
      </c>
      <c r="H135" s="4" t="s">
        <v>32</v>
      </c>
      <c r="I135" s="4" t="s">
        <v>33</v>
      </c>
      <c r="J135" s="4">
        <v>1</v>
      </c>
      <c r="K135" s="4">
        <v>0</v>
      </c>
      <c r="L135" s="4">
        <f>J135+K135</f>
        <v>0</v>
      </c>
      <c r="M135" s="4"/>
      <c r="N135" s="4"/>
      <c r="O135" s="4">
        <v>0</v>
      </c>
      <c r="P135" s="4"/>
      <c r="Q135" s="4"/>
      <c r="R135" s="7">
        <v>0</v>
      </c>
      <c r="S135" s="7">
        <v>0</v>
      </c>
      <c r="T135" s="7">
        <f>R135-S135</f>
        <v>0</v>
      </c>
      <c r="U135" s="7">
        <f>T135*O135</f>
        <v>0</v>
      </c>
    </row>
    <row r="136" spans="1:21">
      <c r="A136" s="4" t="s">
        <v>249</v>
      </c>
      <c r="B136" s="4" t="s">
        <v>29</v>
      </c>
      <c r="C136" s="5">
        <v>45908.31621527778</v>
      </c>
      <c r="D136" s="5">
        <v>45961</v>
      </c>
      <c r="E136" s="6">
        <f>IF(AND(C136&lt;&gt;"",D136&lt;&gt;""),D136-C136,"")</f>
        <v>0</v>
      </c>
      <c r="F136" s="4" t="s">
        <v>197</v>
      </c>
      <c r="G136" s="4" t="s">
        <v>198</v>
      </c>
      <c r="H136" s="4" t="s">
        <v>32</v>
      </c>
      <c r="I136" s="4" t="s">
        <v>33</v>
      </c>
      <c r="J136" s="4">
        <v>3</v>
      </c>
      <c r="K136" s="4">
        <v>0</v>
      </c>
      <c r="L136" s="4">
        <f>J136+K136</f>
        <v>0</v>
      </c>
      <c r="M136" s="4"/>
      <c r="N136" s="4"/>
      <c r="O136" s="4">
        <v>0</v>
      </c>
      <c r="P136" s="4"/>
      <c r="Q136" s="4"/>
      <c r="R136" s="7">
        <v>0</v>
      </c>
      <c r="S136" s="7">
        <v>0</v>
      </c>
      <c r="T136" s="7">
        <f>R136-S136</f>
        <v>0</v>
      </c>
      <c r="U136" s="7">
        <f>T136*O136</f>
        <v>0</v>
      </c>
    </row>
    <row r="137" spans="1:21">
      <c r="A137" s="4" t="s">
        <v>250</v>
      </c>
      <c r="B137" s="4" t="s">
        <v>48</v>
      </c>
      <c r="C137" s="5">
        <v>45908.32511574074</v>
      </c>
      <c r="D137" s="5">
        <v>45961</v>
      </c>
      <c r="E137" s="6">
        <f>IF(AND(C137&lt;&gt;"",D137&lt;&gt;""),D137-C137,"")</f>
        <v>0</v>
      </c>
      <c r="F137" s="4" t="s">
        <v>244</v>
      </c>
      <c r="G137" s="4" t="s">
        <v>245</v>
      </c>
      <c r="H137" s="4" t="s">
        <v>32</v>
      </c>
      <c r="I137" s="4" t="s">
        <v>33</v>
      </c>
      <c r="J137" s="4">
        <v>1</v>
      </c>
      <c r="K137" s="4">
        <v>1</v>
      </c>
      <c r="L137" s="4">
        <f>J137+K137</f>
        <v>0</v>
      </c>
      <c r="M137" s="4"/>
      <c r="N137" s="4"/>
      <c r="O137" s="4">
        <v>0</v>
      </c>
      <c r="P137" s="4"/>
      <c r="Q137" s="4"/>
      <c r="R137" s="7">
        <v>0</v>
      </c>
      <c r="S137" s="7">
        <v>0</v>
      </c>
      <c r="T137" s="7">
        <f>R137-S137</f>
        <v>0</v>
      </c>
      <c r="U137" s="7">
        <f>T137*O137</f>
        <v>0</v>
      </c>
    </row>
    <row r="138" spans="1:21">
      <c r="A138" s="4" t="s">
        <v>251</v>
      </c>
      <c r="B138" s="4" t="s">
        <v>39</v>
      </c>
      <c r="C138" s="5">
        <v>45908.33440972222</v>
      </c>
      <c r="D138" s="5">
        <v>45908</v>
      </c>
      <c r="E138" s="6">
        <f>IF(AND(C138&lt;&gt;"",D138&lt;&gt;""),D138-C138,"")</f>
        <v>0</v>
      </c>
      <c r="F138" s="4" t="s">
        <v>172</v>
      </c>
      <c r="G138" s="4" t="s">
        <v>173</v>
      </c>
      <c r="H138" s="4" t="s">
        <v>32</v>
      </c>
      <c r="I138" s="4" t="s">
        <v>33</v>
      </c>
      <c r="J138" s="4">
        <v>2</v>
      </c>
      <c r="K138" s="4">
        <v>0</v>
      </c>
      <c r="L138" s="4">
        <f>J138+K138</f>
        <v>0</v>
      </c>
      <c r="M138" s="4" t="s">
        <v>42</v>
      </c>
      <c r="N138" s="4"/>
      <c r="O138" s="4">
        <v>2</v>
      </c>
      <c r="P138" s="4" t="s">
        <v>135</v>
      </c>
      <c r="Q138" s="4" t="s">
        <v>178</v>
      </c>
      <c r="R138" s="7">
        <v>370000</v>
      </c>
      <c r="S138" s="7">
        <v>0</v>
      </c>
      <c r="T138" s="7">
        <f>R138-S138</f>
        <v>0</v>
      </c>
      <c r="U138" s="7">
        <f>T138*O138</f>
        <v>0</v>
      </c>
    </row>
    <row r="139" spans="1:21">
      <c r="A139" s="4" t="s">
        <v>251</v>
      </c>
      <c r="B139" s="4" t="s">
        <v>39</v>
      </c>
      <c r="C139" s="5">
        <v>45908.33440972222</v>
      </c>
      <c r="D139" s="5">
        <v>45908</v>
      </c>
      <c r="E139" s="6">
        <f>IF(AND(C139&lt;&gt;"",D139&lt;&gt;""),D139-C139,"")</f>
        <v>0</v>
      </c>
      <c r="F139" s="4" t="s">
        <v>172</v>
      </c>
      <c r="G139" s="4" t="s">
        <v>173</v>
      </c>
      <c r="H139" s="4" t="s">
        <v>32</v>
      </c>
      <c r="I139" s="4" t="s">
        <v>33</v>
      </c>
      <c r="J139" s="4">
        <v>0</v>
      </c>
      <c r="K139" s="4">
        <v>2</v>
      </c>
      <c r="L139" s="4">
        <f>J139+K139</f>
        <v>0</v>
      </c>
      <c r="M139" s="4" t="s">
        <v>46</v>
      </c>
      <c r="N139" s="4"/>
      <c r="O139" s="4">
        <v>2</v>
      </c>
      <c r="P139" s="4" t="s">
        <v>135</v>
      </c>
      <c r="Q139" s="4" t="s">
        <v>178</v>
      </c>
      <c r="R139" s="7">
        <v>325000</v>
      </c>
      <c r="S139" s="7">
        <v>0</v>
      </c>
      <c r="T139" s="7">
        <f>R139-S139</f>
        <v>0</v>
      </c>
      <c r="U139" s="7">
        <f>T139*O139</f>
        <v>0</v>
      </c>
    </row>
    <row r="140" spans="1:21">
      <c r="A140" s="4" t="s">
        <v>251</v>
      </c>
      <c r="B140" s="4" t="s">
        <v>39</v>
      </c>
      <c r="C140" s="5">
        <v>45908.33440972222</v>
      </c>
      <c r="D140" s="5">
        <v>45908</v>
      </c>
      <c r="E140" s="6">
        <f>IF(AND(C140&lt;&gt;"",D140&lt;&gt;""),D140-C140,"")</f>
        <v>0</v>
      </c>
      <c r="F140" s="4" t="s">
        <v>172</v>
      </c>
      <c r="G140" s="4" t="s">
        <v>173</v>
      </c>
      <c r="H140" s="4" t="s">
        <v>32</v>
      </c>
      <c r="I140" s="4" t="s">
        <v>33</v>
      </c>
      <c r="J140" s="4">
        <v>0</v>
      </c>
      <c r="K140" s="4">
        <v>0</v>
      </c>
      <c r="L140" s="4">
        <f>J140+K140</f>
        <v>0</v>
      </c>
      <c r="M140" s="4" t="s">
        <v>45</v>
      </c>
      <c r="N140" s="4"/>
      <c r="O140" s="4">
        <v>1</v>
      </c>
      <c r="P140" s="4" t="s">
        <v>135</v>
      </c>
      <c r="Q140" s="4" t="s">
        <v>178</v>
      </c>
      <c r="R140" s="7">
        <v>1000000</v>
      </c>
      <c r="S140" s="7">
        <v>0</v>
      </c>
      <c r="T140" s="7">
        <f>R140-S140</f>
        <v>0</v>
      </c>
      <c r="U140" s="7">
        <f>T140*O140</f>
        <v>0</v>
      </c>
    </row>
    <row r="141" spans="1:21">
      <c r="A141" s="4" t="s">
        <v>252</v>
      </c>
      <c r="B141" s="4" t="s">
        <v>39</v>
      </c>
      <c r="C141" s="5">
        <v>45908.33475694444</v>
      </c>
      <c r="D141" s="5">
        <v>45908</v>
      </c>
      <c r="E141" s="6">
        <f>IF(AND(C141&lt;&gt;"",D141&lt;&gt;""),D141-C141,"")</f>
        <v>0</v>
      </c>
      <c r="F141" s="4" t="s">
        <v>40</v>
      </c>
      <c r="G141" s="4" t="s">
        <v>41</v>
      </c>
      <c r="H141" s="4" t="s">
        <v>32</v>
      </c>
      <c r="I141" s="4" t="s">
        <v>33</v>
      </c>
      <c r="J141" s="4">
        <v>0</v>
      </c>
      <c r="K141" s="4">
        <v>1</v>
      </c>
      <c r="L141" s="4">
        <f>J141+K141</f>
        <v>0</v>
      </c>
      <c r="M141" s="4" t="s">
        <v>81</v>
      </c>
      <c r="N141" s="4"/>
      <c r="O141" s="4">
        <v>1</v>
      </c>
      <c r="P141" s="4" t="s">
        <v>43</v>
      </c>
      <c r="Q141" s="4"/>
      <c r="R141" s="7">
        <v>495000</v>
      </c>
      <c r="S141" s="7">
        <v>0</v>
      </c>
      <c r="T141" s="7">
        <f>R141-S141</f>
        <v>0</v>
      </c>
      <c r="U141" s="7">
        <f>T141*O141</f>
        <v>0</v>
      </c>
    </row>
    <row r="142" spans="1:21">
      <c r="A142" s="4" t="s">
        <v>252</v>
      </c>
      <c r="B142" s="4" t="s">
        <v>39</v>
      </c>
      <c r="C142" s="5">
        <v>45908.33475694444</v>
      </c>
      <c r="D142" s="5">
        <v>45908</v>
      </c>
      <c r="E142" s="6">
        <f>IF(AND(C142&lt;&gt;"",D142&lt;&gt;""),D142-C142,"")</f>
        <v>0</v>
      </c>
      <c r="F142" s="4" t="s">
        <v>40</v>
      </c>
      <c r="G142" s="4" t="s">
        <v>41</v>
      </c>
      <c r="H142" s="4" t="s">
        <v>32</v>
      </c>
      <c r="I142" s="4" t="s">
        <v>33</v>
      </c>
      <c r="J142" s="4">
        <v>1</v>
      </c>
      <c r="K142" s="4">
        <v>0</v>
      </c>
      <c r="L142" s="4">
        <f>J142+K142</f>
        <v>0</v>
      </c>
      <c r="M142" s="4" t="s">
        <v>42</v>
      </c>
      <c r="N142" s="4"/>
      <c r="O142" s="4">
        <v>1</v>
      </c>
      <c r="P142" s="4" t="s">
        <v>43</v>
      </c>
      <c r="Q142" s="4"/>
      <c r="R142" s="7">
        <v>370000</v>
      </c>
      <c r="S142" s="7">
        <v>0</v>
      </c>
      <c r="T142" s="7">
        <f>R142-S142</f>
        <v>0</v>
      </c>
      <c r="U142" s="7">
        <f>T142*O142</f>
        <v>0</v>
      </c>
    </row>
    <row r="143" spans="1:21">
      <c r="A143" s="4" t="s">
        <v>252</v>
      </c>
      <c r="B143" s="4" t="s">
        <v>39</v>
      </c>
      <c r="C143" s="5">
        <v>45908.33475694444</v>
      </c>
      <c r="D143" s="5">
        <v>45908</v>
      </c>
      <c r="E143" s="6">
        <f>IF(AND(C143&lt;&gt;"",D143&lt;&gt;""),D143-C143,"")</f>
        <v>0</v>
      </c>
      <c r="F143" s="4" t="s">
        <v>40</v>
      </c>
      <c r="G143" s="4" t="s">
        <v>41</v>
      </c>
      <c r="H143" s="4" t="s">
        <v>32</v>
      </c>
      <c r="I143" s="4" t="s">
        <v>33</v>
      </c>
      <c r="J143" s="4">
        <v>0</v>
      </c>
      <c r="K143" s="4">
        <v>0</v>
      </c>
      <c r="L143" s="4">
        <f>J143+K143</f>
        <v>0</v>
      </c>
      <c r="M143" s="4" t="s">
        <v>45</v>
      </c>
      <c r="N143" s="4"/>
      <c r="O143" s="4">
        <v>1</v>
      </c>
      <c r="P143" s="4" t="s">
        <v>43</v>
      </c>
      <c r="Q143" s="4"/>
      <c r="R143" s="7">
        <v>1000000</v>
      </c>
      <c r="S143" s="7">
        <v>0</v>
      </c>
      <c r="T143" s="7">
        <f>R143-S143</f>
        <v>0</v>
      </c>
      <c r="U143" s="7">
        <f>T143*O143</f>
        <v>0</v>
      </c>
    </row>
    <row r="144" spans="1:21">
      <c r="A144" s="4" t="s">
        <v>253</v>
      </c>
      <c r="B144" s="4" t="s">
        <v>39</v>
      </c>
      <c r="C144" s="5">
        <v>45908.33857638889</v>
      </c>
      <c r="D144" s="5">
        <v>45908</v>
      </c>
      <c r="E144" s="6">
        <f>IF(AND(C144&lt;&gt;"",D144&lt;&gt;""),D144-C144,"")</f>
        <v>0</v>
      </c>
      <c r="F144" s="4" t="s">
        <v>172</v>
      </c>
      <c r="G144" s="4" t="s">
        <v>173</v>
      </c>
      <c r="H144" s="4" t="s">
        <v>32</v>
      </c>
      <c r="I144" s="4" t="s">
        <v>33</v>
      </c>
      <c r="J144" s="4">
        <v>0</v>
      </c>
      <c r="K144" s="4">
        <v>0</v>
      </c>
      <c r="L144" s="4">
        <f>J144+K144</f>
        <v>0</v>
      </c>
      <c r="M144" s="4" t="s">
        <v>254</v>
      </c>
      <c r="N144" s="4"/>
      <c r="O144" s="4">
        <v>1</v>
      </c>
      <c r="P144" s="4" t="s">
        <v>135</v>
      </c>
      <c r="Q144" s="4" t="s">
        <v>178</v>
      </c>
      <c r="R144" s="7">
        <v>550000</v>
      </c>
      <c r="S144" s="7">
        <v>0</v>
      </c>
      <c r="T144" s="7">
        <f>R144-S144</f>
        <v>0</v>
      </c>
      <c r="U144" s="7">
        <f>T144*O144</f>
        <v>0</v>
      </c>
    </row>
    <row r="145" spans="1:21">
      <c r="A145" s="4" t="s">
        <v>255</v>
      </c>
      <c r="B145" s="4" t="s">
        <v>39</v>
      </c>
      <c r="C145" s="5">
        <v>45908.33863425926</v>
      </c>
      <c r="D145" s="5">
        <v>45908</v>
      </c>
      <c r="E145" s="6">
        <f>IF(AND(C145&lt;&gt;"",D145&lt;&gt;""),D145-C145,"")</f>
        <v>0</v>
      </c>
      <c r="F145" s="4" t="s">
        <v>40</v>
      </c>
      <c r="G145" s="4" t="s">
        <v>41</v>
      </c>
      <c r="H145" s="4" t="s">
        <v>32</v>
      </c>
      <c r="I145" s="4" t="s">
        <v>33</v>
      </c>
      <c r="J145" s="4">
        <v>0</v>
      </c>
      <c r="K145" s="4">
        <v>0</v>
      </c>
      <c r="L145" s="4">
        <f>J145+K145</f>
        <v>0</v>
      </c>
      <c r="M145" s="4" t="s">
        <v>254</v>
      </c>
      <c r="N145" s="4"/>
      <c r="O145" s="4">
        <v>1</v>
      </c>
      <c r="P145" s="4" t="s">
        <v>135</v>
      </c>
      <c r="Q145" s="4"/>
      <c r="R145" s="7">
        <v>550000</v>
      </c>
      <c r="S145" s="7">
        <v>0</v>
      </c>
      <c r="T145" s="7">
        <f>R145-S145</f>
        <v>0</v>
      </c>
      <c r="U145" s="7">
        <f>T145*O145</f>
        <v>0</v>
      </c>
    </row>
    <row r="146" spans="1:21">
      <c r="A146" s="4" t="s">
        <v>256</v>
      </c>
      <c r="B146" s="4" t="s">
        <v>39</v>
      </c>
      <c r="C146" s="5">
        <v>45908.39303240741</v>
      </c>
      <c r="D146" s="5">
        <v>45908</v>
      </c>
      <c r="E146" s="6">
        <f>IF(AND(C146&lt;&gt;"",D146&lt;&gt;""),D146-C146,"")</f>
        <v>0</v>
      </c>
      <c r="F146" s="4" t="s">
        <v>197</v>
      </c>
      <c r="G146" s="4" t="s">
        <v>198</v>
      </c>
      <c r="H146" s="4" t="s">
        <v>32</v>
      </c>
      <c r="I146" s="4" t="s">
        <v>33</v>
      </c>
      <c r="J146" s="4">
        <v>1</v>
      </c>
      <c r="K146" s="4">
        <v>0</v>
      </c>
      <c r="L146" s="4">
        <f>J146+K146</f>
        <v>0</v>
      </c>
      <c r="M146" s="4" t="s">
        <v>80</v>
      </c>
      <c r="N146" s="4"/>
      <c r="O146" s="4">
        <v>1</v>
      </c>
      <c r="P146" s="4" t="s">
        <v>135</v>
      </c>
      <c r="Q146" s="4" t="s">
        <v>44</v>
      </c>
      <c r="R146" s="7">
        <v>620000</v>
      </c>
      <c r="S146" s="7">
        <v>0</v>
      </c>
      <c r="T146" s="7">
        <f>R146-S146</f>
        <v>0</v>
      </c>
      <c r="U146" s="7">
        <f>T146*O146</f>
        <v>0</v>
      </c>
    </row>
    <row r="147" spans="1:21">
      <c r="A147" s="4" t="s">
        <v>256</v>
      </c>
      <c r="B147" s="4" t="s">
        <v>39</v>
      </c>
      <c r="C147" s="5">
        <v>45908.39303240741</v>
      </c>
      <c r="D147" s="5">
        <v>45908</v>
      </c>
      <c r="E147" s="6">
        <f>IF(AND(C147&lt;&gt;"",D147&lt;&gt;""),D147-C147,"")</f>
        <v>0</v>
      </c>
      <c r="F147" s="4" t="s">
        <v>197</v>
      </c>
      <c r="G147" s="4" t="s">
        <v>198</v>
      </c>
      <c r="H147" s="4" t="s">
        <v>32</v>
      </c>
      <c r="I147" s="4" t="s">
        <v>33</v>
      </c>
      <c r="J147" s="4">
        <v>1</v>
      </c>
      <c r="K147" s="4">
        <v>0</v>
      </c>
      <c r="L147" s="4">
        <f>J147+K147</f>
        <v>0</v>
      </c>
      <c r="M147" s="4" t="s">
        <v>42</v>
      </c>
      <c r="N147" s="4"/>
      <c r="O147" s="4">
        <v>1</v>
      </c>
      <c r="P147" s="4" t="s">
        <v>135</v>
      </c>
      <c r="Q147" s="4" t="s">
        <v>44</v>
      </c>
      <c r="R147" s="7">
        <v>370000</v>
      </c>
      <c r="S147" s="7">
        <v>0</v>
      </c>
      <c r="T147" s="7">
        <f>R147-S147</f>
        <v>0</v>
      </c>
      <c r="U147" s="7">
        <f>T147*O147</f>
        <v>0</v>
      </c>
    </row>
    <row r="148" spans="1:21">
      <c r="A148" s="4" t="s">
        <v>256</v>
      </c>
      <c r="B148" s="4" t="s">
        <v>39</v>
      </c>
      <c r="C148" s="5">
        <v>45908.39303240741</v>
      </c>
      <c r="D148" s="5">
        <v>45908</v>
      </c>
      <c r="E148" s="6">
        <f>IF(AND(C148&lt;&gt;"",D148&lt;&gt;""),D148-C148,"")</f>
        <v>0</v>
      </c>
      <c r="F148" s="4" t="s">
        <v>197</v>
      </c>
      <c r="G148" s="4" t="s">
        <v>198</v>
      </c>
      <c r="H148" s="4" t="s">
        <v>32</v>
      </c>
      <c r="I148" s="4" t="s">
        <v>33</v>
      </c>
      <c r="J148" s="4">
        <v>0</v>
      </c>
      <c r="K148" s="4">
        <v>1</v>
      </c>
      <c r="L148" s="4">
        <f>J148+K148</f>
        <v>0</v>
      </c>
      <c r="M148" s="4" t="s">
        <v>46</v>
      </c>
      <c r="N148" s="4"/>
      <c r="O148" s="4">
        <v>1</v>
      </c>
      <c r="P148" s="4" t="s">
        <v>135</v>
      </c>
      <c r="Q148" s="4" t="s">
        <v>44</v>
      </c>
      <c r="R148" s="7">
        <v>325000</v>
      </c>
      <c r="S148" s="7">
        <v>0</v>
      </c>
      <c r="T148" s="7">
        <f>R148-S148</f>
        <v>0</v>
      </c>
      <c r="U148" s="7">
        <f>T148*O148</f>
        <v>0</v>
      </c>
    </row>
    <row r="149" spans="1:21">
      <c r="A149" s="4" t="s">
        <v>256</v>
      </c>
      <c r="B149" s="4" t="s">
        <v>39</v>
      </c>
      <c r="C149" s="5">
        <v>45908.39303240741</v>
      </c>
      <c r="D149" s="5">
        <v>45908</v>
      </c>
      <c r="E149" s="6">
        <f>IF(AND(C149&lt;&gt;"",D149&lt;&gt;""),D149-C149,"")</f>
        <v>0</v>
      </c>
      <c r="F149" s="4" t="s">
        <v>197</v>
      </c>
      <c r="G149" s="4" t="s">
        <v>198</v>
      </c>
      <c r="H149" s="4" t="s">
        <v>32</v>
      </c>
      <c r="I149" s="4" t="s">
        <v>33</v>
      </c>
      <c r="J149" s="4">
        <v>1</v>
      </c>
      <c r="K149" s="4">
        <v>0</v>
      </c>
      <c r="L149" s="4">
        <f>J149+K149</f>
        <v>0</v>
      </c>
      <c r="M149" s="4" t="s">
        <v>42</v>
      </c>
      <c r="N149" s="4"/>
      <c r="O149" s="4">
        <v>1</v>
      </c>
      <c r="P149" s="4" t="s">
        <v>135</v>
      </c>
      <c r="Q149" s="4" t="s">
        <v>44</v>
      </c>
      <c r="R149" s="7">
        <v>370000</v>
      </c>
      <c r="S149" s="7">
        <v>0</v>
      </c>
      <c r="T149" s="7">
        <f>R149-S149</f>
        <v>0</v>
      </c>
      <c r="U149" s="7">
        <f>T149*O149</f>
        <v>0</v>
      </c>
    </row>
    <row r="150" spans="1:21">
      <c r="A150" s="4" t="s">
        <v>257</v>
      </c>
      <c r="B150" s="4" t="s">
        <v>39</v>
      </c>
      <c r="C150" s="5">
        <v>45908.62283564815</v>
      </c>
      <c r="D150" s="5">
        <v>45908</v>
      </c>
      <c r="E150" s="6">
        <f>IF(AND(C150&lt;&gt;"",D150&lt;&gt;""),D150-C150,"")</f>
        <v>0</v>
      </c>
      <c r="F150" s="4" t="s">
        <v>258</v>
      </c>
      <c r="G150" s="4" t="s">
        <v>259</v>
      </c>
      <c r="H150" s="4" t="s">
        <v>32</v>
      </c>
      <c r="I150" s="4" t="s">
        <v>33</v>
      </c>
      <c r="J150" s="4">
        <v>0</v>
      </c>
      <c r="K150" s="4">
        <v>0</v>
      </c>
      <c r="L150" s="4">
        <f>J150+K150</f>
        <v>0</v>
      </c>
      <c r="M150" s="4" t="s">
        <v>45</v>
      </c>
      <c r="N150" s="4"/>
      <c r="O150" s="4">
        <v>1</v>
      </c>
      <c r="P150" s="4" t="s">
        <v>135</v>
      </c>
      <c r="Q150" s="4"/>
      <c r="R150" s="7">
        <v>10000</v>
      </c>
      <c r="S150" s="7">
        <v>0</v>
      </c>
      <c r="T150" s="7">
        <f>R150-S150</f>
        <v>0</v>
      </c>
      <c r="U150" s="7">
        <f>T150*O150</f>
        <v>0</v>
      </c>
    </row>
    <row r="151" spans="1:21">
      <c r="A151" s="4" t="s">
        <v>260</v>
      </c>
      <c r="B151" s="4" t="s">
        <v>39</v>
      </c>
      <c r="C151" s="5">
        <v>45908.63737268518</v>
      </c>
      <c r="D151" s="5">
        <v>45908</v>
      </c>
      <c r="E151" s="6">
        <f>IF(AND(C151&lt;&gt;"",D151&lt;&gt;""),D151-C151,"")</f>
        <v>0</v>
      </c>
      <c r="F151" s="4" t="s">
        <v>158</v>
      </c>
      <c r="G151" s="4"/>
      <c r="H151" s="4" t="s">
        <v>32</v>
      </c>
      <c r="I151" s="4" t="s">
        <v>33</v>
      </c>
      <c r="J151" s="4">
        <v>1</v>
      </c>
      <c r="K151" s="4">
        <v>0</v>
      </c>
      <c r="L151" s="4">
        <f>J151+K151</f>
        <v>0</v>
      </c>
      <c r="M151" s="4" t="s">
        <v>42</v>
      </c>
      <c r="N151" s="4"/>
      <c r="O151" s="4">
        <v>1</v>
      </c>
      <c r="P151" s="4" t="s">
        <v>135</v>
      </c>
      <c r="Q151" s="4"/>
      <c r="R151" s="7">
        <v>370000</v>
      </c>
      <c r="S151" s="7">
        <v>0</v>
      </c>
      <c r="T151" s="7">
        <f>R151-S151</f>
        <v>0</v>
      </c>
      <c r="U151" s="7">
        <f>T151*O151</f>
        <v>0</v>
      </c>
    </row>
    <row r="152" spans="1:21">
      <c r="A152" s="4" t="s">
        <v>261</v>
      </c>
      <c r="B152" s="4" t="s">
        <v>39</v>
      </c>
      <c r="C152" s="5">
        <v>45908.69929398148</v>
      </c>
      <c r="D152" s="5">
        <v>45961</v>
      </c>
      <c r="E152" s="6">
        <f>IF(AND(C152&lt;&gt;"",D152&lt;&gt;""),D152-C152,"")</f>
        <v>0</v>
      </c>
      <c r="F152" s="4" t="s">
        <v>162</v>
      </c>
      <c r="G152" s="4" t="s">
        <v>163</v>
      </c>
      <c r="H152" s="4" t="s">
        <v>32</v>
      </c>
      <c r="I152" s="4" t="s">
        <v>33</v>
      </c>
      <c r="J152" s="4">
        <v>3</v>
      </c>
      <c r="K152" s="4">
        <v>0</v>
      </c>
      <c r="L152" s="4">
        <f>J152+K152</f>
        <v>0</v>
      </c>
      <c r="M152" s="4"/>
      <c r="N152" s="4"/>
      <c r="O152" s="4">
        <v>0</v>
      </c>
      <c r="P152" s="4"/>
      <c r="Q152" s="4"/>
      <c r="R152" s="7">
        <v>0</v>
      </c>
      <c r="S152" s="7">
        <v>0</v>
      </c>
      <c r="T152" s="7">
        <f>R152-S152</f>
        <v>0</v>
      </c>
      <c r="U152" s="7">
        <f>T152*O152</f>
        <v>0</v>
      </c>
    </row>
    <row r="153" spans="1:21">
      <c r="A153" s="4" t="s">
        <v>262</v>
      </c>
      <c r="B153" s="4" t="s">
        <v>48</v>
      </c>
      <c r="C153" s="5">
        <v>45908.88429398148</v>
      </c>
      <c r="D153" s="5">
        <v>45961</v>
      </c>
      <c r="E153" s="6">
        <f>IF(AND(C153&lt;&gt;"",D153&lt;&gt;""),D153-C153,"")</f>
        <v>0</v>
      </c>
      <c r="F153" s="4" t="s">
        <v>263</v>
      </c>
      <c r="G153" s="4" t="s">
        <v>264</v>
      </c>
      <c r="H153" s="4" t="s">
        <v>32</v>
      </c>
      <c r="I153" s="4" t="s">
        <v>33</v>
      </c>
      <c r="J153" s="4">
        <v>3</v>
      </c>
      <c r="K153" s="4">
        <v>0</v>
      </c>
      <c r="L153" s="4">
        <f>J153+K153</f>
        <v>0</v>
      </c>
      <c r="M153" s="4"/>
      <c r="N153" s="4"/>
      <c r="O153" s="4">
        <v>0</v>
      </c>
      <c r="P153" s="4"/>
      <c r="Q153" s="4"/>
      <c r="R153" s="7">
        <v>0</v>
      </c>
      <c r="S153" s="7">
        <v>0</v>
      </c>
      <c r="T153" s="7">
        <f>R153-S153</f>
        <v>0</v>
      </c>
      <c r="U153" s="7">
        <f>T153*O153</f>
        <v>0</v>
      </c>
    </row>
    <row r="154" spans="1:21">
      <c r="A154" s="4" t="s">
        <v>265</v>
      </c>
      <c r="B154" s="4" t="s">
        <v>48</v>
      </c>
      <c r="C154" s="5">
        <v>45908.91070601852</v>
      </c>
      <c r="D154" s="5">
        <v>45961</v>
      </c>
      <c r="E154" s="6">
        <f>IF(AND(C154&lt;&gt;"",D154&lt;&gt;""),D154-C154,"")</f>
        <v>0</v>
      </c>
      <c r="F154" s="4" t="s">
        <v>258</v>
      </c>
      <c r="G154" s="4" t="s">
        <v>259</v>
      </c>
      <c r="H154" s="4" t="s">
        <v>32</v>
      </c>
      <c r="I154" s="4" t="s">
        <v>33</v>
      </c>
      <c r="J154" s="4">
        <v>3</v>
      </c>
      <c r="K154" s="4">
        <v>0</v>
      </c>
      <c r="L154" s="4">
        <f>J154+K154</f>
        <v>0</v>
      </c>
      <c r="M154" s="4"/>
      <c r="N154" s="4"/>
      <c r="O154" s="4">
        <v>0</v>
      </c>
      <c r="P154" s="4"/>
      <c r="Q154" s="4"/>
      <c r="R154" s="7">
        <v>0</v>
      </c>
      <c r="S154" s="7">
        <v>0</v>
      </c>
      <c r="T154" s="7">
        <f>R154-S154</f>
        <v>0</v>
      </c>
      <c r="U154" s="7">
        <f>T154*O154</f>
        <v>0</v>
      </c>
    </row>
    <row r="155" spans="1:21">
      <c r="A155" s="4" t="s">
        <v>266</v>
      </c>
      <c r="B155" s="4" t="s">
        <v>48</v>
      </c>
      <c r="C155" s="5">
        <v>45908.94402777778</v>
      </c>
      <c r="D155" s="5">
        <v>45961</v>
      </c>
      <c r="E155" s="6">
        <f>IF(AND(C155&lt;&gt;"",D155&lt;&gt;""),D155-C155,"")</f>
        <v>0</v>
      </c>
      <c r="F155" s="4" t="s">
        <v>267</v>
      </c>
      <c r="G155" s="4" t="s">
        <v>268</v>
      </c>
      <c r="H155" s="4" t="s">
        <v>32</v>
      </c>
      <c r="I155" s="4" t="s">
        <v>33</v>
      </c>
      <c r="J155" s="4">
        <v>3</v>
      </c>
      <c r="K155" s="4">
        <v>0</v>
      </c>
      <c r="L155" s="4">
        <f>J155+K155</f>
        <v>0</v>
      </c>
      <c r="M155" s="4"/>
      <c r="N155" s="4"/>
      <c r="O155" s="4">
        <v>0</v>
      </c>
      <c r="P155" s="4"/>
      <c r="Q155" s="4"/>
      <c r="R155" s="7">
        <v>0</v>
      </c>
      <c r="S155" s="7">
        <v>0</v>
      </c>
      <c r="T155" s="7">
        <f>R155-S155</f>
        <v>0</v>
      </c>
      <c r="U155" s="7">
        <f>T155*O155</f>
        <v>0</v>
      </c>
    </row>
    <row r="156" spans="1:21">
      <c r="A156" s="4" t="s">
        <v>269</v>
      </c>
      <c r="B156" s="4" t="s">
        <v>48</v>
      </c>
      <c r="C156" s="5">
        <v>45908.94746527778</v>
      </c>
      <c r="D156" s="5">
        <v>45961</v>
      </c>
      <c r="E156" s="6">
        <f>IF(AND(C156&lt;&gt;"",D156&lt;&gt;""),D156-C156,"")</f>
        <v>0</v>
      </c>
      <c r="F156" s="4" t="s">
        <v>201</v>
      </c>
      <c r="G156" s="4" t="s">
        <v>202</v>
      </c>
      <c r="H156" s="4" t="s">
        <v>32</v>
      </c>
      <c r="I156" s="4" t="s">
        <v>33</v>
      </c>
      <c r="J156" s="4">
        <v>1</v>
      </c>
      <c r="K156" s="4">
        <v>0</v>
      </c>
      <c r="L156" s="4">
        <f>J156+K156</f>
        <v>0</v>
      </c>
      <c r="M156" s="4"/>
      <c r="N156" s="4"/>
      <c r="O156" s="4">
        <v>0</v>
      </c>
      <c r="P156" s="4"/>
      <c r="Q156" s="4"/>
      <c r="R156" s="7">
        <v>0</v>
      </c>
      <c r="S156" s="7">
        <v>0</v>
      </c>
      <c r="T156" s="7">
        <f>R156-S156</f>
        <v>0</v>
      </c>
      <c r="U156" s="7">
        <f>T156*O156</f>
        <v>0</v>
      </c>
    </row>
    <row r="157" spans="1:21">
      <c r="A157" s="4" t="s">
        <v>270</v>
      </c>
      <c r="B157" s="4" t="s">
        <v>48</v>
      </c>
      <c r="C157" s="5">
        <v>45908.98290509259</v>
      </c>
      <c r="D157" s="5">
        <v>45961</v>
      </c>
      <c r="E157" s="6">
        <f>IF(AND(C157&lt;&gt;"",D157&lt;&gt;""),D157-C157,"")</f>
        <v>0</v>
      </c>
      <c r="F157" s="4" t="s">
        <v>271</v>
      </c>
      <c r="G157" s="4" t="s">
        <v>272</v>
      </c>
      <c r="H157" s="4" t="s">
        <v>32</v>
      </c>
      <c r="I157" s="4" t="s">
        <v>33</v>
      </c>
      <c r="J157" s="4">
        <v>3</v>
      </c>
      <c r="K157" s="4">
        <v>0</v>
      </c>
      <c r="L157" s="4">
        <f>J157+K157</f>
        <v>0</v>
      </c>
      <c r="M157" s="4"/>
      <c r="N157" s="4"/>
      <c r="O157" s="4">
        <v>0</v>
      </c>
      <c r="P157" s="4"/>
      <c r="Q157" s="4"/>
      <c r="R157" s="7">
        <v>0</v>
      </c>
      <c r="S157" s="7">
        <v>0</v>
      </c>
      <c r="T157" s="7">
        <f>R157-S157</f>
        <v>0</v>
      </c>
      <c r="U157" s="7">
        <f>T157*O157</f>
        <v>0</v>
      </c>
    </row>
    <row r="158" spans="1:21">
      <c r="A158" s="4" t="s">
        <v>273</v>
      </c>
      <c r="B158" s="4" t="s">
        <v>48</v>
      </c>
      <c r="C158" s="5">
        <v>45909.02346064815</v>
      </c>
      <c r="D158" s="5">
        <v>45961</v>
      </c>
      <c r="E158" s="6">
        <f>IF(AND(C158&lt;&gt;"",D158&lt;&gt;""),D158-C158,"")</f>
        <v>0</v>
      </c>
      <c r="F158" s="4" t="s">
        <v>274</v>
      </c>
      <c r="G158" s="4" t="s">
        <v>275</v>
      </c>
      <c r="H158" s="4" t="s">
        <v>32</v>
      </c>
      <c r="I158" s="4" t="s">
        <v>33</v>
      </c>
      <c r="J158" s="4">
        <v>3</v>
      </c>
      <c r="K158" s="4">
        <v>0</v>
      </c>
      <c r="L158" s="4">
        <f>J158+K158</f>
        <v>0</v>
      </c>
      <c r="M158" s="4"/>
      <c r="N158" s="4"/>
      <c r="O158" s="4">
        <v>0</v>
      </c>
      <c r="P158" s="4"/>
      <c r="Q158" s="4"/>
      <c r="R158" s="7">
        <v>0</v>
      </c>
      <c r="S158" s="7">
        <v>0</v>
      </c>
      <c r="T158" s="7">
        <f>R158-S158</f>
        <v>0</v>
      </c>
      <c r="U158" s="7">
        <f>T158*O158</f>
        <v>0</v>
      </c>
    </row>
    <row r="159" spans="1:21">
      <c r="A159" s="4" t="s">
        <v>276</v>
      </c>
      <c r="B159" s="4" t="s">
        <v>39</v>
      </c>
      <c r="C159" s="5">
        <v>45909.0919212963</v>
      </c>
      <c r="D159" s="5">
        <v>45909</v>
      </c>
      <c r="E159" s="6">
        <f>IF(AND(C159&lt;&gt;"",D159&lt;&gt;""),D159-C159,"")</f>
        <v>0</v>
      </c>
      <c r="F159" s="4" t="s">
        <v>40</v>
      </c>
      <c r="G159" s="4" t="s">
        <v>41</v>
      </c>
      <c r="H159" s="4" t="s">
        <v>32</v>
      </c>
      <c r="I159" s="4" t="s">
        <v>33</v>
      </c>
      <c r="J159" s="4">
        <v>0</v>
      </c>
      <c r="K159" s="4">
        <v>1</v>
      </c>
      <c r="L159" s="4">
        <f>J159+K159</f>
        <v>0</v>
      </c>
      <c r="M159" s="4" t="s">
        <v>46</v>
      </c>
      <c r="N159" s="4"/>
      <c r="O159" s="4">
        <v>1</v>
      </c>
      <c r="P159" s="4" t="s">
        <v>43</v>
      </c>
      <c r="Q159" s="4"/>
      <c r="R159" s="7">
        <v>325000</v>
      </c>
      <c r="S159" s="7">
        <v>0</v>
      </c>
      <c r="T159" s="7">
        <f>R159-S159</f>
        <v>0</v>
      </c>
      <c r="U159" s="7">
        <f>T159*O159</f>
        <v>0</v>
      </c>
    </row>
    <row r="160" spans="1:21">
      <c r="A160" s="4" t="s">
        <v>276</v>
      </c>
      <c r="B160" s="4" t="s">
        <v>39</v>
      </c>
      <c r="C160" s="5">
        <v>45909.0919212963</v>
      </c>
      <c r="D160" s="5">
        <v>45909</v>
      </c>
      <c r="E160" s="6">
        <f>IF(AND(C160&lt;&gt;"",D160&lt;&gt;""),D160-C160,"")</f>
        <v>0</v>
      </c>
      <c r="F160" s="4" t="s">
        <v>40</v>
      </c>
      <c r="G160" s="4" t="s">
        <v>41</v>
      </c>
      <c r="H160" s="4" t="s">
        <v>32</v>
      </c>
      <c r="I160" s="4" t="s">
        <v>33</v>
      </c>
      <c r="J160" s="4">
        <v>0</v>
      </c>
      <c r="K160" s="4">
        <v>0</v>
      </c>
      <c r="L160" s="4">
        <f>J160+K160</f>
        <v>0</v>
      </c>
      <c r="M160" s="4" t="s">
        <v>45</v>
      </c>
      <c r="N160" s="4"/>
      <c r="O160" s="4">
        <v>1</v>
      </c>
      <c r="P160" s="4" t="s">
        <v>43</v>
      </c>
      <c r="Q160" s="4"/>
      <c r="R160" s="7">
        <v>300000</v>
      </c>
      <c r="S160" s="7">
        <v>0</v>
      </c>
      <c r="T160" s="7">
        <f>R160-S160</f>
        <v>0</v>
      </c>
      <c r="U160" s="7">
        <f>T160*O160</f>
        <v>0</v>
      </c>
    </row>
    <row r="161" spans="1:21">
      <c r="A161" s="4" t="s">
        <v>276</v>
      </c>
      <c r="B161" s="4" t="s">
        <v>39</v>
      </c>
      <c r="C161" s="5">
        <v>45909.0919212963</v>
      </c>
      <c r="D161" s="5">
        <v>45909</v>
      </c>
      <c r="E161" s="6">
        <f>IF(AND(C161&lt;&gt;"",D161&lt;&gt;""),D161-C161,"")</f>
        <v>0</v>
      </c>
      <c r="F161" s="4" t="s">
        <v>40</v>
      </c>
      <c r="G161" s="4" t="s">
        <v>41</v>
      </c>
      <c r="H161" s="4" t="s">
        <v>32</v>
      </c>
      <c r="I161" s="4" t="s">
        <v>33</v>
      </c>
      <c r="J161" s="4">
        <v>1</v>
      </c>
      <c r="K161" s="4">
        <v>0</v>
      </c>
      <c r="L161" s="4">
        <f>J161+K161</f>
        <v>0</v>
      </c>
      <c r="M161" s="4" t="s">
        <v>42</v>
      </c>
      <c r="N161" s="4"/>
      <c r="O161" s="4">
        <v>1</v>
      </c>
      <c r="P161" s="4" t="s">
        <v>43</v>
      </c>
      <c r="Q161" s="4"/>
      <c r="R161" s="7">
        <v>370000</v>
      </c>
      <c r="S161" s="7">
        <v>0</v>
      </c>
      <c r="T161" s="7">
        <f>R161-S161</f>
        <v>0</v>
      </c>
      <c r="U161" s="7">
        <f>T161*O161</f>
        <v>0</v>
      </c>
    </row>
    <row r="162" spans="1:21">
      <c r="A162" s="4" t="s">
        <v>276</v>
      </c>
      <c r="B162" s="4" t="s">
        <v>39</v>
      </c>
      <c r="C162" s="5">
        <v>45909.0919212963</v>
      </c>
      <c r="D162" s="5">
        <v>45909</v>
      </c>
      <c r="E162" s="6">
        <f>IF(AND(C162&lt;&gt;"",D162&lt;&gt;""),D162-C162,"")</f>
        <v>0</v>
      </c>
      <c r="F162" s="4" t="s">
        <v>40</v>
      </c>
      <c r="G162" s="4" t="s">
        <v>41</v>
      </c>
      <c r="H162" s="4" t="s">
        <v>32</v>
      </c>
      <c r="I162" s="4" t="s">
        <v>33</v>
      </c>
      <c r="J162" s="4">
        <v>0</v>
      </c>
      <c r="K162" s="4">
        <v>0</v>
      </c>
      <c r="L162" s="4">
        <f>J162+K162</f>
        <v>0</v>
      </c>
      <c r="M162" s="4" t="s">
        <v>45</v>
      </c>
      <c r="N162" s="4"/>
      <c r="O162" s="4">
        <v>1</v>
      </c>
      <c r="P162" s="4" t="s">
        <v>43</v>
      </c>
      <c r="Q162" s="4"/>
      <c r="R162" s="7">
        <v>500000</v>
      </c>
      <c r="S162" s="7">
        <v>0</v>
      </c>
      <c r="T162" s="7">
        <f>R162-S162</f>
        <v>0</v>
      </c>
      <c r="U162" s="7">
        <f>T162*O162</f>
        <v>0</v>
      </c>
    </row>
    <row r="163" spans="1:21">
      <c r="A163" s="4" t="s">
        <v>277</v>
      </c>
      <c r="B163" s="4" t="s">
        <v>39</v>
      </c>
      <c r="C163" s="5">
        <v>45909.09482638889</v>
      </c>
      <c r="D163" s="5">
        <v>45909</v>
      </c>
      <c r="E163" s="6">
        <f>IF(AND(C163&lt;&gt;"",D163&lt;&gt;""),D163-C163,"")</f>
        <v>0</v>
      </c>
      <c r="F163" s="4" t="s">
        <v>69</v>
      </c>
      <c r="G163" s="4"/>
      <c r="H163" s="4" t="s">
        <v>32</v>
      </c>
      <c r="I163" s="4" t="s">
        <v>33</v>
      </c>
      <c r="J163" s="4">
        <v>1</v>
      </c>
      <c r="K163" s="4">
        <v>0</v>
      </c>
      <c r="L163" s="4">
        <f>J163+K163</f>
        <v>0</v>
      </c>
      <c r="M163" s="4" t="s">
        <v>42</v>
      </c>
      <c r="N163" s="4"/>
      <c r="O163" s="4">
        <v>1</v>
      </c>
      <c r="P163" s="4" t="s">
        <v>135</v>
      </c>
      <c r="Q163" s="4" t="s">
        <v>44</v>
      </c>
      <c r="R163" s="7">
        <v>370000</v>
      </c>
      <c r="S163" s="7">
        <v>22200</v>
      </c>
      <c r="T163" s="7">
        <f>R163-S163</f>
        <v>0</v>
      </c>
      <c r="U163" s="7">
        <f>T163*O163</f>
        <v>0</v>
      </c>
    </row>
    <row r="164" spans="1:21">
      <c r="A164" s="4" t="s">
        <v>278</v>
      </c>
      <c r="B164" s="4" t="s">
        <v>39</v>
      </c>
      <c r="C164" s="5">
        <v>45909.31927083333</v>
      </c>
      <c r="D164" s="5">
        <v>45909</v>
      </c>
      <c r="E164" s="6">
        <f>IF(AND(C164&lt;&gt;"",D164&lt;&gt;""),D164-C164,"")</f>
        <v>0</v>
      </c>
      <c r="F164" s="4" t="s">
        <v>271</v>
      </c>
      <c r="G164" s="4" t="s">
        <v>272</v>
      </c>
      <c r="H164" s="4" t="s">
        <v>32</v>
      </c>
      <c r="I164" s="4" t="s">
        <v>33</v>
      </c>
      <c r="J164" s="4">
        <v>2</v>
      </c>
      <c r="K164" s="4">
        <v>0</v>
      </c>
      <c r="L164" s="4">
        <f>J164+K164</f>
        <v>0</v>
      </c>
      <c r="M164" s="4" t="s">
        <v>42</v>
      </c>
      <c r="N164" s="4"/>
      <c r="O164" s="4">
        <v>2</v>
      </c>
      <c r="P164" s="4" t="s">
        <v>135</v>
      </c>
      <c r="Q164" s="4" t="s">
        <v>44</v>
      </c>
      <c r="R164" s="7">
        <v>370000</v>
      </c>
      <c r="S164" s="7">
        <v>0</v>
      </c>
      <c r="T164" s="7">
        <f>R164-S164</f>
        <v>0</v>
      </c>
      <c r="U164" s="7">
        <f>T164*O164</f>
        <v>0</v>
      </c>
    </row>
    <row r="165" spans="1:21">
      <c r="A165" s="4" t="s">
        <v>279</v>
      </c>
      <c r="B165" s="4" t="s">
        <v>39</v>
      </c>
      <c r="C165" s="5">
        <v>45909.3259837963</v>
      </c>
      <c r="D165" s="5">
        <v>45909</v>
      </c>
      <c r="E165" s="6">
        <f>IF(AND(C165&lt;&gt;"",D165&lt;&gt;""),D165-C165,"")</f>
        <v>0</v>
      </c>
      <c r="F165" s="4" t="s">
        <v>172</v>
      </c>
      <c r="G165" s="4" t="s">
        <v>173</v>
      </c>
      <c r="H165" s="4" t="s">
        <v>32</v>
      </c>
      <c r="I165" s="4" t="s">
        <v>33</v>
      </c>
      <c r="J165" s="4">
        <v>2</v>
      </c>
      <c r="K165" s="4">
        <v>0</v>
      </c>
      <c r="L165" s="4">
        <f>J165+K165</f>
        <v>0</v>
      </c>
      <c r="M165" s="4" t="s">
        <v>42</v>
      </c>
      <c r="N165" s="4"/>
      <c r="O165" s="4">
        <v>2</v>
      </c>
      <c r="P165" s="4" t="s">
        <v>135</v>
      </c>
      <c r="Q165" s="4" t="s">
        <v>178</v>
      </c>
      <c r="R165" s="7">
        <v>370000</v>
      </c>
      <c r="S165" s="7">
        <v>0</v>
      </c>
      <c r="T165" s="7">
        <f>R165-S165</f>
        <v>0</v>
      </c>
      <c r="U165" s="7">
        <f>T165*O165</f>
        <v>0</v>
      </c>
    </row>
    <row r="166" spans="1:21">
      <c r="A166" s="4" t="s">
        <v>279</v>
      </c>
      <c r="B166" s="4" t="s">
        <v>39</v>
      </c>
      <c r="C166" s="5">
        <v>45909.3259837963</v>
      </c>
      <c r="D166" s="5">
        <v>45909</v>
      </c>
      <c r="E166" s="6">
        <f>IF(AND(C166&lt;&gt;"",D166&lt;&gt;""),D166-C166,"")</f>
        <v>0</v>
      </c>
      <c r="F166" s="4" t="s">
        <v>172</v>
      </c>
      <c r="G166" s="4" t="s">
        <v>173</v>
      </c>
      <c r="H166" s="4" t="s">
        <v>32</v>
      </c>
      <c r="I166" s="4" t="s">
        <v>33</v>
      </c>
      <c r="J166" s="4">
        <v>0</v>
      </c>
      <c r="K166" s="4">
        <v>0</v>
      </c>
      <c r="L166" s="4">
        <f>J166+K166</f>
        <v>0</v>
      </c>
      <c r="M166" s="4" t="s">
        <v>45</v>
      </c>
      <c r="N166" s="4"/>
      <c r="O166" s="4">
        <v>1</v>
      </c>
      <c r="P166" s="4" t="s">
        <v>135</v>
      </c>
      <c r="Q166" s="4" t="s">
        <v>178</v>
      </c>
      <c r="R166" s="7">
        <v>1000000</v>
      </c>
      <c r="S166" s="7">
        <v>0</v>
      </c>
      <c r="T166" s="7">
        <f>R166-S166</f>
        <v>0</v>
      </c>
      <c r="U166" s="7">
        <f>T166*O166</f>
        <v>0</v>
      </c>
    </row>
    <row r="167" spans="1:21">
      <c r="A167" s="4" t="s">
        <v>280</v>
      </c>
      <c r="B167" s="4" t="s">
        <v>39</v>
      </c>
      <c r="C167" s="5">
        <v>45909.33104166666</v>
      </c>
      <c r="D167" s="5">
        <v>45909</v>
      </c>
      <c r="E167" s="6">
        <f>IF(AND(C167&lt;&gt;"",D167&lt;&gt;""),D167-C167,"")</f>
        <v>0</v>
      </c>
      <c r="F167" s="4" t="s">
        <v>172</v>
      </c>
      <c r="G167" s="4" t="s">
        <v>173</v>
      </c>
      <c r="H167" s="4" t="s">
        <v>32</v>
      </c>
      <c r="I167" s="4" t="s">
        <v>33</v>
      </c>
      <c r="J167" s="4">
        <v>0</v>
      </c>
      <c r="K167" s="4">
        <v>5</v>
      </c>
      <c r="L167" s="4">
        <f>J167+K167</f>
        <v>0</v>
      </c>
      <c r="M167" s="4" t="s">
        <v>46</v>
      </c>
      <c r="N167" s="4"/>
      <c r="O167" s="4">
        <v>5</v>
      </c>
      <c r="P167" s="4" t="s">
        <v>135</v>
      </c>
      <c r="Q167" s="4" t="s">
        <v>178</v>
      </c>
      <c r="R167" s="7">
        <v>325000</v>
      </c>
      <c r="S167" s="7">
        <v>0</v>
      </c>
      <c r="T167" s="7">
        <f>R167-S167</f>
        <v>0</v>
      </c>
      <c r="U167" s="7">
        <f>T167*O167</f>
        <v>0</v>
      </c>
    </row>
    <row r="168" spans="1:21">
      <c r="A168" s="4" t="s">
        <v>280</v>
      </c>
      <c r="B168" s="4" t="s">
        <v>39</v>
      </c>
      <c r="C168" s="5">
        <v>45909.33104166666</v>
      </c>
      <c r="D168" s="5">
        <v>45909</v>
      </c>
      <c r="E168" s="6">
        <f>IF(AND(C168&lt;&gt;"",D168&lt;&gt;""),D168-C168,"")</f>
        <v>0</v>
      </c>
      <c r="F168" s="4" t="s">
        <v>172</v>
      </c>
      <c r="G168" s="4" t="s">
        <v>173</v>
      </c>
      <c r="H168" s="4" t="s">
        <v>32</v>
      </c>
      <c r="I168" s="4" t="s">
        <v>33</v>
      </c>
      <c r="J168" s="4">
        <v>0</v>
      </c>
      <c r="K168" s="4">
        <v>0</v>
      </c>
      <c r="L168" s="4">
        <f>J168+K168</f>
        <v>0</v>
      </c>
      <c r="M168" s="4" t="s">
        <v>45</v>
      </c>
      <c r="N168" s="4"/>
      <c r="O168" s="4">
        <v>1</v>
      </c>
      <c r="P168" s="4" t="s">
        <v>135</v>
      </c>
      <c r="Q168" s="4" t="s">
        <v>178</v>
      </c>
      <c r="R168" s="7">
        <v>1000000</v>
      </c>
      <c r="S168" s="7">
        <v>0</v>
      </c>
      <c r="T168" s="7">
        <f>R168-S168</f>
        <v>0</v>
      </c>
      <c r="U168" s="7">
        <f>T168*O168</f>
        <v>0</v>
      </c>
    </row>
    <row r="169" spans="1:21">
      <c r="A169" s="4" t="s">
        <v>280</v>
      </c>
      <c r="B169" s="4" t="s">
        <v>39</v>
      </c>
      <c r="C169" s="5">
        <v>45909.33104166666</v>
      </c>
      <c r="D169" s="5">
        <v>45909</v>
      </c>
      <c r="E169" s="6">
        <f>IF(AND(C169&lt;&gt;"",D169&lt;&gt;""),D169-C169,"")</f>
        <v>0</v>
      </c>
      <c r="F169" s="4" t="s">
        <v>172</v>
      </c>
      <c r="G169" s="4" t="s">
        <v>173</v>
      </c>
      <c r="H169" s="4" t="s">
        <v>32</v>
      </c>
      <c r="I169" s="4" t="s">
        <v>33</v>
      </c>
      <c r="J169" s="4">
        <v>5</v>
      </c>
      <c r="K169" s="4">
        <v>0</v>
      </c>
      <c r="L169" s="4">
        <f>J169+K169</f>
        <v>0</v>
      </c>
      <c r="M169" s="4" t="s">
        <v>42</v>
      </c>
      <c r="N169" s="4"/>
      <c r="O169" s="4">
        <v>5</v>
      </c>
      <c r="P169" s="4" t="s">
        <v>135</v>
      </c>
      <c r="Q169" s="4" t="s">
        <v>178</v>
      </c>
      <c r="R169" s="7">
        <v>370000</v>
      </c>
      <c r="S169" s="7">
        <v>0</v>
      </c>
      <c r="T169" s="7">
        <f>R169-S169</f>
        <v>0</v>
      </c>
      <c r="U169" s="7">
        <f>T169*O169</f>
        <v>0</v>
      </c>
    </row>
    <row r="170" spans="1:21">
      <c r="A170" s="4" t="s">
        <v>280</v>
      </c>
      <c r="B170" s="4" t="s">
        <v>39</v>
      </c>
      <c r="C170" s="5">
        <v>45909.33104166666</v>
      </c>
      <c r="D170" s="5">
        <v>45909</v>
      </c>
      <c r="E170" s="6">
        <f>IF(AND(C170&lt;&gt;"",D170&lt;&gt;""),D170-C170,"")</f>
        <v>0</v>
      </c>
      <c r="F170" s="4" t="s">
        <v>172</v>
      </c>
      <c r="G170" s="4" t="s">
        <v>173</v>
      </c>
      <c r="H170" s="4" t="s">
        <v>32</v>
      </c>
      <c r="I170" s="4" t="s">
        <v>33</v>
      </c>
      <c r="J170" s="4">
        <v>0</v>
      </c>
      <c r="K170" s="4">
        <v>5</v>
      </c>
      <c r="L170" s="4">
        <f>J170+K170</f>
        <v>0</v>
      </c>
      <c r="M170" s="4" t="s">
        <v>81</v>
      </c>
      <c r="N170" s="4"/>
      <c r="O170" s="4">
        <v>5</v>
      </c>
      <c r="P170" s="4" t="s">
        <v>135</v>
      </c>
      <c r="Q170" s="4" t="s">
        <v>178</v>
      </c>
      <c r="R170" s="7">
        <v>495000</v>
      </c>
      <c r="S170" s="7">
        <v>0</v>
      </c>
      <c r="T170" s="7">
        <f>R170-S170</f>
        <v>0</v>
      </c>
      <c r="U170" s="7">
        <f>T170*O170</f>
        <v>0</v>
      </c>
    </row>
    <row r="171" spans="1:21">
      <c r="A171" s="4" t="s">
        <v>280</v>
      </c>
      <c r="B171" s="4" t="s">
        <v>39</v>
      </c>
      <c r="C171" s="5">
        <v>45909.33104166666</v>
      </c>
      <c r="D171" s="5">
        <v>45909</v>
      </c>
      <c r="E171" s="6">
        <f>IF(AND(C171&lt;&gt;"",D171&lt;&gt;""),D171-C171,"")</f>
        <v>0</v>
      </c>
      <c r="F171" s="4" t="s">
        <v>172</v>
      </c>
      <c r="G171" s="4" t="s">
        <v>173</v>
      </c>
      <c r="H171" s="4" t="s">
        <v>32</v>
      </c>
      <c r="I171" s="4" t="s">
        <v>33</v>
      </c>
      <c r="J171" s="4">
        <v>5</v>
      </c>
      <c r="K171" s="4">
        <v>0</v>
      </c>
      <c r="L171" s="4">
        <f>J171+K171</f>
        <v>0</v>
      </c>
      <c r="M171" s="4" t="s">
        <v>80</v>
      </c>
      <c r="N171" s="4"/>
      <c r="O171" s="4">
        <v>5</v>
      </c>
      <c r="P171" s="4" t="s">
        <v>135</v>
      </c>
      <c r="Q171" s="4" t="s">
        <v>178</v>
      </c>
      <c r="R171" s="7">
        <v>620000</v>
      </c>
      <c r="S171" s="7">
        <v>0</v>
      </c>
      <c r="T171" s="7">
        <f>R171-S171</f>
        <v>0</v>
      </c>
      <c r="U171" s="7">
        <f>T171*O171</f>
        <v>0</v>
      </c>
    </row>
    <row r="172" spans="1:21">
      <c r="A172" s="4" t="s">
        <v>281</v>
      </c>
      <c r="B172" s="4" t="s">
        <v>48</v>
      </c>
      <c r="C172" s="5">
        <v>45909.37185185185</v>
      </c>
      <c r="D172" s="5">
        <v>45961</v>
      </c>
      <c r="E172" s="6">
        <f>IF(AND(C172&lt;&gt;"",D172&lt;&gt;""),D172-C172,"")</f>
        <v>0</v>
      </c>
      <c r="F172" s="4" t="s">
        <v>219</v>
      </c>
      <c r="G172" s="4" t="s">
        <v>282</v>
      </c>
      <c r="H172" s="4" t="s">
        <v>32</v>
      </c>
      <c r="I172" s="4" t="s">
        <v>33</v>
      </c>
      <c r="J172" s="4">
        <v>1</v>
      </c>
      <c r="K172" s="4">
        <v>0</v>
      </c>
      <c r="L172" s="4">
        <f>J172+K172</f>
        <v>0</v>
      </c>
      <c r="M172" s="4"/>
      <c r="N172" s="4"/>
      <c r="O172" s="4">
        <v>0</v>
      </c>
      <c r="P172" s="4"/>
      <c r="Q172" s="4"/>
      <c r="R172" s="7">
        <v>0</v>
      </c>
      <c r="S172" s="7">
        <v>0</v>
      </c>
      <c r="T172" s="7">
        <f>R172-S172</f>
        <v>0</v>
      </c>
      <c r="U172" s="7">
        <f>T172*O172</f>
        <v>0</v>
      </c>
    </row>
    <row r="173" spans="1:21">
      <c r="A173" s="4" t="s">
        <v>283</v>
      </c>
      <c r="B173" s="4" t="s">
        <v>48</v>
      </c>
      <c r="C173" s="5">
        <v>45909.37322916667</v>
      </c>
      <c r="D173" s="5">
        <v>45961</v>
      </c>
      <c r="E173" s="6">
        <f>IF(AND(C173&lt;&gt;"",D173&lt;&gt;""),D173-C173,"")</f>
        <v>0</v>
      </c>
      <c r="F173" s="4" t="s">
        <v>165</v>
      </c>
      <c r="G173" s="4" t="s">
        <v>65</v>
      </c>
      <c r="H173" s="4" t="s">
        <v>32</v>
      </c>
      <c r="I173" s="4" t="s">
        <v>33</v>
      </c>
      <c r="J173" s="4">
        <v>1</v>
      </c>
      <c r="K173" s="4">
        <v>0</v>
      </c>
      <c r="L173" s="4">
        <f>J173+K173</f>
        <v>0</v>
      </c>
      <c r="M173" s="4"/>
      <c r="N173" s="4"/>
      <c r="O173" s="4">
        <v>0</v>
      </c>
      <c r="P173" s="4"/>
      <c r="Q173" s="4"/>
      <c r="R173" s="7">
        <v>0</v>
      </c>
      <c r="S173" s="7">
        <v>0</v>
      </c>
      <c r="T173" s="7">
        <f>R173-S173</f>
        <v>0</v>
      </c>
      <c r="U173" s="7">
        <f>T173*O173</f>
        <v>0</v>
      </c>
    </row>
    <row r="174" spans="1:21">
      <c r="A174" s="4" t="s">
        <v>284</v>
      </c>
      <c r="B174" s="4" t="s">
        <v>48</v>
      </c>
      <c r="C174" s="5">
        <v>45909.40059027778</v>
      </c>
      <c r="D174" s="5">
        <v>45961</v>
      </c>
      <c r="E174" s="6">
        <f>IF(AND(C174&lt;&gt;"",D174&lt;&gt;""),D174-C174,"")</f>
        <v>0</v>
      </c>
      <c r="F174" s="4" t="s">
        <v>165</v>
      </c>
      <c r="G174" s="4" t="s">
        <v>65</v>
      </c>
      <c r="H174" s="4" t="s">
        <v>32</v>
      </c>
      <c r="I174" s="4" t="s">
        <v>33</v>
      </c>
      <c r="J174" s="4">
        <v>1</v>
      </c>
      <c r="K174" s="4">
        <v>0</v>
      </c>
      <c r="L174" s="4">
        <f>J174+K174</f>
        <v>0</v>
      </c>
      <c r="M174" s="4"/>
      <c r="N174" s="4"/>
      <c r="O174" s="4">
        <v>0</v>
      </c>
      <c r="P174" s="4"/>
      <c r="Q174" s="4"/>
      <c r="R174" s="7">
        <v>0</v>
      </c>
      <c r="S174" s="7">
        <v>0</v>
      </c>
      <c r="T174" s="7">
        <f>R174-S174</f>
        <v>0</v>
      </c>
      <c r="U174" s="7">
        <f>T174*O174</f>
        <v>0</v>
      </c>
    </row>
    <row r="175" spans="1:21">
      <c r="A175" s="4" t="s">
        <v>285</v>
      </c>
      <c r="B175" s="4" t="s">
        <v>48</v>
      </c>
      <c r="C175" s="5">
        <v>45909.50607638889</v>
      </c>
      <c r="D175" s="5">
        <v>45961</v>
      </c>
      <c r="E175" s="6">
        <f>IF(AND(C175&lt;&gt;"",D175&lt;&gt;""),D175-C175,"")</f>
        <v>0</v>
      </c>
      <c r="F175" s="4" t="s">
        <v>286</v>
      </c>
      <c r="G175" s="4" t="s">
        <v>287</v>
      </c>
      <c r="H175" s="4" t="s">
        <v>32</v>
      </c>
      <c r="I175" s="4" t="s">
        <v>33</v>
      </c>
      <c r="J175" s="4">
        <v>1</v>
      </c>
      <c r="K175" s="4">
        <v>0</v>
      </c>
      <c r="L175" s="4">
        <f>J175+K175</f>
        <v>0</v>
      </c>
      <c r="M175" s="4"/>
      <c r="N175" s="4"/>
      <c r="O175" s="4">
        <v>0</v>
      </c>
      <c r="P175" s="4"/>
      <c r="Q175" s="4"/>
      <c r="R175" s="7">
        <v>0</v>
      </c>
      <c r="S175" s="7">
        <v>0</v>
      </c>
      <c r="T175" s="7">
        <f>R175-S175</f>
        <v>0</v>
      </c>
      <c r="U175" s="7">
        <f>T175*O175</f>
        <v>0</v>
      </c>
    </row>
    <row r="176" spans="1:21">
      <c r="A176" s="4" t="s">
        <v>288</v>
      </c>
      <c r="B176" s="4" t="s">
        <v>48</v>
      </c>
      <c r="C176" s="5">
        <v>45909.50857638889</v>
      </c>
      <c r="D176" s="5">
        <v>45961</v>
      </c>
      <c r="E176" s="6">
        <f>IF(AND(C176&lt;&gt;"",D176&lt;&gt;""),D176-C176,"")</f>
        <v>0</v>
      </c>
      <c r="F176" s="4" t="s">
        <v>286</v>
      </c>
      <c r="G176" s="4" t="s">
        <v>287</v>
      </c>
      <c r="H176" s="4" t="s">
        <v>32</v>
      </c>
      <c r="I176" s="4" t="s">
        <v>33</v>
      </c>
      <c r="J176" s="4">
        <v>15</v>
      </c>
      <c r="K176" s="4">
        <v>0</v>
      </c>
      <c r="L176" s="4">
        <f>J176+K176</f>
        <v>0</v>
      </c>
      <c r="M176" s="4"/>
      <c r="N176" s="4"/>
      <c r="O176" s="4">
        <v>0</v>
      </c>
      <c r="P176" s="4"/>
      <c r="Q176" s="4"/>
      <c r="R176" s="7">
        <v>0</v>
      </c>
      <c r="S176" s="7">
        <v>0</v>
      </c>
      <c r="T176" s="7">
        <f>R176-S176</f>
        <v>0</v>
      </c>
      <c r="U176" s="7">
        <f>T176*O176</f>
        <v>0</v>
      </c>
    </row>
    <row r="177" spans="1:21">
      <c r="A177" s="4" t="s">
        <v>289</v>
      </c>
      <c r="B177" s="4" t="s">
        <v>48</v>
      </c>
      <c r="C177" s="5">
        <v>45909.55475694445</v>
      </c>
      <c r="D177" s="5">
        <v>45961</v>
      </c>
      <c r="E177" s="6">
        <f>IF(AND(C177&lt;&gt;"",D177&lt;&gt;""),D177-C177,"")</f>
        <v>0</v>
      </c>
      <c r="F177" s="4" t="s">
        <v>162</v>
      </c>
      <c r="G177" s="4" t="s">
        <v>163</v>
      </c>
      <c r="H177" s="4" t="s">
        <v>32</v>
      </c>
      <c r="I177" s="4" t="s">
        <v>33</v>
      </c>
      <c r="J177" s="4">
        <v>4</v>
      </c>
      <c r="K177" s="4">
        <v>0</v>
      </c>
      <c r="L177" s="4">
        <f>J177+K177</f>
        <v>0</v>
      </c>
      <c r="M177" s="4"/>
      <c r="N177" s="4"/>
      <c r="O177" s="4">
        <v>0</v>
      </c>
      <c r="P177" s="4"/>
      <c r="Q177" s="4"/>
      <c r="R177" s="7">
        <v>0</v>
      </c>
      <c r="S177" s="7">
        <v>0</v>
      </c>
      <c r="T177" s="7">
        <f>R177-S177</f>
        <v>0</v>
      </c>
      <c r="U177" s="7">
        <f>T177*O177</f>
        <v>0</v>
      </c>
    </row>
    <row r="178" spans="1:21">
      <c r="A178" s="4" t="s">
        <v>290</v>
      </c>
      <c r="B178" s="4" t="s">
        <v>48</v>
      </c>
      <c r="C178" s="5">
        <v>45909.60299768519</v>
      </c>
      <c r="D178" s="5">
        <v>45961</v>
      </c>
      <c r="E178" s="6">
        <f>IF(AND(C178&lt;&gt;"",D178&lt;&gt;""),D178-C178,"")</f>
        <v>0</v>
      </c>
      <c r="F178" s="4" t="s">
        <v>165</v>
      </c>
      <c r="G178" s="4" t="s">
        <v>65</v>
      </c>
      <c r="H178" s="4" t="s">
        <v>32</v>
      </c>
      <c r="I178" s="4" t="s">
        <v>33</v>
      </c>
      <c r="J178" s="4">
        <v>1</v>
      </c>
      <c r="K178" s="4">
        <v>0</v>
      </c>
      <c r="L178" s="4">
        <f>J178+K178</f>
        <v>0</v>
      </c>
      <c r="M178" s="4"/>
      <c r="N178" s="4"/>
      <c r="O178" s="4">
        <v>0</v>
      </c>
      <c r="P178" s="4"/>
      <c r="Q178" s="4"/>
      <c r="R178" s="7">
        <v>0</v>
      </c>
      <c r="S178" s="7">
        <v>0</v>
      </c>
      <c r="T178" s="7">
        <f>R178-S178</f>
        <v>0</v>
      </c>
      <c r="U178" s="7">
        <f>T178*O178</f>
        <v>0</v>
      </c>
    </row>
    <row r="179" spans="1:21">
      <c r="A179" s="4" t="s">
        <v>291</v>
      </c>
      <c r="B179" s="4" t="s">
        <v>48</v>
      </c>
      <c r="C179" s="5">
        <v>45909.62003472223</v>
      </c>
      <c r="D179" s="5">
        <v>45961</v>
      </c>
      <c r="E179" s="6">
        <f>IF(AND(C179&lt;&gt;"",D179&lt;&gt;""),D179-C179,"")</f>
        <v>0</v>
      </c>
      <c r="F179" s="4" t="s">
        <v>292</v>
      </c>
      <c r="G179" s="4" t="s">
        <v>293</v>
      </c>
      <c r="H179" s="4" t="s">
        <v>32</v>
      </c>
      <c r="I179" s="4" t="s">
        <v>33</v>
      </c>
      <c r="J179" s="4">
        <v>1</v>
      </c>
      <c r="K179" s="4">
        <v>0</v>
      </c>
      <c r="L179" s="4">
        <f>J179+K179</f>
        <v>0</v>
      </c>
      <c r="M179" s="4"/>
      <c r="N179" s="4"/>
      <c r="O179" s="4">
        <v>0</v>
      </c>
      <c r="P179" s="4"/>
      <c r="Q179" s="4"/>
      <c r="R179" s="7">
        <v>0</v>
      </c>
      <c r="S179" s="7">
        <v>0</v>
      </c>
      <c r="T179" s="7">
        <f>R179-S179</f>
        <v>0</v>
      </c>
      <c r="U179" s="7">
        <f>T179*O179</f>
        <v>0</v>
      </c>
    </row>
    <row r="180" spans="1:21">
      <c r="A180" s="4" t="s">
        <v>294</v>
      </c>
      <c r="B180" s="4" t="s">
        <v>48</v>
      </c>
      <c r="C180" s="5">
        <v>45909.66091435185</v>
      </c>
      <c r="D180" s="5">
        <v>45961</v>
      </c>
      <c r="E180" s="6">
        <f>IF(AND(C180&lt;&gt;"",D180&lt;&gt;""),D180-C180,"")</f>
        <v>0</v>
      </c>
      <c r="F180" s="4" t="s">
        <v>162</v>
      </c>
      <c r="G180" s="4" t="s">
        <v>163</v>
      </c>
      <c r="H180" s="4" t="s">
        <v>32</v>
      </c>
      <c r="I180" s="4" t="s">
        <v>33</v>
      </c>
      <c r="J180" s="4">
        <v>2</v>
      </c>
      <c r="K180" s="4">
        <v>1</v>
      </c>
      <c r="L180" s="4">
        <f>J180+K180</f>
        <v>0</v>
      </c>
      <c r="M180" s="4"/>
      <c r="N180" s="4"/>
      <c r="O180" s="4">
        <v>0</v>
      </c>
      <c r="P180" s="4"/>
      <c r="Q180" s="4"/>
      <c r="R180" s="7">
        <v>0</v>
      </c>
      <c r="S180" s="7">
        <v>0</v>
      </c>
      <c r="T180" s="7">
        <f>R180-S180</f>
        <v>0</v>
      </c>
      <c r="U180" s="7">
        <f>T180*O180</f>
        <v>0</v>
      </c>
    </row>
    <row r="181" spans="1:21">
      <c r="A181" s="4" t="s">
        <v>295</v>
      </c>
      <c r="B181" s="4" t="s">
        <v>48</v>
      </c>
      <c r="C181" s="5">
        <v>45909.66311342592</v>
      </c>
      <c r="D181" s="5">
        <v>45961</v>
      </c>
      <c r="E181" s="6">
        <f>IF(AND(C181&lt;&gt;"",D181&lt;&gt;""),D181-C181,"")</f>
        <v>0</v>
      </c>
      <c r="F181" s="4" t="s">
        <v>296</v>
      </c>
      <c r="G181" s="4" t="s">
        <v>297</v>
      </c>
      <c r="H181" s="4" t="s">
        <v>32</v>
      </c>
      <c r="I181" s="4" t="s">
        <v>33</v>
      </c>
      <c r="J181" s="4">
        <v>4</v>
      </c>
      <c r="K181" s="4">
        <v>0</v>
      </c>
      <c r="L181" s="4">
        <f>J181+K181</f>
        <v>0</v>
      </c>
      <c r="M181" s="4"/>
      <c r="N181" s="4"/>
      <c r="O181" s="4">
        <v>0</v>
      </c>
      <c r="P181" s="4"/>
      <c r="Q181" s="4"/>
      <c r="R181" s="7">
        <v>0</v>
      </c>
      <c r="S181" s="7">
        <v>0</v>
      </c>
      <c r="T181" s="7">
        <f>R181-S181</f>
        <v>0</v>
      </c>
      <c r="U181" s="7">
        <f>T181*O181</f>
        <v>0</v>
      </c>
    </row>
    <row r="182" spans="1:21">
      <c r="A182" s="4" t="s">
        <v>298</v>
      </c>
      <c r="B182" s="4" t="s">
        <v>29</v>
      </c>
      <c r="C182" s="5">
        <v>45909.71020833333</v>
      </c>
      <c r="D182" s="5">
        <v>45961</v>
      </c>
      <c r="E182" s="6">
        <f>IF(AND(C182&lt;&gt;"",D182&lt;&gt;""),D182-C182,"")</f>
        <v>0</v>
      </c>
      <c r="F182" s="4" t="s">
        <v>299</v>
      </c>
      <c r="G182" s="4" t="s">
        <v>300</v>
      </c>
      <c r="H182" s="4"/>
      <c r="I182" s="4" t="s">
        <v>56</v>
      </c>
      <c r="J182" s="4">
        <v>1</v>
      </c>
      <c r="K182" s="4">
        <v>1</v>
      </c>
      <c r="L182" s="4">
        <f>J182+K182</f>
        <v>0</v>
      </c>
      <c r="M182" s="4"/>
      <c r="N182" s="4"/>
      <c r="O182" s="4">
        <v>0</v>
      </c>
      <c r="P182" s="4"/>
      <c r="Q182" s="4"/>
      <c r="R182" s="7">
        <v>0</v>
      </c>
      <c r="S182" s="7">
        <v>0</v>
      </c>
      <c r="T182" s="7">
        <f>R182-S182</f>
        <v>0</v>
      </c>
      <c r="U182" s="7">
        <f>T182*O182</f>
        <v>0</v>
      </c>
    </row>
    <row r="183" spans="1:21">
      <c r="A183" s="4" t="s">
        <v>301</v>
      </c>
      <c r="B183" s="4" t="s">
        <v>48</v>
      </c>
      <c r="C183" s="5">
        <v>45909.74628472222</v>
      </c>
      <c r="D183" s="5">
        <v>45961</v>
      </c>
      <c r="E183" s="6">
        <f>IF(AND(C183&lt;&gt;"",D183&lt;&gt;""),D183-C183,"")</f>
        <v>0</v>
      </c>
      <c r="F183" s="4" t="s">
        <v>286</v>
      </c>
      <c r="G183" s="4" t="s">
        <v>287</v>
      </c>
      <c r="H183" s="4" t="s">
        <v>32</v>
      </c>
      <c r="I183" s="4" t="s">
        <v>33</v>
      </c>
      <c r="J183" s="4">
        <v>10</v>
      </c>
      <c r="K183" s="4">
        <v>0</v>
      </c>
      <c r="L183" s="4">
        <f>J183+K183</f>
        <v>0</v>
      </c>
      <c r="M183" s="4"/>
      <c r="N183" s="4"/>
      <c r="O183" s="4">
        <v>0</v>
      </c>
      <c r="P183" s="4"/>
      <c r="Q183" s="4"/>
      <c r="R183" s="7">
        <v>0</v>
      </c>
      <c r="S183" s="7">
        <v>0</v>
      </c>
      <c r="T183" s="7">
        <f>R183-S183</f>
        <v>0</v>
      </c>
      <c r="U183" s="7">
        <f>T183*O183</f>
        <v>0</v>
      </c>
    </row>
    <row r="184" spans="1:21">
      <c r="A184" s="4" t="s">
        <v>302</v>
      </c>
      <c r="B184" s="4" t="s">
        <v>29</v>
      </c>
      <c r="C184" s="5">
        <v>45909.76769675926</v>
      </c>
      <c r="D184" s="5">
        <v>45961</v>
      </c>
      <c r="E184" s="6">
        <f>IF(AND(C184&lt;&gt;"",D184&lt;&gt;""),D184-C184,"")</f>
        <v>0</v>
      </c>
      <c r="F184" s="4" t="s">
        <v>303</v>
      </c>
      <c r="G184" s="4" t="s">
        <v>304</v>
      </c>
      <c r="H184" s="4" t="s">
        <v>305</v>
      </c>
      <c r="I184" s="4" t="s">
        <v>56</v>
      </c>
      <c r="J184" s="4">
        <v>1</v>
      </c>
      <c r="K184" s="4">
        <v>2</v>
      </c>
      <c r="L184" s="4">
        <f>J184+K184</f>
        <v>0</v>
      </c>
      <c r="M184" s="4"/>
      <c r="N184" s="4"/>
      <c r="O184" s="4">
        <v>0</v>
      </c>
      <c r="P184" s="4"/>
      <c r="Q184" s="4"/>
      <c r="R184" s="7">
        <v>0</v>
      </c>
      <c r="S184" s="7">
        <v>0</v>
      </c>
      <c r="T184" s="7">
        <f>R184-S184</f>
        <v>0</v>
      </c>
      <c r="U184" s="7">
        <f>T184*O184</f>
        <v>0</v>
      </c>
    </row>
    <row r="185" spans="1:21">
      <c r="A185" s="4" t="s">
        <v>306</v>
      </c>
      <c r="B185" s="4" t="s">
        <v>29</v>
      </c>
      <c r="C185" s="5">
        <v>45909.83734953704</v>
      </c>
      <c r="D185" s="5">
        <v>45961</v>
      </c>
      <c r="E185" s="6">
        <f>IF(AND(C185&lt;&gt;"",D185&lt;&gt;""),D185-C185,"")</f>
        <v>0</v>
      </c>
      <c r="F185" s="4" t="s">
        <v>307</v>
      </c>
      <c r="G185" s="4" t="s">
        <v>308</v>
      </c>
      <c r="H185" s="4" t="s">
        <v>190</v>
      </c>
      <c r="I185" s="4" t="s">
        <v>56</v>
      </c>
      <c r="J185" s="4">
        <v>1</v>
      </c>
      <c r="K185" s="4">
        <v>0</v>
      </c>
      <c r="L185" s="4">
        <f>J185+K185</f>
        <v>0</v>
      </c>
      <c r="M185" s="4"/>
      <c r="N185" s="4"/>
      <c r="O185" s="4">
        <v>0</v>
      </c>
      <c r="P185" s="4"/>
      <c r="Q185" s="4"/>
      <c r="R185" s="7">
        <v>0</v>
      </c>
      <c r="S185" s="7">
        <v>0</v>
      </c>
      <c r="T185" s="7">
        <f>R185-S185</f>
        <v>0</v>
      </c>
      <c r="U185" s="7">
        <f>T185*O185</f>
        <v>0</v>
      </c>
    </row>
    <row r="186" spans="1:21">
      <c r="A186" s="4" t="s">
        <v>309</v>
      </c>
      <c r="B186" s="4" t="s">
        <v>29</v>
      </c>
      <c r="C186" s="5">
        <v>45909.83740740741</v>
      </c>
      <c r="D186" s="5">
        <v>45961</v>
      </c>
      <c r="E186" s="6">
        <f>IF(AND(C186&lt;&gt;"",D186&lt;&gt;""),D186-C186,"")</f>
        <v>0</v>
      </c>
      <c r="F186" s="4" t="s">
        <v>307</v>
      </c>
      <c r="G186" s="4" t="s">
        <v>308</v>
      </c>
      <c r="H186" s="4" t="s">
        <v>190</v>
      </c>
      <c r="I186" s="4" t="s">
        <v>56</v>
      </c>
      <c r="J186" s="4">
        <v>1</v>
      </c>
      <c r="K186" s="4">
        <v>0</v>
      </c>
      <c r="L186" s="4">
        <f>J186+K186</f>
        <v>0</v>
      </c>
      <c r="M186" s="4"/>
      <c r="N186" s="4"/>
      <c r="O186" s="4">
        <v>0</v>
      </c>
      <c r="P186" s="4"/>
      <c r="Q186" s="4"/>
      <c r="R186" s="7">
        <v>0</v>
      </c>
      <c r="S186" s="7">
        <v>0</v>
      </c>
      <c r="T186" s="7">
        <f>R186-S186</f>
        <v>0</v>
      </c>
      <c r="U186" s="7">
        <f>T186*O186</f>
        <v>0</v>
      </c>
    </row>
    <row r="187" spans="1:21">
      <c r="A187" s="4" t="s">
        <v>310</v>
      </c>
      <c r="B187" s="4" t="s">
        <v>48</v>
      </c>
      <c r="C187" s="5">
        <v>45909.92776620371</v>
      </c>
      <c r="D187" s="5">
        <v>45961</v>
      </c>
      <c r="E187" s="6">
        <f>IF(AND(C187&lt;&gt;"",D187&lt;&gt;""),D187-C187,"")</f>
        <v>0</v>
      </c>
      <c r="F187" s="4" t="s">
        <v>234</v>
      </c>
      <c r="G187" s="4" t="s">
        <v>235</v>
      </c>
      <c r="H187" s="4" t="s">
        <v>32</v>
      </c>
      <c r="I187" s="4" t="s">
        <v>33</v>
      </c>
      <c r="J187" s="4">
        <v>10</v>
      </c>
      <c r="K187" s="4">
        <v>0</v>
      </c>
      <c r="L187" s="4">
        <f>J187+K187</f>
        <v>0</v>
      </c>
      <c r="M187" s="4"/>
      <c r="N187" s="4"/>
      <c r="O187" s="4">
        <v>0</v>
      </c>
      <c r="P187" s="4"/>
      <c r="Q187" s="4"/>
      <c r="R187" s="7">
        <v>0</v>
      </c>
      <c r="S187" s="7">
        <v>0</v>
      </c>
      <c r="T187" s="7">
        <f>R187-S187</f>
        <v>0</v>
      </c>
      <c r="U187" s="7">
        <f>T187*O187</f>
        <v>0</v>
      </c>
    </row>
    <row r="188" spans="1:21">
      <c r="A188" s="4" t="s">
        <v>311</v>
      </c>
      <c r="B188" s="4" t="s">
        <v>48</v>
      </c>
      <c r="C188" s="5">
        <v>45909.93806712963</v>
      </c>
      <c r="D188" s="5">
        <v>45961</v>
      </c>
      <c r="E188" s="6">
        <f>IF(AND(C188&lt;&gt;"",D188&lt;&gt;""),D188-C188,"")</f>
        <v>0</v>
      </c>
      <c r="F188" s="4" t="s">
        <v>165</v>
      </c>
      <c r="G188" s="4" t="s">
        <v>65</v>
      </c>
      <c r="H188" s="4" t="s">
        <v>32</v>
      </c>
      <c r="I188" s="4" t="s">
        <v>33</v>
      </c>
      <c r="J188" s="4">
        <v>1</v>
      </c>
      <c r="K188" s="4">
        <v>0</v>
      </c>
      <c r="L188" s="4">
        <f>J188+K188</f>
        <v>0</v>
      </c>
      <c r="M188" s="4"/>
      <c r="N188" s="4"/>
      <c r="O188" s="4">
        <v>0</v>
      </c>
      <c r="P188" s="4"/>
      <c r="Q188" s="4"/>
      <c r="R188" s="7">
        <v>0</v>
      </c>
      <c r="S188" s="7">
        <v>0</v>
      </c>
      <c r="T188" s="7">
        <f>R188-S188</f>
        <v>0</v>
      </c>
      <c r="U188" s="7">
        <f>T188*O188</f>
        <v>0</v>
      </c>
    </row>
    <row r="189" spans="1:21">
      <c r="A189" s="4" t="s">
        <v>312</v>
      </c>
      <c r="B189" s="4" t="s">
        <v>39</v>
      </c>
      <c r="C189" s="5">
        <v>45910.24247685185</v>
      </c>
      <c r="D189" s="5">
        <v>45910</v>
      </c>
      <c r="E189" s="6">
        <f>IF(AND(C189&lt;&gt;"",D189&lt;&gt;""),D189-C189,"")</f>
        <v>0</v>
      </c>
      <c r="F189" s="4" t="s">
        <v>162</v>
      </c>
      <c r="G189" s="4" t="s">
        <v>163</v>
      </c>
      <c r="H189" s="4" t="s">
        <v>32</v>
      </c>
      <c r="I189" s="4" t="s">
        <v>33</v>
      </c>
      <c r="J189" s="4">
        <v>2</v>
      </c>
      <c r="K189" s="4">
        <v>0</v>
      </c>
      <c r="L189" s="4">
        <f>J189+K189</f>
        <v>0</v>
      </c>
      <c r="M189" s="4" t="s">
        <v>42</v>
      </c>
      <c r="N189" s="4"/>
      <c r="O189" s="4">
        <v>2</v>
      </c>
      <c r="P189" s="4" t="s">
        <v>135</v>
      </c>
      <c r="Q189" s="4" t="s">
        <v>44</v>
      </c>
      <c r="R189" s="7">
        <v>370000</v>
      </c>
      <c r="S189" s="7">
        <v>0</v>
      </c>
      <c r="T189" s="7">
        <f>R189-S189</f>
        <v>0</v>
      </c>
      <c r="U189" s="7">
        <f>T189*O189</f>
        <v>0</v>
      </c>
    </row>
    <row r="190" spans="1:21">
      <c r="A190" s="4" t="s">
        <v>312</v>
      </c>
      <c r="B190" s="4" t="s">
        <v>39</v>
      </c>
      <c r="C190" s="5">
        <v>45910.24247685185</v>
      </c>
      <c r="D190" s="5">
        <v>45910</v>
      </c>
      <c r="E190" s="6">
        <f>IF(AND(C190&lt;&gt;"",D190&lt;&gt;""),D190-C190,"")</f>
        <v>0</v>
      </c>
      <c r="F190" s="4" t="s">
        <v>162</v>
      </c>
      <c r="G190" s="4" t="s">
        <v>163</v>
      </c>
      <c r="H190" s="4" t="s">
        <v>32</v>
      </c>
      <c r="I190" s="4" t="s">
        <v>33</v>
      </c>
      <c r="J190" s="4">
        <v>0</v>
      </c>
      <c r="K190" s="4">
        <v>0</v>
      </c>
      <c r="L190" s="4">
        <f>J190+K190</f>
        <v>0</v>
      </c>
      <c r="M190" s="4" t="s">
        <v>45</v>
      </c>
      <c r="N190" s="4"/>
      <c r="O190" s="4">
        <v>1</v>
      </c>
      <c r="P190" s="4" t="s">
        <v>135</v>
      </c>
      <c r="Q190" s="4" t="s">
        <v>44</v>
      </c>
      <c r="R190" s="7">
        <v>500000</v>
      </c>
      <c r="S190" s="7">
        <v>0</v>
      </c>
      <c r="T190" s="7">
        <f>R190-S190</f>
        <v>0</v>
      </c>
      <c r="U190" s="7">
        <f>T190*O190</f>
        <v>0</v>
      </c>
    </row>
    <row r="191" spans="1:21">
      <c r="A191" s="4" t="s">
        <v>313</v>
      </c>
      <c r="B191" s="4" t="s">
        <v>39</v>
      </c>
      <c r="C191" s="5">
        <v>45910.25902777778</v>
      </c>
      <c r="D191" s="5">
        <v>45910</v>
      </c>
      <c r="E191" s="6">
        <f>IF(AND(C191&lt;&gt;"",D191&lt;&gt;""),D191-C191,"")</f>
        <v>0</v>
      </c>
      <c r="F191" s="4" t="s">
        <v>314</v>
      </c>
      <c r="G191" s="4" t="s">
        <v>315</v>
      </c>
      <c r="H191" s="4" t="s">
        <v>32</v>
      </c>
      <c r="I191" s="4" t="s">
        <v>33</v>
      </c>
      <c r="J191" s="4">
        <v>0</v>
      </c>
      <c r="K191" s="4">
        <v>1</v>
      </c>
      <c r="L191" s="4">
        <f>J191+K191</f>
        <v>0</v>
      </c>
      <c r="M191" s="4" t="s">
        <v>46</v>
      </c>
      <c r="N191" s="4"/>
      <c r="O191" s="4">
        <v>1</v>
      </c>
      <c r="P191" s="4" t="s">
        <v>135</v>
      </c>
      <c r="Q191" s="4"/>
      <c r="R191" s="7">
        <v>325000</v>
      </c>
      <c r="S191" s="7">
        <v>0</v>
      </c>
      <c r="T191" s="7">
        <f>R191-S191</f>
        <v>0</v>
      </c>
      <c r="U191" s="7">
        <f>T191*O191</f>
        <v>0</v>
      </c>
    </row>
    <row r="192" spans="1:21">
      <c r="A192" s="4" t="s">
        <v>313</v>
      </c>
      <c r="B192" s="4" t="s">
        <v>39</v>
      </c>
      <c r="C192" s="5">
        <v>45910.25902777778</v>
      </c>
      <c r="D192" s="5">
        <v>45910</v>
      </c>
      <c r="E192" s="6">
        <f>IF(AND(C192&lt;&gt;"",D192&lt;&gt;""),D192-C192,"")</f>
        <v>0</v>
      </c>
      <c r="F192" s="4" t="s">
        <v>314</v>
      </c>
      <c r="G192" s="4" t="s">
        <v>315</v>
      </c>
      <c r="H192" s="4" t="s">
        <v>32</v>
      </c>
      <c r="I192" s="4" t="s">
        <v>33</v>
      </c>
      <c r="J192" s="4">
        <v>2</v>
      </c>
      <c r="K192" s="4">
        <v>0</v>
      </c>
      <c r="L192" s="4">
        <f>J192+K192</f>
        <v>0</v>
      </c>
      <c r="M192" s="4" t="s">
        <v>42</v>
      </c>
      <c r="N192" s="4"/>
      <c r="O192" s="4">
        <v>2</v>
      </c>
      <c r="P192" s="4" t="s">
        <v>135</v>
      </c>
      <c r="Q192" s="4"/>
      <c r="R192" s="7">
        <v>370000</v>
      </c>
      <c r="S192" s="7">
        <v>0</v>
      </c>
      <c r="T192" s="7">
        <f>R192-S192</f>
        <v>0</v>
      </c>
      <c r="U192" s="7">
        <f>T192*O192</f>
        <v>0</v>
      </c>
    </row>
    <row r="193" spans="1:21">
      <c r="A193" s="4" t="s">
        <v>316</v>
      </c>
      <c r="B193" s="4" t="s">
        <v>39</v>
      </c>
      <c r="C193" s="5">
        <v>45910.26822916666</v>
      </c>
      <c r="D193" s="5">
        <v>45910</v>
      </c>
      <c r="E193" s="6">
        <f>IF(AND(C193&lt;&gt;"",D193&lt;&gt;""),D193-C193,"")</f>
        <v>0</v>
      </c>
      <c r="F193" s="4" t="s">
        <v>317</v>
      </c>
      <c r="G193" s="4" t="s">
        <v>318</v>
      </c>
      <c r="H193" s="4" t="s">
        <v>319</v>
      </c>
      <c r="I193" s="4" t="s">
        <v>56</v>
      </c>
      <c r="J193" s="4">
        <v>1</v>
      </c>
      <c r="K193" s="4">
        <v>0</v>
      </c>
      <c r="L193" s="4">
        <f>J193+K193</f>
        <v>0</v>
      </c>
      <c r="M193" s="4" t="s">
        <v>42</v>
      </c>
      <c r="N193" s="4"/>
      <c r="O193" s="4">
        <v>1</v>
      </c>
      <c r="P193" s="4" t="s">
        <v>43</v>
      </c>
      <c r="Q193" s="4"/>
      <c r="R193" s="7">
        <v>370000</v>
      </c>
      <c r="S193" s="7">
        <v>0</v>
      </c>
      <c r="T193" s="7">
        <f>R193-S193</f>
        <v>0</v>
      </c>
      <c r="U193" s="7">
        <f>T193*O193</f>
        <v>0</v>
      </c>
    </row>
    <row r="194" spans="1:21">
      <c r="A194" s="4" t="s">
        <v>320</v>
      </c>
      <c r="B194" s="4" t="s">
        <v>39</v>
      </c>
      <c r="C194" s="5">
        <v>45910.27422453704</v>
      </c>
      <c r="D194" s="5">
        <v>45910</v>
      </c>
      <c r="E194" s="6">
        <f>IF(AND(C194&lt;&gt;"",D194&lt;&gt;""),D194-C194,"")</f>
        <v>0</v>
      </c>
      <c r="F194" s="4" t="s">
        <v>321</v>
      </c>
      <c r="G194" s="4"/>
      <c r="H194" s="4" t="s">
        <v>32</v>
      </c>
      <c r="I194" s="4" t="s">
        <v>33</v>
      </c>
      <c r="J194" s="4">
        <v>0</v>
      </c>
      <c r="K194" s="4">
        <v>1</v>
      </c>
      <c r="L194" s="4">
        <f>J194+K194</f>
        <v>0</v>
      </c>
      <c r="M194" s="4" t="s">
        <v>81</v>
      </c>
      <c r="N194" s="4"/>
      <c r="O194" s="4">
        <v>1</v>
      </c>
      <c r="P194" s="4" t="s">
        <v>135</v>
      </c>
      <c r="Q194" s="4"/>
      <c r="R194" s="7">
        <v>495000</v>
      </c>
      <c r="S194" s="7">
        <v>0</v>
      </c>
      <c r="T194" s="7">
        <f>R194-S194</f>
        <v>0</v>
      </c>
      <c r="U194" s="7">
        <f>T194*O194</f>
        <v>0</v>
      </c>
    </row>
    <row r="195" spans="1:21">
      <c r="A195" s="4" t="s">
        <v>320</v>
      </c>
      <c r="B195" s="4" t="s">
        <v>39</v>
      </c>
      <c r="C195" s="5">
        <v>45910.27422453704</v>
      </c>
      <c r="D195" s="5">
        <v>45910</v>
      </c>
      <c r="E195" s="6">
        <f>IF(AND(C195&lt;&gt;"",D195&lt;&gt;""),D195-C195,"")</f>
        <v>0</v>
      </c>
      <c r="F195" s="4" t="s">
        <v>321</v>
      </c>
      <c r="G195" s="4"/>
      <c r="H195" s="4" t="s">
        <v>32</v>
      </c>
      <c r="I195" s="4" t="s">
        <v>33</v>
      </c>
      <c r="J195" s="4">
        <v>1</v>
      </c>
      <c r="K195" s="4">
        <v>0</v>
      </c>
      <c r="L195" s="4">
        <f>J195+K195</f>
        <v>0</v>
      </c>
      <c r="M195" s="4" t="s">
        <v>42</v>
      </c>
      <c r="N195" s="4"/>
      <c r="O195" s="4">
        <v>1</v>
      </c>
      <c r="P195" s="4" t="s">
        <v>135</v>
      </c>
      <c r="Q195" s="4"/>
      <c r="R195" s="7">
        <v>370000</v>
      </c>
      <c r="S195" s="7">
        <v>0</v>
      </c>
      <c r="T195" s="7">
        <f>R195-S195</f>
        <v>0</v>
      </c>
      <c r="U195" s="7">
        <f>T195*O195</f>
        <v>0</v>
      </c>
    </row>
    <row r="196" spans="1:21">
      <c r="A196" s="4" t="s">
        <v>322</v>
      </c>
      <c r="B196" s="4" t="s">
        <v>39</v>
      </c>
      <c r="C196" s="5">
        <v>45910.27770833333</v>
      </c>
      <c r="D196" s="5">
        <v>45910</v>
      </c>
      <c r="E196" s="6">
        <f>IF(AND(C196&lt;&gt;"",D196&lt;&gt;""),D196-C196,"")</f>
        <v>0</v>
      </c>
      <c r="F196" s="4" t="s">
        <v>78</v>
      </c>
      <c r="G196" s="4" t="s">
        <v>79</v>
      </c>
      <c r="H196" s="4"/>
      <c r="I196" s="4" t="s">
        <v>56</v>
      </c>
      <c r="J196" s="4">
        <v>0</v>
      </c>
      <c r="K196" s="4">
        <v>1</v>
      </c>
      <c r="L196" s="4">
        <f>J196+K196</f>
        <v>0</v>
      </c>
      <c r="M196" s="4" t="s">
        <v>81</v>
      </c>
      <c r="N196" s="4"/>
      <c r="O196" s="4">
        <v>1</v>
      </c>
      <c r="P196" s="4" t="s">
        <v>135</v>
      </c>
      <c r="Q196" s="4"/>
      <c r="R196" s="7">
        <v>495000</v>
      </c>
      <c r="S196" s="7">
        <v>0</v>
      </c>
      <c r="T196" s="7">
        <f>R196-S196</f>
        <v>0</v>
      </c>
      <c r="U196" s="7">
        <f>T196*O196</f>
        <v>0</v>
      </c>
    </row>
    <row r="197" spans="1:21">
      <c r="A197" s="4" t="s">
        <v>323</v>
      </c>
      <c r="B197" s="4" t="s">
        <v>39</v>
      </c>
      <c r="C197" s="5">
        <v>45910.28217592592</v>
      </c>
      <c r="D197" s="5">
        <v>45910</v>
      </c>
      <c r="E197" s="6">
        <f>IF(AND(C197&lt;&gt;"",D197&lt;&gt;""),D197-C197,"")</f>
        <v>0</v>
      </c>
      <c r="F197" s="4" t="s">
        <v>324</v>
      </c>
      <c r="G197" s="4" t="s">
        <v>325</v>
      </c>
      <c r="H197" s="4" t="s">
        <v>32</v>
      </c>
      <c r="I197" s="4" t="s">
        <v>33</v>
      </c>
      <c r="J197" s="4">
        <v>0</v>
      </c>
      <c r="K197" s="4">
        <v>0</v>
      </c>
      <c r="L197" s="4">
        <f>J197+K197</f>
        <v>0</v>
      </c>
      <c r="M197" s="4" t="s">
        <v>45</v>
      </c>
      <c r="N197" s="4"/>
      <c r="O197" s="4">
        <v>1</v>
      </c>
      <c r="P197" s="4" t="s">
        <v>43</v>
      </c>
      <c r="Q197" s="4" t="s">
        <v>44</v>
      </c>
      <c r="R197" s="7">
        <v>500000</v>
      </c>
      <c r="S197" s="7">
        <v>0</v>
      </c>
      <c r="T197" s="7">
        <f>R197-S197</f>
        <v>0</v>
      </c>
      <c r="U197" s="7">
        <f>T197*O197</f>
        <v>0</v>
      </c>
    </row>
    <row r="198" spans="1:21">
      <c r="A198" s="4" t="s">
        <v>326</v>
      </c>
      <c r="B198" s="4" t="s">
        <v>39</v>
      </c>
      <c r="C198" s="5">
        <v>45910.33005787037</v>
      </c>
      <c r="D198" s="5">
        <v>45910</v>
      </c>
      <c r="E198" s="6">
        <f>IF(AND(C198&lt;&gt;"",D198&lt;&gt;""),D198-C198,"")</f>
        <v>0</v>
      </c>
      <c r="F198" s="4" t="s">
        <v>327</v>
      </c>
      <c r="G198" s="4" t="s">
        <v>328</v>
      </c>
      <c r="H198" s="4" t="s">
        <v>32</v>
      </c>
      <c r="I198" s="4" t="s">
        <v>33</v>
      </c>
      <c r="J198" s="4">
        <v>0</v>
      </c>
      <c r="K198" s="4">
        <v>1</v>
      </c>
      <c r="L198" s="4">
        <f>J198+K198</f>
        <v>0</v>
      </c>
      <c r="M198" s="4" t="s">
        <v>46</v>
      </c>
      <c r="N198" s="4"/>
      <c r="O198" s="4">
        <v>1</v>
      </c>
      <c r="P198" s="4" t="s">
        <v>135</v>
      </c>
      <c r="Q198" s="4"/>
      <c r="R198" s="7">
        <v>325000</v>
      </c>
      <c r="S198" s="7">
        <v>0</v>
      </c>
      <c r="T198" s="7">
        <f>R198-S198</f>
        <v>0</v>
      </c>
      <c r="U198" s="7">
        <f>T198*O198</f>
        <v>0</v>
      </c>
    </row>
    <row r="199" spans="1:21">
      <c r="A199" s="4" t="s">
        <v>326</v>
      </c>
      <c r="B199" s="4" t="s">
        <v>39</v>
      </c>
      <c r="C199" s="5">
        <v>45910.33005787037</v>
      </c>
      <c r="D199" s="5">
        <v>45910</v>
      </c>
      <c r="E199" s="6">
        <f>IF(AND(C199&lt;&gt;"",D199&lt;&gt;""),D199-C199,"")</f>
        <v>0</v>
      </c>
      <c r="F199" s="4" t="s">
        <v>327</v>
      </c>
      <c r="G199" s="4" t="s">
        <v>328</v>
      </c>
      <c r="H199" s="4" t="s">
        <v>32</v>
      </c>
      <c r="I199" s="4" t="s">
        <v>33</v>
      </c>
      <c r="J199" s="4">
        <v>1</v>
      </c>
      <c r="K199" s="4">
        <v>0</v>
      </c>
      <c r="L199" s="4">
        <f>J199+K199</f>
        <v>0</v>
      </c>
      <c r="M199" s="4" t="s">
        <v>42</v>
      </c>
      <c r="N199" s="4"/>
      <c r="O199" s="4">
        <v>1</v>
      </c>
      <c r="P199" s="4" t="s">
        <v>135</v>
      </c>
      <c r="Q199" s="4"/>
      <c r="R199" s="7">
        <v>370000</v>
      </c>
      <c r="S199" s="7">
        <v>0</v>
      </c>
      <c r="T199" s="7">
        <f>R199-S199</f>
        <v>0</v>
      </c>
      <c r="U199" s="7">
        <f>T199*O199</f>
        <v>0</v>
      </c>
    </row>
    <row r="200" spans="1:21">
      <c r="A200" s="4" t="s">
        <v>326</v>
      </c>
      <c r="B200" s="4" t="s">
        <v>39</v>
      </c>
      <c r="C200" s="5">
        <v>45910.33005787037</v>
      </c>
      <c r="D200" s="5">
        <v>45910</v>
      </c>
      <c r="E200" s="6">
        <f>IF(AND(C200&lt;&gt;"",D200&lt;&gt;""),D200-C200,"")</f>
        <v>0</v>
      </c>
      <c r="F200" s="4" t="s">
        <v>327</v>
      </c>
      <c r="G200" s="4" t="s">
        <v>328</v>
      </c>
      <c r="H200" s="4" t="s">
        <v>32</v>
      </c>
      <c r="I200" s="4" t="s">
        <v>33</v>
      </c>
      <c r="J200" s="4">
        <v>0</v>
      </c>
      <c r="K200" s="4">
        <v>1</v>
      </c>
      <c r="L200" s="4">
        <f>J200+K200</f>
        <v>0</v>
      </c>
      <c r="M200" s="4" t="s">
        <v>46</v>
      </c>
      <c r="N200" s="4"/>
      <c r="O200" s="4">
        <v>1</v>
      </c>
      <c r="P200" s="4" t="s">
        <v>135</v>
      </c>
      <c r="Q200" s="4"/>
      <c r="R200" s="7">
        <v>325000</v>
      </c>
      <c r="S200" s="7">
        <v>0</v>
      </c>
      <c r="T200" s="7">
        <f>R200-S200</f>
        <v>0</v>
      </c>
      <c r="U200" s="7">
        <f>T200*O200</f>
        <v>0</v>
      </c>
    </row>
    <row r="201" spans="1:21">
      <c r="A201" s="4" t="s">
        <v>326</v>
      </c>
      <c r="B201" s="4" t="s">
        <v>39</v>
      </c>
      <c r="C201" s="5">
        <v>45910.33005787037</v>
      </c>
      <c r="D201" s="5">
        <v>45910</v>
      </c>
      <c r="E201" s="6">
        <f>IF(AND(C201&lt;&gt;"",D201&lt;&gt;""),D201-C201,"")</f>
        <v>0</v>
      </c>
      <c r="F201" s="4" t="s">
        <v>327</v>
      </c>
      <c r="G201" s="4" t="s">
        <v>328</v>
      </c>
      <c r="H201" s="4" t="s">
        <v>32</v>
      </c>
      <c r="I201" s="4" t="s">
        <v>33</v>
      </c>
      <c r="J201" s="4">
        <v>1</v>
      </c>
      <c r="K201" s="4">
        <v>0</v>
      </c>
      <c r="L201" s="4">
        <f>J201+K201</f>
        <v>0</v>
      </c>
      <c r="M201" s="4" t="s">
        <v>42</v>
      </c>
      <c r="N201" s="4"/>
      <c r="O201" s="4">
        <v>1</v>
      </c>
      <c r="P201" s="4" t="s">
        <v>135</v>
      </c>
      <c r="Q201" s="4"/>
      <c r="R201" s="7">
        <v>370000</v>
      </c>
      <c r="S201" s="7">
        <v>0</v>
      </c>
      <c r="T201" s="7">
        <f>R201-S201</f>
        <v>0</v>
      </c>
      <c r="U201" s="7">
        <f>T201*O201</f>
        <v>0</v>
      </c>
    </row>
    <row r="202" spans="1:21">
      <c r="A202" s="4" t="s">
        <v>329</v>
      </c>
      <c r="B202" s="4" t="s">
        <v>39</v>
      </c>
      <c r="C202" s="5">
        <v>45910.33553240741</v>
      </c>
      <c r="D202" s="5">
        <v>45910</v>
      </c>
      <c r="E202" s="6">
        <f>IF(AND(C202&lt;&gt;"",D202&lt;&gt;""),D202-C202,"")</f>
        <v>0</v>
      </c>
      <c r="F202" s="4" t="s">
        <v>327</v>
      </c>
      <c r="G202" s="4" t="s">
        <v>328</v>
      </c>
      <c r="H202" s="4" t="s">
        <v>32</v>
      </c>
      <c r="I202" s="4" t="s">
        <v>33</v>
      </c>
      <c r="J202" s="4">
        <v>0</v>
      </c>
      <c r="K202" s="4">
        <v>0</v>
      </c>
      <c r="L202" s="4">
        <f>J202+K202</f>
        <v>0</v>
      </c>
      <c r="M202" s="4" t="s">
        <v>45</v>
      </c>
      <c r="N202" s="4"/>
      <c r="O202" s="4">
        <v>1</v>
      </c>
      <c r="P202" s="4" t="s">
        <v>135</v>
      </c>
      <c r="Q202" s="4" t="s">
        <v>44</v>
      </c>
      <c r="R202" s="7">
        <v>100000</v>
      </c>
      <c r="S202" s="7">
        <v>0</v>
      </c>
      <c r="T202" s="7">
        <f>R202-S202</f>
        <v>0</v>
      </c>
      <c r="U202" s="7">
        <f>T202*O202</f>
        <v>0</v>
      </c>
    </row>
    <row r="203" spans="1:21">
      <c r="A203" s="4" t="s">
        <v>329</v>
      </c>
      <c r="B203" s="4" t="s">
        <v>39</v>
      </c>
      <c r="C203" s="5">
        <v>45910.33553240741</v>
      </c>
      <c r="D203" s="5">
        <v>45910</v>
      </c>
      <c r="E203" s="6">
        <f>IF(AND(C203&lt;&gt;"",D203&lt;&gt;""),D203-C203,"")</f>
        <v>0</v>
      </c>
      <c r="F203" s="4" t="s">
        <v>327</v>
      </c>
      <c r="G203" s="4" t="s">
        <v>328</v>
      </c>
      <c r="H203" s="4" t="s">
        <v>32</v>
      </c>
      <c r="I203" s="4" t="s">
        <v>33</v>
      </c>
      <c r="J203" s="4">
        <v>1</v>
      </c>
      <c r="K203" s="4">
        <v>0</v>
      </c>
      <c r="L203" s="4">
        <f>J203+K203</f>
        <v>0</v>
      </c>
      <c r="M203" s="4" t="s">
        <v>42</v>
      </c>
      <c r="N203" s="4"/>
      <c r="O203" s="4">
        <v>1</v>
      </c>
      <c r="P203" s="4" t="s">
        <v>135</v>
      </c>
      <c r="Q203" s="4" t="s">
        <v>44</v>
      </c>
      <c r="R203" s="7">
        <v>370000</v>
      </c>
      <c r="S203" s="7">
        <v>0</v>
      </c>
      <c r="T203" s="7">
        <f>R203-S203</f>
        <v>0</v>
      </c>
      <c r="U203" s="7">
        <f>T203*O203</f>
        <v>0</v>
      </c>
    </row>
    <row r="204" spans="1:21">
      <c r="A204" s="4" t="s">
        <v>329</v>
      </c>
      <c r="B204" s="4" t="s">
        <v>39</v>
      </c>
      <c r="C204" s="5">
        <v>45910.33553240741</v>
      </c>
      <c r="D204" s="5">
        <v>45910</v>
      </c>
      <c r="E204" s="6">
        <f>IF(AND(C204&lt;&gt;"",D204&lt;&gt;""),D204-C204,"")</f>
        <v>0</v>
      </c>
      <c r="F204" s="4" t="s">
        <v>327</v>
      </c>
      <c r="G204" s="4" t="s">
        <v>328</v>
      </c>
      <c r="H204" s="4" t="s">
        <v>32</v>
      </c>
      <c r="I204" s="4" t="s">
        <v>33</v>
      </c>
      <c r="J204" s="4">
        <v>0</v>
      </c>
      <c r="K204" s="4">
        <v>-1</v>
      </c>
      <c r="L204" s="4">
        <f>J204+K204</f>
        <v>0</v>
      </c>
      <c r="M204" s="4" t="s">
        <v>46</v>
      </c>
      <c r="N204" s="4"/>
      <c r="O204" s="4">
        <v>-1</v>
      </c>
      <c r="P204" s="4" t="s">
        <v>135</v>
      </c>
      <c r="Q204" s="4" t="s">
        <v>44</v>
      </c>
      <c r="R204" s="7">
        <v>325000</v>
      </c>
      <c r="S204" s="7">
        <v>0</v>
      </c>
      <c r="T204" s="7">
        <f>R204-S204</f>
        <v>0</v>
      </c>
      <c r="U204" s="7">
        <f>T204*O204</f>
        <v>0</v>
      </c>
    </row>
    <row r="205" spans="1:21">
      <c r="A205" s="4" t="s">
        <v>330</v>
      </c>
      <c r="B205" s="4" t="s">
        <v>39</v>
      </c>
      <c r="C205" s="5">
        <v>45910.33883101852</v>
      </c>
      <c r="D205" s="5">
        <v>45910</v>
      </c>
      <c r="E205" s="6">
        <f>IF(AND(C205&lt;&gt;"",D205&lt;&gt;""),D205-C205,"")</f>
        <v>0</v>
      </c>
      <c r="F205" s="4" t="s">
        <v>327</v>
      </c>
      <c r="G205" s="4" t="s">
        <v>328</v>
      </c>
      <c r="H205" s="4" t="s">
        <v>32</v>
      </c>
      <c r="I205" s="4" t="s">
        <v>33</v>
      </c>
      <c r="J205" s="4">
        <v>0</v>
      </c>
      <c r="K205" s="4">
        <v>0</v>
      </c>
      <c r="L205" s="4">
        <f>J205+K205</f>
        <v>0</v>
      </c>
      <c r="M205" s="4" t="s">
        <v>45</v>
      </c>
      <c r="N205" s="4"/>
      <c r="O205" s="4">
        <v>1</v>
      </c>
      <c r="P205" s="4" t="s">
        <v>135</v>
      </c>
      <c r="Q205" s="4" t="s">
        <v>44</v>
      </c>
      <c r="R205" s="7">
        <v>45000</v>
      </c>
      <c r="S205" s="7">
        <v>0</v>
      </c>
      <c r="T205" s="7">
        <f>R205-S205</f>
        <v>0</v>
      </c>
      <c r="U205" s="7">
        <f>T205*O205</f>
        <v>0</v>
      </c>
    </row>
    <row r="206" spans="1:21">
      <c r="A206" s="4" t="s">
        <v>330</v>
      </c>
      <c r="B206" s="4" t="s">
        <v>39</v>
      </c>
      <c r="C206" s="5">
        <v>45910.33883101852</v>
      </c>
      <c r="D206" s="5">
        <v>45910</v>
      </c>
      <c r="E206" s="6">
        <f>IF(AND(C206&lt;&gt;"",D206&lt;&gt;""),D206-C206,"")</f>
        <v>0</v>
      </c>
      <c r="F206" s="4" t="s">
        <v>327</v>
      </c>
      <c r="G206" s="4" t="s">
        <v>328</v>
      </c>
      <c r="H206" s="4" t="s">
        <v>32</v>
      </c>
      <c r="I206" s="4" t="s">
        <v>33</v>
      </c>
      <c r="J206" s="4">
        <v>-1</v>
      </c>
      <c r="K206" s="4">
        <v>0</v>
      </c>
      <c r="L206" s="4">
        <f>J206+K206</f>
        <v>0</v>
      </c>
      <c r="M206" s="4" t="s">
        <v>42</v>
      </c>
      <c r="N206" s="4"/>
      <c r="O206" s="4">
        <v>-1</v>
      </c>
      <c r="P206" s="4" t="s">
        <v>135</v>
      </c>
      <c r="Q206" s="4" t="s">
        <v>44</v>
      </c>
      <c r="R206" s="7">
        <v>370000</v>
      </c>
      <c r="S206" s="7">
        <v>0</v>
      </c>
      <c r="T206" s="7">
        <f>R206-S206</f>
        <v>0</v>
      </c>
      <c r="U206" s="7">
        <f>T206*O206</f>
        <v>0</v>
      </c>
    </row>
    <row r="207" spans="1:21">
      <c r="A207" s="4" t="s">
        <v>330</v>
      </c>
      <c r="B207" s="4" t="s">
        <v>39</v>
      </c>
      <c r="C207" s="5">
        <v>45910.33883101852</v>
      </c>
      <c r="D207" s="5">
        <v>45910</v>
      </c>
      <c r="E207" s="6">
        <f>IF(AND(C207&lt;&gt;"",D207&lt;&gt;""),D207-C207,"")</f>
        <v>0</v>
      </c>
      <c r="F207" s="4" t="s">
        <v>327</v>
      </c>
      <c r="G207" s="4" t="s">
        <v>328</v>
      </c>
      <c r="H207" s="4" t="s">
        <v>32</v>
      </c>
      <c r="I207" s="4" t="s">
        <v>33</v>
      </c>
      <c r="J207" s="4">
        <v>0</v>
      </c>
      <c r="K207" s="4">
        <v>1</v>
      </c>
      <c r="L207" s="4">
        <f>J207+K207</f>
        <v>0</v>
      </c>
      <c r="M207" s="4" t="s">
        <v>46</v>
      </c>
      <c r="N207" s="4"/>
      <c r="O207" s="4">
        <v>1</v>
      </c>
      <c r="P207" s="4" t="s">
        <v>135</v>
      </c>
      <c r="Q207" s="4" t="s">
        <v>44</v>
      </c>
      <c r="R207" s="7">
        <v>325000</v>
      </c>
      <c r="S207" s="7">
        <v>0</v>
      </c>
      <c r="T207" s="7">
        <f>R207-S207</f>
        <v>0</v>
      </c>
      <c r="U207" s="7">
        <f>T207*O207</f>
        <v>0</v>
      </c>
    </row>
    <row r="208" spans="1:21">
      <c r="A208" s="4" t="s">
        <v>331</v>
      </c>
      <c r="B208" s="4" t="s">
        <v>39</v>
      </c>
      <c r="C208" s="5">
        <v>45910.35707175926</v>
      </c>
      <c r="D208" s="5">
        <v>45910</v>
      </c>
      <c r="E208" s="6">
        <f>IF(AND(C208&lt;&gt;"",D208&lt;&gt;""),D208-C208,"")</f>
        <v>0</v>
      </c>
      <c r="F208" s="4" t="s">
        <v>175</v>
      </c>
      <c r="G208" s="4" t="s">
        <v>176</v>
      </c>
      <c r="H208" s="4" t="s">
        <v>177</v>
      </c>
      <c r="I208" s="4" t="s">
        <v>56</v>
      </c>
      <c r="J208" s="4">
        <v>0</v>
      </c>
      <c r="K208" s="4">
        <v>0</v>
      </c>
      <c r="L208" s="4">
        <f>J208+K208</f>
        <v>0</v>
      </c>
      <c r="M208" s="4" t="s">
        <v>45</v>
      </c>
      <c r="N208" s="4"/>
      <c r="O208" s="4">
        <v>1</v>
      </c>
      <c r="P208" s="4" t="s">
        <v>135</v>
      </c>
      <c r="Q208" s="4" t="s">
        <v>178</v>
      </c>
      <c r="R208" s="7">
        <v>1000000</v>
      </c>
      <c r="S208" s="7">
        <v>0</v>
      </c>
      <c r="T208" s="7">
        <f>R208-S208</f>
        <v>0</v>
      </c>
      <c r="U208" s="7">
        <f>T208*O208</f>
        <v>0</v>
      </c>
    </row>
    <row r="209" spans="1:21">
      <c r="A209" s="4" t="s">
        <v>332</v>
      </c>
      <c r="B209" s="4" t="s">
        <v>39</v>
      </c>
      <c r="C209" s="5">
        <v>45910.36096064815</v>
      </c>
      <c r="D209" s="5">
        <v>45910</v>
      </c>
      <c r="E209" s="6">
        <f>IF(AND(C209&lt;&gt;"",D209&lt;&gt;""),D209-C209,"")</f>
        <v>0</v>
      </c>
      <c r="F209" s="4" t="s">
        <v>87</v>
      </c>
      <c r="G209" s="4"/>
      <c r="H209" s="4" t="s">
        <v>32</v>
      </c>
      <c r="I209" s="4" t="s">
        <v>33</v>
      </c>
      <c r="J209" s="4">
        <v>0</v>
      </c>
      <c r="K209" s="4">
        <v>0</v>
      </c>
      <c r="L209" s="4">
        <f>J209+K209</f>
        <v>0</v>
      </c>
      <c r="M209" s="4" t="s">
        <v>45</v>
      </c>
      <c r="N209" s="4"/>
      <c r="O209" s="4">
        <v>1</v>
      </c>
      <c r="P209" s="4" t="s">
        <v>135</v>
      </c>
      <c r="Q209" s="4" t="s">
        <v>44</v>
      </c>
      <c r="R209" s="7">
        <v>500000</v>
      </c>
      <c r="S209" s="7">
        <v>0</v>
      </c>
      <c r="T209" s="7">
        <f>R209-S209</f>
        <v>0</v>
      </c>
      <c r="U209" s="7">
        <f>T209*O209</f>
        <v>0</v>
      </c>
    </row>
    <row r="210" spans="1:21">
      <c r="A210" s="4" t="s">
        <v>332</v>
      </c>
      <c r="B210" s="4" t="s">
        <v>39</v>
      </c>
      <c r="C210" s="5">
        <v>45910.36096064815</v>
      </c>
      <c r="D210" s="5">
        <v>45910</v>
      </c>
      <c r="E210" s="6">
        <f>IF(AND(C210&lt;&gt;"",D210&lt;&gt;""),D210-C210,"")</f>
        <v>0</v>
      </c>
      <c r="F210" s="4" t="s">
        <v>87</v>
      </c>
      <c r="G210" s="4"/>
      <c r="H210" s="4" t="s">
        <v>32</v>
      </c>
      <c r="I210" s="4" t="s">
        <v>33</v>
      </c>
      <c r="J210" s="4">
        <v>2</v>
      </c>
      <c r="K210" s="4">
        <v>0</v>
      </c>
      <c r="L210" s="4">
        <f>J210+K210</f>
        <v>0</v>
      </c>
      <c r="M210" s="4" t="s">
        <v>42</v>
      </c>
      <c r="N210" s="4"/>
      <c r="O210" s="4">
        <v>2</v>
      </c>
      <c r="P210" s="4" t="s">
        <v>135</v>
      </c>
      <c r="Q210" s="4" t="s">
        <v>44</v>
      </c>
      <c r="R210" s="7">
        <v>370000</v>
      </c>
      <c r="S210" s="7">
        <v>0</v>
      </c>
      <c r="T210" s="7">
        <f>R210-S210</f>
        <v>0</v>
      </c>
      <c r="U210" s="7">
        <f>T210*O210</f>
        <v>0</v>
      </c>
    </row>
    <row r="211" spans="1:21">
      <c r="A211" s="4" t="s">
        <v>333</v>
      </c>
      <c r="B211" s="4" t="s">
        <v>39</v>
      </c>
      <c r="C211" s="5">
        <v>45910.36319444444</v>
      </c>
      <c r="D211" s="5">
        <v>45910</v>
      </c>
      <c r="E211" s="6">
        <f>IF(AND(C211&lt;&gt;"",D211&lt;&gt;""),D211-C211,"")</f>
        <v>0</v>
      </c>
      <c r="F211" s="4" t="s">
        <v>175</v>
      </c>
      <c r="G211" s="4" t="s">
        <v>176</v>
      </c>
      <c r="H211" s="4" t="s">
        <v>177</v>
      </c>
      <c r="I211" s="4" t="s">
        <v>56</v>
      </c>
      <c r="J211" s="4">
        <v>2</v>
      </c>
      <c r="K211" s="4">
        <v>0</v>
      </c>
      <c r="L211" s="4">
        <f>J211+K211</f>
        <v>0</v>
      </c>
      <c r="M211" s="4" t="s">
        <v>42</v>
      </c>
      <c r="N211" s="4"/>
      <c r="O211" s="4">
        <v>2</v>
      </c>
      <c r="P211" s="4" t="s">
        <v>135</v>
      </c>
      <c r="Q211" s="4" t="s">
        <v>178</v>
      </c>
      <c r="R211" s="7">
        <v>370000</v>
      </c>
      <c r="S211" s="7">
        <v>0</v>
      </c>
      <c r="T211" s="7">
        <f>R211-S211</f>
        <v>0</v>
      </c>
      <c r="U211" s="7">
        <f>T211*O211</f>
        <v>0</v>
      </c>
    </row>
    <row r="212" spans="1:21">
      <c r="A212" s="4" t="s">
        <v>333</v>
      </c>
      <c r="B212" s="4" t="s">
        <v>39</v>
      </c>
      <c r="C212" s="5">
        <v>45910.36319444444</v>
      </c>
      <c r="D212" s="5">
        <v>45910</v>
      </c>
      <c r="E212" s="6">
        <f>IF(AND(C212&lt;&gt;"",D212&lt;&gt;""),D212-C212,"")</f>
        <v>0</v>
      </c>
      <c r="F212" s="4" t="s">
        <v>175</v>
      </c>
      <c r="G212" s="4" t="s">
        <v>176</v>
      </c>
      <c r="H212" s="4" t="s">
        <v>177</v>
      </c>
      <c r="I212" s="4" t="s">
        <v>56</v>
      </c>
      <c r="J212" s="4">
        <v>0</v>
      </c>
      <c r="K212" s="4">
        <v>0</v>
      </c>
      <c r="L212" s="4">
        <f>J212+K212</f>
        <v>0</v>
      </c>
      <c r="M212" s="4" t="s">
        <v>45</v>
      </c>
      <c r="N212" s="4"/>
      <c r="O212" s="4">
        <v>1</v>
      </c>
      <c r="P212" s="4" t="s">
        <v>135</v>
      </c>
      <c r="Q212" s="4" t="s">
        <v>178</v>
      </c>
      <c r="R212" s="7">
        <v>500000</v>
      </c>
      <c r="S212" s="7">
        <v>0</v>
      </c>
      <c r="T212" s="7">
        <f>R212-S212</f>
        <v>0</v>
      </c>
      <c r="U212" s="7">
        <f>T212*O212</f>
        <v>0</v>
      </c>
    </row>
    <row r="213" spans="1:21">
      <c r="A213" s="4" t="s">
        <v>334</v>
      </c>
      <c r="B213" s="4" t="s">
        <v>39</v>
      </c>
      <c r="C213" s="5">
        <v>45910.37211805556</v>
      </c>
      <c r="D213" s="5">
        <v>45910</v>
      </c>
      <c r="E213" s="6">
        <f>IF(AND(C213&lt;&gt;"",D213&lt;&gt;""),D213-C213,"")</f>
        <v>0</v>
      </c>
      <c r="F213" s="4" t="s">
        <v>40</v>
      </c>
      <c r="G213" s="4" t="s">
        <v>41</v>
      </c>
      <c r="H213" s="4" t="s">
        <v>32</v>
      </c>
      <c r="I213" s="4" t="s">
        <v>33</v>
      </c>
      <c r="J213" s="4">
        <v>0</v>
      </c>
      <c r="K213" s="4">
        <v>1</v>
      </c>
      <c r="L213" s="4">
        <f>J213+K213</f>
        <v>0</v>
      </c>
      <c r="M213" s="4" t="s">
        <v>46</v>
      </c>
      <c r="N213" s="4"/>
      <c r="O213" s="4">
        <v>1</v>
      </c>
      <c r="P213" s="4" t="s">
        <v>135</v>
      </c>
      <c r="Q213" s="4"/>
      <c r="R213" s="7">
        <v>325000</v>
      </c>
      <c r="S213" s="7">
        <v>0</v>
      </c>
      <c r="T213" s="7">
        <f>R213-S213</f>
        <v>0</v>
      </c>
      <c r="U213" s="7">
        <f>T213*O213</f>
        <v>0</v>
      </c>
    </row>
    <row r="214" spans="1:21">
      <c r="A214" s="4" t="s">
        <v>334</v>
      </c>
      <c r="B214" s="4" t="s">
        <v>39</v>
      </c>
      <c r="C214" s="5">
        <v>45910.37211805556</v>
      </c>
      <c r="D214" s="5">
        <v>45910</v>
      </c>
      <c r="E214" s="6">
        <f>IF(AND(C214&lt;&gt;"",D214&lt;&gt;""),D214-C214,"")</f>
        <v>0</v>
      </c>
      <c r="F214" s="4" t="s">
        <v>40</v>
      </c>
      <c r="G214" s="4" t="s">
        <v>41</v>
      </c>
      <c r="H214" s="4" t="s">
        <v>32</v>
      </c>
      <c r="I214" s="4" t="s">
        <v>33</v>
      </c>
      <c r="J214" s="4">
        <v>1</v>
      </c>
      <c r="K214" s="4">
        <v>0</v>
      </c>
      <c r="L214" s="4">
        <f>J214+K214</f>
        <v>0</v>
      </c>
      <c r="M214" s="4" t="s">
        <v>42</v>
      </c>
      <c r="N214" s="4"/>
      <c r="O214" s="4">
        <v>1</v>
      </c>
      <c r="P214" s="4" t="s">
        <v>135</v>
      </c>
      <c r="Q214" s="4"/>
      <c r="R214" s="7">
        <v>370000</v>
      </c>
      <c r="S214" s="7">
        <v>0</v>
      </c>
      <c r="T214" s="7">
        <f>R214-S214</f>
        <v>0</v>
      </c>
      <c r="U214" s="7">
        <f>T214*O214</f>
        <v>0</v>
      </c>
    </row>
    <row r="215" spans="1:21">
      <c r="A215" s="4" t="s">
        <v>335</v>
      </c>
      <c r="B215" s="4" t="s">
        <v>29</v>
      </c>
      <c r="C215" s="5">
        <v>45910.42112268518</v>
      </c>
      <c r="D215" s="5">
        <v>45961</v>
      </c>
      <c r="E215" s="6">
        <f>IF(AND(C215&lt;&gt;"",D215&lt;&gt;""),D215-C215,"")</f>
        <v>0</v>
      </c>
      <c r="F215" s="4" t="s">
        <v>299</v>
      </c>
      <c r="G215" s="4" t="s">
        <v>300</v>
      </c>
      <c r="H215" s="4"/>
      <c r="I215" s="4" t="s">
        <v>56</v>
      </c>
      <c r="J215" s="4">
        <v>1</v>
      </c>
      <c r="K215" s="4">
        <v>1</v>
      </c>
      <c r="L215" s="4">
        <f>J215+K215</f>
        <v>0</v>
      </c>
      <c r="M215" s="4"/>
      <c r="N215" s="4"/>
      <c r="O215" s="4">
        <v>0</v>
      </c>
      <c r="P215" s="4"/>
      <c r="Q215" s="4"/>
      <c r="R215" s="7">
        <v>0</v>
      </c>
      <c r="S215" s="7">
        <v>0</v>
      </c>
      <c r="T215" s="7">
        <f>R215-S215</f>
        <v>0</v>
      </c>
      <c r="U215" s="7">
        <f>T215*O215</f>
        <v>0</v>
      </c>
    </row>
    <row r="216" spans="1:21">
      <c r="A216" s="4" t="s">
        <v>336</v>
      </c>
      <c r="B216" s="4" t="s">
        <v>48</v>
      </c>
      <c r="C216" s="5">
        <v>45910.46620370371</v>
      </c>
      <c r="D216" s="5">
        <v>45961</v>
      </c>
      <c r="E216" s="6">
        <f>IF(AND(C216&lt;&gt;"",D216&lt;&gt;""),D216-C216,"")</f>
        <v>0</v>
      </c>
      <c r="F216" s="4" t="s">
        <v>234</v>
      </c>
      <c r="G216" s="4" t="s">
        <v>235</v>
      </c>
      <c r="H216" s="4" t="s">
        <v>32</v>
      </c>
      <c r="I216" s="4" t="s">
        <v>33</v>
      </c>
      <c r="J216" s="4">
        <v>5</v>
      </c>
      <c r="K216" s="4">
        <v>0</v>
      </c>
      <c r="L216" s="4">
        <f>J216+K216</f>
        <v>0</v>
      </c>
      <c r="M216" s="4"/>
      <c r="N216" s="4"/>
      <c r="O216" s="4">
        <v>0</v>
      </c>
      <c r="P216" s="4"/>
      <c r="Q216" s="4"/>
      <c r="R216" s="7">
        <v>0</v>
      </c>
      <c r="S216" s="7">
        <v>0</v>
      </c>
      <c r="T216" s="7">
        <f>R216-S216</f>
        <v>0</v>
      </c>
      <c r="U216" s="7">
        <f>T216*O216</f>
        <v>0</v>
      </c>
    </row>
    <row r="217" spans="1:21">
      <c r="A217" s="4" t="s">
        <v>337</v>
      </c>
      <c r="B217" s="4" t="s">
        <v>29</v>
      </c>
      <c r="C217" s="5">
        <v>45910.54934027778</v>
      </c>
      <c r="D217" s="5">
        <v>45961</v>
      </c>
      <c r="E217" s="6">
        <f>IF(AND(C217&lt;&gt;"",D217&lt;&gt;""),D217-C217,"")</f>
        <v>0</v>
      </c>
      <c r="F217" s="4" t="s">
        <v>338</v>
      </c>
      <c r="G217" s="4" t="s">
        <v>339</v>
      </c>
      <c r="H217" s="4"/>
      <c r="I217" s="4" t="s">
        <v>56</v>
      </c>
      <c r="J217" s="4">
        <v>1</v>
      </c>
      <c r="K217" s="4">
        <v>1</v>
      </c>
      <c r="L217" s="4">
        <f>J217+K217</f>
        <v>0</v>
      </c>
      <c r="M217" s="4"/>
      <c r="N217" s="4"/>
      <c r="O217" s="4">
        <v>0</v>
      </c>
      <c r="P217" s="4"/>
      <c r="Q217" s="4"/>
      <c r="R217" s="7">
        <v>0</v>
      </c>
      <c r="S217" s="7">
        <v>0</v>
      </c>
      <c r="T217" s="7">
        <f>R217-S217</f>
        <v>0</v>
      </c>
      <c r="U217" s="7">
        <f>T217*O217</f>
        <v>0</v>
      </c>
    </row>
    <row r="218" spans="1:21">
      <c r="A218" s="4" t="s">
        <v>340</v>
      </c>
      <c r="B218" s="4" t="s">
        <v>48</v>
      </c>
      <c r="C218" s="5">
        <v>45910.60087962963</v>
      </c>
      <c r="D218" s="5">
        <v>45961</v>
      </c>
      <c r="E218" s="6">
        <f>IF(AND(C218&lt;&gt;"",D218&lt;&gt;""),D218-C218,"")</f>
        <v>0</v>
      </c>
      <c r="F218" s="4" t="s">
        <v>162</v>
      </c>
      <c r="G218" s="4" t="s">
        <v>163</v>
      </c>
      <c r="H218" s="4" t="s">
        <v>32</v>
      </c>
      <c r="I218" s="4" t="s">
        <v>33</v>
      </c>
      <c r="J218" s="4">
        <v>3</v>
      </c>
      <c r="K218" s="4">
        <v>0</v>
      </c>
      <c r="L218" s="4">
        <f>J218+K218</f>
        <v>0</v>
      </c>
      <c r="M218" s="4"/>
      <c r="N218" s="4"/>
      <c r="O218" s="4">
        <v>0</v>
      </c>
      <c r="P218" s="4"/>
      <c r="Q218" s="4"/>
      <c r="R218" s="7">
        <v>0</v>
      </c>
      <c r="S218" s="7">
        <v>0</v>
      </c>
      <c r="T218" s="7">
        <f>R218-S218</f>
        <v>0</v>
      </c>
      <c r="U218" s="7">
        <f>T218*O218</f>
        <v>0</v>
      </c>
    </row>
    <row r="219" spans="1:21">
      <c r="A219" s="4" t="s">
        <v>341</v>
      </c>
      <c r="B219" s="4" t="s">
        <v>29</v>
      </c>
      <c r="C219" s="5">
        <v>45910.83774305556</v>
      </c>
      <c r="D219" s="5">
        <v>45961</v>
      </c>
      <c r="E219" s="6">
        <f>IF(AND(C219&lt;&gt;"",D219&lt;&gt;""),D219-C219,"")</f>
        <v>0</v>
      </c>
      <c r="F219" s="4" t="s">
        <v>307</v>
      </c>
      <c r="G219" s="4" t="s">
        <v>308</v>
      </c>
      <c r="H219" s="4" t="s">
        <v>190</v>
      </c>
      <c r="I219" s="4" t="s">
        <v>56</v>
      </c>
      <c r="J219" s="4">
        <v>1</v>
      </c>
      <c r="K219" s="4">
        <v>0</v>
      </c>
      <c r="L219" s="4">
        <f>J219+K219</f>
        <v>0</v>
      </c>
      <c r="M219" s="4"/>
      <c r="N219" s="4"/>
      <c r="O219" s="4">
        <v>0</v>
      </c>
      <c r="P219" s="4"/>
      <c r="Q219" s="4"/>
      <c r="R219" s="7">
        <v>0</v>
      </c>
      <c r="S219" s="7">
        <v>0</v>
      </c>
      <c r="T219" s="7">
        <f>R219-S219</f>
        <v>0</v>
      </c>
      <c r="U219" s="7">
        <f>T219*O219</f>
        <v>0</v>
      </c>
    </row>
    <row r="220" spans="1:21">
      <c r="A220" s="4" t="s">
        <v>342</v>
      </c>
      <c r="B220" s="4" t="s">
        <v>29</v>
      </c>
      <c r="C220" s="5">
        <v>45910.8377662037</v>
      </c>
      <c r="D220" s="5">
        <v>45961</v>
      </c>
      <c r="E220" s="6">
        <f>IF(AND(C220&lt;&gt;"",D220&lt;&gt;""),D220-C220,"")</f>
        <v>0</v>
      </c>
      <c r="F220" s="4" t="s">
        <v>307</v>
      </c>
      <c r="G220" s="4" t="s">
        <v>308</v>
      </c>
      <c r="H220" s="4" t="s">
        <v>190</v>
      </c>
      <c r="I220" s="4" t="s">
        <v>56</v>
      </c>
      <c r="J220" s="4">
        <v>1</v>
      </c>
      <c r="K220" s="4">
        <v>0</v>
      </c>
      <c r="L220" s="4">
        <f>J220+K220</f>
        <v>0</v>
      </c>
      <c r="M220" s="4"/>
      <c r="N220" s="4"/>
      <c r="O220" s="4">
        <v>0</v>
      </c>
      <c r="P220" s="4"/>
      <c r="Q220" s="4"/>
      <c r="R220" s="7">
        <v>0</v>
      </c>
      <c r="S220" s="7">
        <v>0</v>
      </c>
      <c r="T220" s="7">
        <f>R220-S220</f>
        <v>0</v>
      </c>
      <c r="U220" s="7">
        <f>T220*O220</f>
        <v>0</v>
      </c>
    </row>
    <row r="221" spans="1:21">
      <c r="A221" s="4" t="s">
        <v>343</v>
      </c>
      <c r="B221" s="4" t="s">
        <v>48</v>
      </c>
      <c r="C221" s="5">
        <v>45910.90042824074</v>
      </c>
      <c r="D221" s="5">
        <v>45961</v>
      </c>
      <c r="E221" s="6">
        <f>IF(AND(C221&lt;&gt;"",D221&lt;&gt;""),D221-C221,"")</f>
        <v>0</v>
      </c>
      <c r="F221" s="4" t="s">
        <v>162</v>
      </c>
      <c r="G221" s="4" t="s">
        <v>163</v>
      </c>
      <c r="H221" s="4" t="s">
        <v>32</v>
      </c>
      <c r="I221" s="4" t="s">
        <v>33</v>
      </c>
      <c r="J221" s="4">
        <v>2</v>
      </c>
      <c r="K221" s="4">
        <v>0</v>
      </c>
      <c r="L221" s="4">
        <f>J221+K221</f>
        <v>0</v>
      </c>
      <c r="M221" s="4"/>
      <c r="N221" s="4"/>
      <c r="O221" s="4">
        <v>0</v>
      </c>
      <c r="P221" s="4"/>
      <c r="Q221" s="4"/>
      <c r="R221" s="7">
        <v>0</v>
      </c>
      <c r="S221" s="7">
        <v>0</v>
      </c>
      <c r="T221" s="7">
        <f>R221-S221</f>
        <v>0</v>
      </c>
      <c r="U221" s="7">
        <f>T221*O221</f>
        <v>0</v>
      </c>
    </row>
    <row r="222" spans="1:21">
      <c r="A222" s="4" t="s">
        <v>344</v>
      </c>
      <c r="B222" s="4" t="s">
        <v>48</v>
      </c>
      <c r="C222" s="5">
        <v>45910.93966435185</v>
      </c>
      <c r="D222" s="5">
        <v>45961</v>
      </c>
      <c r="E222" s="6">
        <f>IF(AND(C222&lt;&gt;"",D222&lt;&gt;""),D222-C222,"")</f>
        <v>0</v>
      </c>
      <c r="F222" s="4" t="s">
        <v>345</v>
      </c>
      <c r="G222" s="4" t="s">
        <v>346</v>
      </c>
      <c r="H222" s="4" t="s">
        <v>32</v>
      </c>
      <c r="I222" s="4" t="s">
        <v>33</v>
      </c>
      <c r="J222" s="4">
        <v>1</v>
      </c>
      <c r="K222" s="4">
        <v>0</v>
      </c>
      <c r="L222" s="4">
        <f>J222+K222</f>
        <v>0</v>
      </c>
      <c r="M222" s="4"/>
      <c r="N222" s="4"/>
      <c r="O222" s="4">
        <v>0</v>
      </c>
      <c r="P222" s="4"/>
      <c r="Q222" s="4"/>
      <c r="R222" s="7">
        <v>0</v>
      </c>
      <c r="S222" s="7">
        <v>0</v>
      </c>
      <c r="T222" s="7">
        <f>R222-S222</f>
        <v>0</v>
      </c>
      <c r="U222" s="7">
        <f>T222*O222</f>
        <v>0</v>
      </c>
    </row>
    <row r="223" spans="1:21">
      <c r="A223" s="4" t="s">
        <v>347</v>
      </c>
      <c r="B223" s="4" t="s">
        <v>48</v>
      </c>
      <c r="C223" s="5">
        <v>45910.95564814815</v>
      </c>
      <c r="D223" s="5">
        <v>45961</v>
      </c>
      <c r="E223" s="6">
        <f>IF(AND(C223&lt;&gt;"",D223&lt;&gt;""),D223-C223,"")</f>
        <v>0</v>
      </c>
      <c r="F223" s="4" t="s">
        <v>348</v>
      </c>
      <c r="G223" s="4" t="s">
        <v>349</v>
      </c>
      <c r="H223" s="4" t="s">
        <v>32</v>
      </c>
      <c r="I223" s="4" t="s">
        <v>33</v>
      </c>
      <c r="J223" s="4">
        <v>2</v>
      </c>
      <c r="K223" s="4">
        <v>2</v>
      </c>
      <c r="L223" s="4">
        <f>J223+K223</f>
        <v>0</v>
      </c>
      <c r="M223" s="4"/>
      <c r="N223" s="4"/>
      <c r="O223" s="4">
        <v>0</v>
      </c>
      <c r="P223" s="4"/>
      <c r="Q223" s="4"/>
      <c r="R223" s="7">
        <v>0</v>
      </c>
      <c r="S223" s="7">
        <v>0</v>
      </c>
      <c r="T223" s="7">
        <f>R223-S223</f>
        <v>0</v>
      </c>
      <c r="U223" s="7">
        <f>T223*O223</f>
        <v>0</v>
      </c>
    </row>
    <row r="224" spans="1:21">
      <c r="A224" s="4" t="s">
        <v>350</v>
      </c>
      <c r="B224" s="4" t="s">
        <v>48</v>
      </c>
      <c r="C224" s="5">
        <v>45910.96106481482</v>
      </c>
      <c r="D224" s="5">
        <v>45961</v>
      </c>
      <c r="E224" s="6">
        <f>IF(AND(C224&lt;&gt;"",D224&lt;&gt;""),D224-C224,"")</f>
        <v>0</v>
      </c>
      <c r="F224" s="4" t="s">
        <v>351</v>
      </c>
      <c r="G224" s="4" t="s">
        <v>352</v>
      </c>
      <c r="H224" s="4" t="s">
        <v>32</v>
      </c>
      <c r="I224" s="4" t="s">
        <v>33</v>
      </c>
      <c r="J224" s="4">
        <v>4</v>
      </c>
      <c r="K224" s="4">
        <v>0</v>
      </c>
      <c r="L224" s="4">
        <f>J224+K224</f>
        <v>0</v>
      </c>
      <c r="M224" s="4"/>
      <c r="N224" s="4"/>
      <c r="O224" s="4">
        <v>0</v>
      </c>
      <c r="P224" s="4"/>
      <c r="Q224" s="4"/>
      <c r="R224" s="7">
        <v>0</v>
      </c>
      <c r="S224" s="7">
        <v>0</v>
      </c>
      <c r="T224" s="7">
        <f>R224-S224</f>
        <v>0</v>
      </c>
      <c r="U224" s="7">
        <f>T224*O224</f>
        <v>0</v>
      </c>
    </row>
    <row r="225" spans="1:21">
      <c r="A225" s="4" t="s">
        <v>353</v>
      </c>
      <c r="B225" s="4" t="s">
        <v>48</v>
      </c>
      <c r="C225" s="5">
        <v>45910.96314814815</v>
      </c>
      <c r="D225" s="5">
        <v>45961</v>
      </c>
      <c r="E225" s="6">
        <f>IF(AND(C225&lt;&gt;"",D225&lt;&gt;""),D225-C225,"")</f>
        <v>0</v>
      </c>
      <c r="F225" s="4" t="s">
        <v>354</v>
      </c>
      <c r="G225" s="4" t="s">
        <v>355</v>
      </c>
      <c r="H225" s="4" t="s">
        <v>32</v>
      </c>
      <c r="I225" s="4" t="s">
        <v>33</v>
      </c>
      <c r="J225" s="4">
        <v>2</v>
      </c>
      <c r="K225" s="4">
        <v>2</v>
      </c>
      <c r="L225" s="4">
        <f>J225+K225</f>
        <v>0</v>
      </c>
      <c r="M225" s="4"/>
      <c r="N225" s="4"/>
      <c r="O225" s="4">
        <v>0</v>
      </c>
      <c r="P225" s="4"/>
      <c r="Q225" s="4"/>
      <c r="R225" s="7">
        <v>0</v>
      </c>
      <c r="S225" s="7">
        <v>0</v>
      </c>
      <c r="T225" s="7">
        <f>R225-S225</f>
        <v>0</v>
      </c>
      <c r="U225" s="7">
        <f>T225*O225</f>
        <v>0</v>
      </c>
    </row>
    <row r="226" spans="1:21">
      <c r="A226" s="4" t="s">
        <v>356</v>
      </c>
      <c r="B226" s="4" t="s">
        <v>39</v>
      </c>
      <c r="C226" s="5">
        <v>45911.30642361111</v>
      </c>
      <c r="D226" s="5">
        <v>45911</v>
      </c>
      <c r="E226" s="6">
        <f>IF(AND(C226&lt;&gt;"",D226&lt;&gt;""),D226-C226,"")</f>
        <v>0</v>
      </c>
      <c r="F226" s="4" t="s">
        <v>213</v>
      </c>
      <c r="G226" s="4" t="s">
        <v>214</v>
      </c>
      <c r="H226" s="4" t="s">
        <v>32</v>
      </c>
      <c r="I226" s="4" t="s">
        <v>33</v>
      </c>
      <c r="J226" s="4">
        <v>0</v>
      </c>
      <c r="K226" s="4">
        <v>0</v>
      </c>
      <c r="L226" s="4">
        <f>J226+K226</f>
        <v>0</v>
      </c>
      <c r="M226" s="4" t="s">
        <v>45</v>
      </c>
      <c r="N226" s="4"/>
      <c r="O226" s="4">
        <v>1</v>
      </c>
      <c r="P226" s="4" t="s">
        <v>135</v>
      </c>
      <c r="Q226" s="4"/>
      <c r="R226" s="7">
        <v>1000800</v>
      </c>
      <c r="S226" s="7">
        <v>0</v>
      </c>
      <c r="T226" s="7">
        <f>R226-S226</f>
        <v>0</v>
      </c>
      <c r="U226" s="7">
        <f>T226*O226</f>
        <v>0</v>
      </c>
    </row>
    <row r="227" spans="1:21">
      <c r="A227" s="4" t="s">
        <v>357</v>
      </c>
      <c r="B227" s="4" t="s">
        <v>48</v>
      </c>
      <c r="C227" s="5">
        <v>45911.38844907407</v>
      </c>
      <c r="D227" s="5">
        <v>45961</v>
      </c>
      <c r="E227" s="6">
        <f>IF(AND(C227&lt;&gt;"",D227&lt;&gt;""),D227-C227,"")</f>
        <v>0</v>
      </c>
      <c r="F227" s="4" t="s">
        <v>234</v>
      </c>
      <c r="G227" s="4" t="s">
        <v>235</v>
      </c>
      <c r="H227" s="4" t="s">
        <v>32</v>
      </c>
      <c r="I227" s="4" t="s">
        <v>33</v>
      </c>
      <c r="J227" s="4">
        <v>10</v>
      </c>
      <c r="K227" s="4">
        <v>0</v>
      </c>
      <c r="L227" s="4">
        <f>J227+K227</f>
        <v>0</v>
      </c>
      <c r="M227" s="4"/>
      <c r="N227" s="4"/>
      <c r="O227" s="4">
        <v>0</v>
      </c>
      <c r="P227" s="4"/>
      <c r="Q227" s="4"/>
      <c r="R227" s="7">
        <v>0</v>
      </c>
      <c r="S227" s="7">
        <v>0</v>
      </c>
      <c r="T227" s="7">
        <f>R227-S227</f>
        <v>0</v>
      </c>
      <c r="U227" s="7">
        <f>T227*O227</f>
        <v>0</v>
      </c>
    </row>
    <row r="228" spans="1:21">
      <c r="A228" s="4" t="s">
        <v>358</v>
      </c>
      <c r="B228" s="4" t="s">
        <v>29</v>
      </c>
      <c r="C228" s="5">
        <v>45911.45658564815</v>
      </c>
      <c r="D228" s="5">
        <v>45961</v>
      </c>
      <c r="E228" s="6">
        <f>IF(AND(C228&lt;&gt;"",D228&lt;&gt;""),D228-C228,"")</f>
        <v>0</v>
      </c>
      <c r="F228" s="4" t="s">
        <v>30</v>
      </c>
      <c r="G228" s="4" t="s">
        <v>31</v>
      </c>
      <c r="H228" s="4" t="s">
        <v>32</v>
      </c>
      <c r="I228" s="4" t="s">
        <v>33</v>
      </c>
      <c r="J228" s="4">
        <v>3</v>
      </c>
      <c r="K228" s="4">
        <v>0</v>
      </c>
      <c r="L228" s="4">
        <f>J228+K228</f>
        <v>0</v>
      </c>
      <c r="M228" s="4"/>
      <c r="N228" s="4"/>
      <c r="O228" s="4">
        <v>0</v>
      </c>
      <c r="P228" s="4"/>
      <c r="Q228" s="4"/>
      <c r="R228" s="7">
        <v>0</v>
      </c>
      <c r="S228" s="7">
        <v>0</v>
      </c>
      <c r="T228" s="7">
        <f>R228-S228</f>
        <v>0</v>
      </c>
      <c r="U228" s="7">
        <f>T228*O228</f>
        <v>0</v>
      </c>
    </row>
    <row r="229" spans="1:21">
      <c r="A229" s="4" t="s">
        <v>359</v>
      </c>
      <c r="B229" s="4" t="s">
        <v>29</v>
      </c>
      <c r="C229" s="5">
        <v>45911.53261574074</v>
      </c>
      <c r="D229" s="5">
        <v>45911.52987268518</v>
      </c>
      <c r="E229" s="6">
        <f>IF(AND(C229&lt;&gt;"",D229&lt;&gt;""),D229-C229,"")</f>
        <v>0</v>
      </c>
      <c r="F229" s="4" t="s">
        <v>360</v>
      </c>
      <c r="G229" s="4"/>
      <c r="H229" s="4"/>
      <c r="I229" s="4" t="s">
        <v>56</v>
      </c>
      <c r="J229" s="4">
        <v>4</v>
      </c>
      <c r="K229" s="4">
        <v>0</v>
      </c>
      <c r="L229" s="4">
        <f>J229+K229</f>
        <v>0</v>
      </c>
      <c r="M229" s="4"/>
      <c r="N229" s="4"/>
      <c r="O229" s="4">
        <v>0</v>
      </c>
      <c r="P229" s="4"/>
      <c r="Q229" s="4"/>
      <c r="R229" s="7">
        <v>0</v>
      </c>
      <c r="S229" s="7">
        <v>0</v>
      </c>
      <c r="T229" s="7">
        <f>R229-S229</f>
        <v>0</v>
      </c>
      <c r="U229" s="7">
        <f>T229*O229</f>
        <v>0</v>
      </c>
    </row>
    <row r="230" spans="1:21">
      <c r="A230" s="4" t="s">
        <v>361</v>
      </c>
      <c r="B230" s="4"/>
      <c r="C230" s="5">
        <v>45911.53386574074</v>
      </c>
      <c r="D230" s="5">
        <v>45961</v>
      </c>
      <c r="E230" s="6">
        <f>IF(AND(C230&lt;&gt;"",D230&lt;&gt;""),D230-C230,"")</f>
        <v>0</v>
      </c>
      <c r="F230" s="4" t="s">
        <v>162</v>
      </c>
      <c r="G230" s="4" t="s">
        <v>163</v>
      </c>
      <c r="H230" s="4" t="s">
        <v>32</v>
      </c>
      <c r="I230" s="4" t="s">
        <v>33</v>
      </c>
      <c r="J230" s="4">
        <v>4</v>
      </c>
      <c r="K230" s="4">
        <v>0</v>
      </c>
      <c r="L230" s="4">
        <f>J230+K230</f>
        <v>0</v>
      </c>
      <c r="M230" s="4"/>
      <c r="N230" s="4"/>
      <c r="O230" s="4">
        <v>0</v>
      </c>
      <c r="P230" s="4"/>
      <c r="Q230" s="4"/>
      <c r="R230" s="7">
        <v>0</v>
      </c>
      <c r="S230" s="7">
        <v>0</v>
      </c>
      <c r="T230" s="7">
        <f>R230-S230</f>
        <v>0</v>
      </c>
      <c r="U230" s="7">
        <f>T230*O230</f>
        <v>0</v>
      </c>
    </row>
    <row r="231" spans="1:21">
      <c r="A231" s="4" t="s">
        <v>362</v>
      </c>
      <c r="B231" s="4" t="s">
        <v>29</v>
      </c>
      <c r="C231" s="5">
        <v>45911.64866898148</v>
      </c>
      <c r="D231" s="5">
        <v>45911.648125</v>
      </c>
      <c r="E231" s="6">
        <f>IF(AND(C231&lt;&gt;"",D231&lt;&gt;""),D231-C231,"")</f>
        <v>0</v>
      </c>
      <c r="F231" s="4" t="s">
        <v>360</v>
      </c>
      <c r="G231" s="4"/>
      <c r="H231" s="4"/>
      <c r="I231" s="4" t="s">
        <v>56</v>
      </c>
      <c r="J231" s="4">
        <v>4</v>
      </c>
      <c r="K231" s="4">
        <v>0</v>
      </c>
      <c r="L231" s="4">
        <f>J231+K231</f>
        <v>0</v>
      </c>
      <c r="M231" s="4"/>
      <c r="N231" s="4"/>
      <c r="O231" s="4">
        <v>0</v>
      </c>
      <c r="P231" s="4"/>
      <c r="Q231" s="4"/>
      <c r="R231" s="7">
        <v>0</v>
      </c>
      <c r="S231" s="7">
        <v>0</v>
      </c>
      <c r="T231" s="7">
        <f>R231-S231</f>
        <v>0</v>
      </c>
      <c r="U231" s="7">
        <f>T231*O231</f>
        <v>0</v>
      </c>
    </row>
    <row r="232" spans="1:21">
      <c r="A232" s="4" t="s">
        <v>363</v>
      </c>
      <c r="B232" s="4" t="s">
        <v>48</v>
      </c>
      <c r="C232" s="5">
        <v>45911.7368287037</v>
      </c>
      <c r="D232" s="5">
        <v>45961</v>
      </c>
      <c r="E232" s="6">
        <f>IF(AND(C232&lt;&gt;"",D232&lt;&gt;""),D232-C232,"")</f>
        <v>0</v>
      </c>
      <c r="F232" s="4" t="s">
        <v>286</v>
      </c>
      <c r="G232" s="4" t="s">
        <v>287</v>
      </c>
      <c r="H232" s="4" t="s">
        <v>32</v>
      </c>
      <c r="I232" s="4" t="s">
        <v>33</v>
      </c>
      <c r="J232" s="4">
        <v>10</v>
      </c>
      <c r="K232" s="4">
        <v>0</v>
      </c>
      <c r="L232" s="4">
        <f>J232+K232</f>
        <v>0</v>
      </c>
      <c r="M232" s="4"/>
      <c r="N232" s="4"/>
      <c r="O232" s="4">
        <v>0</v>
      </c>
      <c r="P232" s="4"/>
      <c r="Q232" s="4"/>
      <c r="R232" s="7">
        <v>0</v>
      </c>
      <c r="S232" s="7">
        <v>0</v>
      </c>
      <c r="T232" s="7">
        <f>R232-S232</f>
        <v>0</v>
      </c>
      <c r="U232" s="7">
        <f>T232*O232</f>
        <v>0</v>
      </c>
    </row>
    <row r="233" spans="1:21">
      <c r="A233" s="4" t="s">
        <v>364</v>
      </c>
      <c r="B233" s="4" t="s">
        <v>103</v>
      </c>
      <c r="C233" s="5">
        <v>45911.93993055556</v>
      </c>
      <c r="D233" s="5">
        <v>45961</v>
      </c>
      <c r="E233" s="6">
        <f>IF(AND(C233&lt;&gt;"",D233&lt;&gt;""),D233-C233,"")</f>
        <v>0</v>
      </c>
      <c r="F233" s="4" t="s">
        <v>303</v>
      </c>
      <c r="G233" s="4" t="s">
        <v>304</v>
      </c>
      <c r="H233" s="4" t="s">
        <v>305</v>
      </c>
      <c r="I233" s="4" t="s">
        <v>56</v>
      </c>
      <c r="J233" s="4">
        <v>5</v>
      </c>
      <c r="K233" s="4">
        <v>0</v>
      </c>
      <c r="L233" s="4">
        <f>J233+K233</f>
        <v>0</v>
      </c>
      <c r="M233" s="4"/>
      <c r="N233" s="4"/>
      <c r="O233" s="4">
        <v>0</v>
      </c>
      <c r="P233" s="4"/>
      <c r="Q233" s="4"/>
      <c r="R233" s="7">
        <v>0</v>
      </c>
      <c r="S233" s="7">
        <v>0</v>
      </c>
      <c r="T233" s="7">
        <f>R233-S233</f>
        <v>0</v>
      </c>
      <c r="U233" s="7">
        <f>T233*O233</f>
        <v>0</v>
      </c>
    </row>
    <row r="234" spans="1:21">
      <c r="A234" s="4" t="s">
        <v>365</v>
      </c>
      <c r="B234" s="4" t="s">
        <v>39</v>
      </c>
      <c r="C234" s="5">
        <v>45912.30641203704</v>
      </c>
      <c r="D234" s="5">
        <v>45912</v>
      </c>
      <c r="E234" s="6">
        <f>IF(AND(C234&lt;&gt;"",D234&lt;&gt;""),D234-C234,"")</f>
        <v>0</v>
      </c>
      <c r="F234" s="4" t="s">
        <v>165</v>
      </c>
      <c r="G234" s="4" t="s">
        <v>65</v>
      </c>
      <c r="H234" s="4" t="s">
        <v>32</v>
      </c>
      <c r="I234" s="4" t="s">
        <v>33</v>
      </c>
      <c r="J234" s="4">
        <v>0</v>
      </c>
      <c r="K234" s="4">
        <v>1</v>
      </c>
      <c r="L234" s="4">
        <f>J234+K234</f>
        <v>0</v>
      </c>
      <c r="M234" s="4" t="s">
        <v>46</v>
      </c>
      <c r="N234" s="4"/>
      <c r="O234" s="4">
        <v>1</v>
      </c>
      <c r="P234" s="4" t="s">
        <v>135</v>
      </c>
      <c r="Q234" s="4"/>
      <c r="R234" s="7">
        <v>-241735.54</v>
      </c>
      <c r="S234" s="7">
        <v>0</v>
      </c>
      <c r="T234" s="7">
        <f>R234-S234</f>
        <v>0</v>
      </c>
      <c r="U234" s="7">
        <f>T234*O234</f>
        <v>0</v>
      </c>
    </row>
    <row r="235" spans="1:21">
      <c r="A235" s="4" t="s">
        <v>365</v>
      </c>
      <c r="B235" s="4" t="s">
        <v>39</v>
      </c>
      <c r="C235" s="5">
        <v>45912.30641203704</v>
      </c>
      <c r="D235" s="5">
        <v>45912</v>
      </c>
      <c r="E235" s="6">
        <f>IF(AND(C235&lt;&gt;"",D235&lt;&gt;""),D235-C235,"")</f>
        <v>0</v>
      </c>
      <c r="F235" s="4" t="s">
        <v>165</v>
      </c>
      <c r="G235" s="4" t="s">
        <v>65</v>
      </c>
      <c r="H235" s="4" t="s">
        <v>32</v>
      </c>
      <c r="I235" s="4" t="s">
        <v>33</v>
      </c>
      <c r="J235" s="4">
        <v>1</v>
      </c>
      <c r="K235" s="4">
        <v>0</v>
      </c>
      <c r="L235" s="4">
        <f>J235+K235</f>
        <v>0</v>
      </c>
      <c r="M235" s="4" t="s">
        <v>42</v>
      </c>
      <c r="N235" s="4"/>
      <c r="O235" s="4">
        <v>1</v>
      </c>
      <c r="P235" s="4" t="s">
        <v>135</v>
      </c>
      <c r="Q235" s="4"/>
      <c r="R235" s="7">
        <v>370000</v>
      </c>
      <c r="S235" s="7">
        <v>0</v>
      </c>
      <c r="T235" s="7">
        <f>R235-S235</f>
        <v>0</v>
      </c>
      <c r="U235" s="7">
        <f>T235*O235</f>
        <v>0</v>
      </c>
    </row>
    <row r="236" spans="1:21">
      <c r="A236" s="4" t="s">
        <v>366</v>
      </c>
      <c r="B236" s="4" t="s">
        <v>39</v>
      </c>
      <c r="C236" s="5">
        <v>45912.30641203704</v>
      </c>
      <c r="D236" s="5">
        <v>45912</v>
      </c>
      <c r="E236" s="6">
        <f>IF(AND(C236&lt;&gt;"",D236&lt;&gt;""),D236-C236,"")</f>
        <v>0</v>
      </c>
      <c r="F236" s="4" t="s">
        <v>165</v>
      </c>
      <c r="G236" s="4" t="s">
        <v>65</v>
      </c>
      <c r="H236" s="4" t="s">
        <v>32</v>
      </c>
      <c r="I236" s="4" t="s">
        <v>33</v>
      </c>
      <c r="J236" s="4">
        <v>1</v>
      </c>
      <c r="K236" s="4">
        <v>0</v>
      </c>
      <c r="L236" s="4">
        <f>J236+K236</f>
        <v>0</v>
      </c>
      <c r="M236" s="4" t="s">
        <v>42</v>
      </c>
      <c r="N236" s="4"/>
      <c r="O236" s="4">
        <v>1</v>
      </c>
      <c r="P236" s="4" t="s">
        <v>135</v>
      </c>
      <c r="Q236" s="4"/>
      <c r="R236" s="7">
        <v>370000</v>
      </c>
      <c r="S236" s="7">
        <v>0</v>
      </c>
      <c r="T236" s="7">
        <f>R236-S236</f>
        <v>0</v>
      </c>
      <c r="U236" s="7">
        <f>T236*O236</f>
        <v>0</v>
      </c>
    </row>
    <row r="237" spans="1:21">
      <c r="A237" s="4" t="s">
        <v>366</v>
      </c>
      <c r="B237" s="4" t="s">
        <v>39</v>
      </c>
      <c r="C237" s="5">
        <v>45912.30641203704</v>
      </c>
      <c r="D237" s="5">
        <v>45912</v>
      </c>
      <c r="E237" s="6">
        <f>IF(AND(C237&lt;&gt;"",D237&lt;&gt;""),D237-C237,"")</f>
        <v>0</v>
      </c>
      <c r="F237" s="4" t="s">
        <v>165</v>
      </c>
      <c r="G237" s="4" t="s">
        <v>65</v>
      </c>
      <c r="H237" s="4" t="s">
        <v>32</v>
      </c>
      <c r="I237" s="4" t="s">
        <v>33</v>
      </c>
      <c r="J237" s="4">
        <v>0</v>
      </c>
      <c r="K237" s="4">
        <v>1</v>
      </c>
      <c r="L237" s="4">
        <f>J237+K237</f>
        <v>0</v>
      </c>
      <c r="M237" s="4" t="s">
        <v>46</v>
      </c>
      <c r="N237" s="4"/>
      <c r="O237" s="4">
        <v>1</v>
      </c>
      <c r="P237" s="4" t="s">
        <v>135</v>
      </c>
      <c r="Q237" s="4"/>
      <c r="R237" s="7">
        <v>-241735.54</v>
      </c>
      <c r="S237" s="7">
        <v>0</v>
      </c>
      <c r="T237" s="7">
        <f>R237-S237</f>
        <v>0</v>
      </c>
      <c r="U237" s="7">
        <f>T237*O237</f>
        <v>0</v>
      </c>
    </row>
    <row r="238" spans="1:21">
      <c r="A238" s="4" t="s">
        <v>367</v>
      </c>
      <c r="B238" s="4" t="s">
        <v>39</v>
      </c>
      <c r="C238" s="5">
        <v>45912.34278935185</v>
      </c>
      <c r="D238" s="5">
        <v>45912</v>
      </c>
      <c r="E238" s="6">
        <f>IF(AND(C238&lt;&gt;"",D238&lt;&gt;""),D238-C238,"")</f>
        <v>0</v>
      </c>
      <c r="F238" s="4" t="s">
        <v>83</v>
      </c>
      <c r="G238" s="4" t="s">
        <v>84</v>
      </c>
      <c r="H238" s="4" t="s">
        <v>32</v>
      </c>
      <c r="I238" s="4" t="s">
        <v>33</v>
      </c>
      <c r="J238" s="4">
        <v>1</v>
      </c>
      <c r="K238" s="4">
        <v>0</v>
      </c>
      <c r="L238" s="4">
        <f>J238+K238</f>
        <v>0</v>
      </c>
      <c r="M238" s="4" t="s">
        <v>80</v>
      </c>
      <c r="N238" s="4"/>
      <c r="O238" s="4">
        <v>1</v>
      </c>
      <c r="P238" s="4" t="s">
        <v>135</v>
      </c>
      <c r="Q238" s="4"/>
      <c r="R238" s="7">
        <v>610000</v>
      </c>
      <c r="S238" s="7">
        <v>0</v>
      </c>
      <c r="T238" s="7">
        <f>R238-S238</f>
        <v>0</v>
      </c>
      <c r="U238" s="7">
        <f>T238*O238</f>
        <v>0</v>
      </c>
    </row>
    <row r="239" spans="1:21">
      <c r="A239" s="4" t="s">
        <v>367</v>
      </c>
      <c r="B239" s="4" t="s">
        <v>39</v>
      </c>
      <c r="C239" s="5">
        <v>45912.34278935185</v>
      </c>
      <c r="D239" s="5">
        <v>45912</v>
      </c>
      <c r="E239" s="6">
        <f>IF(AND(C239&lt;&gt;"",D239&lt;&gt;""),D239-C239,"")</f>
        <v>0</v>
      </c>
      <c r="F239" s="4" t="s">
        <v>83</v>
      </c>
      <c r="G239" s="4" t="s">
        <v>84</v>
      </c>
      <c r="H239" s="4" t="s">
        <v>32</v>
      </c>
      <c r="I239" s="4" t="s">
        <v>33</v>
      </c>
      <c r="J239" s="4">
        <v>0</v>
      </c>
      <c r="K239" s="4">
        <v>1</v>
      </c>
      <c r="L239" s="4">
        <f>J239+K239</f>
        <v>0</v>
      </c>
      <c r="M239" s="4" t="s">
        <v>46</v>
      </c>
      <c r="N239" s="4"/>
      <c r="O239" s="4">
        <v>1</v>
      </c>
      <c r="P239" s="4" t="s">
        <v>135</v>
      </c>
      <c r="Q239" s="4"/>
      <c r="R239" s="7">
        <v>325000</v>
      </c>
      <c r="S239" s="7">
        <v>0</v>
      </c>
      <c r="T239" s="7">
        <f>R239-S239</f>
        <v>0</v>
      </c>
      <c r="U239" s="7">
        <f>T239*O239</f>
        <v>0</v>
      </c>
    </row>
    <row r="240" spans="1:21">
      <c r="A240" s="4" t="s">
        <v>367</v>
      </c>
      <c r="B240" s="4" t="s">
        <v>39</v>
      </c>
      <c r="C240" s="5">
        <v>45912.34278935185</v>
      </c>
      <c r="D240" s="5">
        <v>45912</v>
      </c>
      <c r="E240" s="6">
        <f>IF(AND(C240&lt;&gt;"",D240&lt;&gt;""),D240-C240,"")</f>
        <v>0</v>
      </c>
      <c r="F240" s="4" t="s">
        <v>83</v>
      </c>
      <c r="G240" s="4" t="s">
        <v>84</v>
      </c>
      <c r="H240" s="4" t="s">
        <v>32</v>
      </c>
      <c r="I240" s="4" t="s">
        <v>33</v>
      </c>
      <c r="J240" s="4">
        <v>1</v>
      </c>
      <c r="K240" s="4">
        <v>0</v>
      </c>
      <c r="L240" s="4">
        <f>J240+K240</f>
        <v>0</v>
      </c>
      <c r="M240" s="4" t="s">
        <v>42</v>
      </c>
      <c r="N240" s="4"/>
      <c r="O240" s="4">
        <v>1</v>
      </c>
      <c r="P240" s="4" t="s">
        <v>135</v>
      </c>
      <c r="Q240" s="4"/>
      <c r="R240" s="7">
        <v>370000</v>
      </c>
      <c r="S240" s="7">
        <v>0</v>
      </c>
      <c r="T240" s="7">
        <f>R240-S240</f>
        <v>0</v>
      </c>
      <c r="U240" s="7">
        <f>T240*O240</f>
        <v>0</v>
      </c>
    </row>
    <row r="241" spans="1:21">
      <c r="A241" s="4" t="s">
        <v>368</v>
      </c>
      <c r="B241" s="4" t="s">
        <v>39</v>
      </c>
      <c r="C241" s="5">
        <v>45912.38092592593</v>
      </c>
      <c r="D241" s="5">
        <v>45912</v>
      </c>
      <c r="E241" s="6">
        <f>IF(AND(C241&lt;&gt;"",D241&lt;&gt;""),D241-C241,"")</f>
        <v>0</v>
      </c>
      <c r="F241" s="4" t="s">
        <v>172</v>
      </c>
      <c r="G241" s="4" t="s">
        <v>173</v>
      </c>
      <c r="H241" s="4" t="s">
        <v>32</v>
      </c>
      <c r="I241" s="4" t="s">
        <v>33</v>
      </c>
      <c r="J241" s="4">
        <v>1</v>
      </c>
      <c r="K241" s="4">
        <v>0</v>
      </c>
      <c r="L241" s="4">
        <f>J241+K241</f>
        <v>0</v>
      </c>
      <c r="M241" s="4" t="s">
        <v>42</v>
      </c>
      <c r="N241" s="4"/>
      <c r="O241" s="4">
        <v>1</v>
      </c>
      <c r="P241" s="4" t="s">
        <v>135</v>
      </c>
      <c r="Q241" s="4" t="s">
        <v>44</v>
      </c>
      <c r="R241" s="7">
        <v>370000</v>
      </c>
      <c r="S241" s="7">
        <v>0</v>
      </c>
      <c r="T241" s="7">
        <f>R241-S241</f>
        <v>0</v>
      </c>
      <c r="U241" s="7">
        <f>T241*O241</f>
        <v>0</v>
      </c>
    </row>
    <row r="242" spans="1:21">
      <c r="A242" s="4" t="s">
        <v>369</v>
      </c>
      <c r="B242" s="4" t="s">
        <v>39</v>
      </c>
      <c r="C242" s="5">
        <v>45912.39489583333</v>
      </c>
      <c r="D242" s="5">
        <v>45912</v>
      </c>
      <c r="E242" s="6">
        <f>IF(AND(C242&lt;&gt;"",D242&lt;&gt;""),D242-C242,"")</f>
        <v>0</v>
      </c>
      <c r="F242" s="4" t="s">
        <v>172</v>
      </c>
      <c r="G242" s="4" t="s">
        <v>173</v>
      </c>
      <c r="H242" s="4" t="s">
        <v>32</v>
      </c>
      <c r="I242" s="4" t="s">
        <v>33</v>
      </c>
      <c r="J242" s="4">
        <v>2</v>
      </c>
      <c r="K242" s="4">
        <v>0</v>
      </c>
      <c r="L242" s="4">
        <f>J242+K242</f>
        <v>0</v>
      </c>
      <c r="M242" s="4" t="s">
        <v>80</v>
      </c>
      <c r="N242" s="4"/>
      <c r="O242" s="4">
        <v>2</v>
      </c>
      <c r="P242" s="4" t="s">
        <v>135</v>
      </c>
      <c r="Q242" s="4" t="s">
        <v>44</v>
      </c>
      <c r="R242" s="7">
        <v>620000</v>
      </c>
      <c r="S242" s="7">
        <v>0</v>
      </c>
      <c r="T242" s="7">
        <f>R242-S242</f>
        <v>0</v>
      </c>
      <c r="U242" s="7">
        <f>T242*O242</f>
        <v>0</v>
      </c>
    </row>
    <row r="243" spans="1:21">
      <c r="A243" s="4" t="s">
        <v>369</v>
      </c>
      <c r="B243" s="4" t="s">
        <v>39</v>
      </c>
      <c r="C243" s="5">
        <v>45912.39489583333</v>
      </c>
      <c r="D243" s="5">
        <v>45912</v>
      </c>
      <c r="E243" s="6">
        <f>IF(AND(C243&lt;&gt;"",D243&lt;&gt;""),D243-C243,"")</f>
        <v>0</v>
      </c>
      <c r="F243" s="4" t="s">
        <v>172</v>
      </c>
      <c r="G243" s="4" t="s">
        <v>173</v>
      </c>
      <c r="H243" s="4" t="s">
        <v>32</v>
      </c>
      <c r="I243" s="4" t="s">
        <v>33</v>
      </c>
      <c r="J243" s="4">
        <v>0</v>
      </c>
      <c r="K243" s="4">
        <v>0</v>
      </c>
      <c r="L243" s="4">
        <f>J243+K243</f>
        <v>0</v>
      </c>
      <c r="M243" s="4" t="s">
        <v>370</v>
      </c>
      <c r="N243" s="4"/>
      <c r="O243" s="4">
        <v>1</v>
      </c>
      <c r="P243" s="4" t="s">
        <v>135</v>
      </c>
      <c r="Q243" s="4" t="s">
        <v>44</v>
      </c>
      <c r="R243" s="7">
        <v>500000</v>
      </c>
      <c r="S243" s="7">
        <v>0</v>
      </c>
      <c r="T243" s="7">
        <f>R243-S243</f>
        <v>0</v>
      </c>
      <c r="U243" s="7">
        <f>T243*O243</f>
        <v>0</v>
      </c>
    </row>
    <row r="244" spans="1:21">
      <c r="A244" s="4" t="s">
        <v>371</v>
      </c>
      <c r="B244" s="4" t="s">
        <v>48</v>
      </c>
      <c r="C244" s="5">
        <v>45912.45920138889</v>
      </c>
      <c r="D244" s="5">
        <v>45961</v>
      </c>
      <c r="E244" s="6">
        <f>IF(AND(C244&lt;&gt;"",D244&lt;&gt;""),D244-C244,"")</f>
        <v>0</v>
      </c>
      <c r="F244" s="4" t="s">
        <v>372</v>
      </c>
      <c r="G244" s="4" t="s">
        <v>373</v>
      </c>
      <c r="H244" s="4" t="s">
        <v>32</v>
      </c>
      <c r="I244" s="4" t="s">
        <v>33</v>
      </c>
      <c r="J244" s="4">
        <v>2</v>
      </c>
      <c r="K244" s="4">
        <v>0</v>
      </c>
      <c r="L244" s="4">
        <f>J244+K244</f>
        <v>0</v>
      </c>
      <c r="M244" s="4"/>
      <c r="N244" s="4"/>
      <c r="O244" s="4">
        <v>0</v>
      </c>
      <c r="P244" s="4"/>
      <c r="Q244" s="4"/>
      <c r="R244" s="7">
        <v>0</v>
      </c>
      <c r="S244" s="7">
        <v>0</v>
      </c>
      <c r="T244" s="7">
        <f>R244-S244</f>
        <v>0</v>
      </c>
      <c r="U244" s="7">
        <f>T244*O244</f>
        <v>0</v>
      </c>
    </row>
    <row r="245" spans="1:21">
      <c r="A245" s="4" t="s">
        <v>374</v>
      </c>
      <c r="B245" s="4" t="s">
        <v>48</v>
      </c>
      <c r="C245" s="5">
        <v>45912.46222222222</v>
      </c>
      <c r="D245" s="5">
        <v>45961</v>
      </c>
      <c r="E245" s="6">
        <f>IF(AND(C245&lt;&gt;"",D245&lt;&gt;""),D245-C245,"")</f>
        <v>0</v>
      </c>
      <c r="F245" s="4" t="s">
        <v>162</v>
      </c>
      <c r="G245" s="4" t="s">
        <v>163</v>
      </c>
      <c r="H245" s="4" t="s">
        <v>32</v>
      </c>
      <c r="I245" s="4" t="s">
        <v>33</v>
      </c>
      <c r="J245" s="4">
        <v>2</v>
      </c>
      <c r="K245" s="4">
        <v>2</v>
      </c>
      <c r="L245" s="4">
        <f>J245+K245</f>
        <v>0</v>
      </c>
      <c r="M245" s="4"/>
      <c r="N245" s="4"/>
      <c r="O245" s="4">
        <v>0</v>
      </c>
      <c r="P245" s="4"/>
      <c r="Q245" s="4"/>
      <c r="R245" s="7">
        <v>0</v>
      </c>
      <c r="S245" s="7">
        <v>0</v>
      </c>
      <c r="T245" s="7">
        <f>R245-S245</f>
        <v>0</v>
      </c>
      <c r="U245" s="7">
        <f>T245*O245</f>
        <v>0</v>
      </c>
    </row>
    <row r="246" spans="1:21">
      <c r="A246" s="4" t="s">
        <v>375</v>
      </c>
      <c r="B246" s="4" t="s">
        <v>48</v>
      </c>
      <c r="C246" s="5">
        <v>45912.53927083333</v>
      </c>
      <c r="D246" s="5">
        <v>45961</v>
      </c>
      <c r="E246" s="6">
        <f>IF(AND(C246&lt;&gt;"",D246&lt;&gt;""),D246-C246,"")</f>
        <v>0</v>
      </c>
      <c r="F246" s="4" t="s">
        <v>162</v>
      </c>
      <c r="G246" s="4" t="s">
        <v>163</v>
      </c>
      <c r="H246" s="4" t="s">
        <v>32</v>
      </c>
      <c r="I246" s="4" t="s">
        <v>33</v>
      </c>
      <c r="J246" s="4">
        <v>2</v>
      </c>
      <c r="K246" s="4">
        <v>2</v>
      </c>
      <c r="L246" s="4">
        <f>J246+K246</f>
        <v>0</v>
      </c>
      <c r="M246" s="4"/>
      <c r="N246" s="4"/>
      <c r="O246" s="4">
        <v>0</v>
      </c>
      <c r="P246" s="4"/>
      <c r="Q246" s="4"/>
      <c r="R246" s="7">
        <v>0</v>
      </c>
      <c r="S246" s="7">
        <v>0</v>
      </c>
      <c r="T246" s="7">
        <f>R246-S246</f>
        <v>0</v>
      </c>
      <c r="U246" s="7">
        <f>T246*O246</f>
        <v>0</v>
      </c>
    </row>
    <row r="247" spans="1:21">
      <c r="A247" s="4" t="s">
        <v>376</v>
      </c>
      <c r="B247" s="4" t="s">
        <v>48</v>
      </c>
      <c r="C247" s="5">
        <v>45912.55127314815</v>
      </c>
      <c r="D247" s="5">
        <v>45961</v>
      </c>
      <c r="E247" s="6">
        <f>IF(AND(C247&lt;&gt;"",D247&lt;&gt;""),D247-C247,"")</f>
        <v>0</v>
      </c>
      <c r="F247" s="4" t="s">
        <v>162</v>
      </c>
      <c r="G247" s="4" t="s">
        <v>163</v>
      </c>
      <c r="H247" s="4" t="s">
        <v>32</v>
      </c>
      <c r="I247" s="4" t="s">
        <v>33</v>
      </c>
      <c r="J247" s="4">
        <v>6</v>
      </c>
      <c r="K247" s="4">
        <v>0</v>
      </c>
      <c r="L247" s="4">
        <f>J247+K247</f>
        <v>0</v>
      </c>
      <c r="M247" s="4"/>
      <c r="N247" s="4"/>
      <c r="O247" s="4">
        <v>0</v>
      </c>
      <c r="P247" s="4"/>
      <c r="Q247" s="4"/>
      <c r="R247" s="7">
        <v>0</v>
      </c>
      <c r="S247" s="7">
        <v>0</v>
      </c>
      <c r="T247" s="7">
        <f>R247-S247</f>
        <v>0</v>
      </c>
      <c r="U247" s="7">
        <f>T247*O247</f>
        <v>0</v>
      </c>
    </row>
    <row r="248" spans="1:21">
      <c r="A248" s="4" t="s">
        <v>377</v>
      </c>
      <c r="B248" s="4" t="s">
        <v>48</v>
      </c>
      <c r="C248" s="5">
        <v>45912.55773148148</v>
      </c>
      <c r="D248" s="5">
        <v>45961</v>
      </c>
      <c r="E248" s="6">
        <f>IF(AND(C248&lt;&gt;"",D248&lt;&gt;""),D248-C248,"")</f>
        <v>0</v>
      </c>
      <c r="F248" s="4" t="s">
        <v>378</v>
      </c>
      <c r="G248" s="4" t="s">
        <v>379</v>
      </c>
      <c r="H248" s="4" t="s">
        <v>32</v>
      </c>
      <c r="I248" s="4" t="s">
        <v>33</v>
      </c>
      <c r="J248" s="4">
        <v>1</v>
      </c>
      <c r="K248" s="4">
        <v>0</v>
      </c>
      <c r="L248" s="4">
        <f>J248+K248</f>
        <v>0</v>
      </c>
      <c r="M248" s="4"/>
      <c r="N248" s="4"/>
      <c r="O248" s="4">
        <v>0</v>
      </c>
      <c r="P248" s="4"/>
      <c r="Q248" s="4"/>
      <c r="R248" s="7">
        <v>0</v>
      </c>
      <c r="S248" s="7">
        <v>0</v>
      </c>
      <c r="T248" s="7">
        <f>R248-S248</f>
        <v>0</v>
      </c>
      <c r="U248" s="7">
        <f>T248*O248</f>
        <v>0</v>
      </c>
    </row>
    <row r="249" spans="1:21">
      <c r="A249" s="4" t="s">
        <v>380</v>
      </c>
      <c r="B249" s="4" t="s">
        <v>48</v>
      </c>
      <c r="C249" s="5">
        <v>45912.55976851852</v>
      </c>
      <c r="D249" s="5">
        <v>45961</v>
      </c>
      <c r="E249" s="6">
        <f>IF(AND(C249&lt;&gt;"",D249&lt;&gt;""),D249-C249,"")</f>
        <v>0</v>
      </c>
      <c r="F249" s="4" t="s">
        <v>162</v>
      </c>
      <c r="G249" s="4" t="s">
        <v>163</v>
      </c>
      <c r="H249" s="4" t="s">
        <v>32</v>
      </c>
      <c r="I249" s="4" t="s">
        <v>33</v>
      </c>
      <c r="J249" s="4">
        <v>3</v>
      </c>
      <c r="K249" s="4">
        <v>0</v>
      </c>
      <c r="L249" s="4">
        <f>J249+K249</f>
        <v>0</v>
      </c>
      <c r="M249" s="4"/>
      <c r="N249" s="4"/>
      <c r="O249" s="4">
        <v>0</v>
      </c>
      <c r="P249" s="4"/>
      <c r="Q249" s="4"/>
      <c r="R249" s="7">
        <v>0</v>
      </c>
      <c r="S249" s="7">
        <v>0</v>
      </c>
      <c r="T249" s="7">
        <f>R249-S249</f>
        <v>0</v>
      </c>
      <c r="U249" s="7">
        <f>T249*O249</f>
        <v>0</v>
      </c>
    </row>
    <row r="250" spans="1:21">
      <c r="A250" s="4" t="s">
        <v>381</v>
      </c>
      <c r="B250" s="4" t="s">
        <v>48</v>
      </c>
      <c r="C250" s="5">
        <v>45912.56226851852</v>
      </c>
      <c r="D250" s="5">
        <v>45961</v>
      </c>
      <c r="E250" s="6">
        <f>IF(AND(C250&lt;&gt;"",D250&lt;&gt;""),D250-C250,"")</f>
        <v>0</v>
      </c>
      <c r="F250" s="4" t="s">
        <v>378</v>
      </c>
      <c r="G250" s="4" t="s">
        <v>379</v>
      </c>
      <c r="H250" s="4" t="s">
        <v>32</v>
      </c>
      <c r="I250" s="4" t="s">
        <v>33</v>
      </c>
      <c r="J250" s="4">
        <v>1</v>
      </c>
      <c r="K250" s="4">
        <v>0</v>
      </c>
      <c r="L250" s="4">
        <f>J250+K250</f>
        <v>0</v>
      </c>
      <c r="M250" s="4"/>
      <c r="N250" s="4"/>
      <c r="O250" s="4">
        <v>0</v>
      </c>
      <c r="P250" s="4"/>
      <c r="Q250" s="4"/>
      <c r="R250" s="7">
        <v>0</v>
      </c>
      <c r="S250" s="7">
        <v>0</v>
      </c>
      <c r="T250" s="7">
        <f>R250-S250</f>
        <v>0</v>
      </c>
      <c r="U250" s="7">
        <f>T250*O250</f>
        <v>0</v>
      </c>
    </row>
    <row r="251" spans="1:21">
      <c r="A251" s="4" t="s">
        <v>382</v>
      </c>
      <c r="B251" s="4" t="s">
        <v>48</v>
      </c>
      <c r="C251" s="5">
        <v>45912.58109953703</v>
      </c>
      <c r="D251" s="5">
        <v>45961</v>
      </c>
      <c r="E251" s="6">
        <f>IF(AND(C251&lt;&gt;"",D251&lt;&gt;""),D251-C251,"")</f>
        <v>0</v>
      </c>
      <c r="F251" s="4" t="s">
        <v>383</v>
      </c>
      <c r="G251" s="4" t="s">
        <v>384</v>
      </c>
      <c r="H251" s="4" t="s">
        <v>32</v>
      </c>
      <c r="I251" s="4" t="s">
        <v>33</v>
      </c>
      <c r="J251" s="4">
        <v>1</v>
      </c>
      <c r="K251" s="4">
        <v>1</v>
      </c>
      <c r="L251" s="4">
        <f>J251+K251</f>
        <v>0</v>
      </c>
      <c r="M251" s="4"/>
      <c r="N251" s="4"/>
      <c r="O251" s="4">
        <v>0</v>
      </c>
      <c r="P251" s="4"/>
      <c r="Q251" s="4"/>
      <c r="R251" s="7">
        <v>0</v>
      </c>
      <c r="S251" s="7">
        <v>0</v>
      </c>
      <c r="T251" s="7">
        <f>R251-S251</f>
        <v>0</v>
      </c>
      <c r="U251" s="7">
        <f>T251*O251</f>
        <v>0</v>
      </c>
    </row>
    <row r="252" spans="1:21">
      <c r="A252" s="4" t="s">
        <v>385</v>
      </c>
      <c r="B252" s="4" t="s">
        <v>48</v>
      </c>
      <c r="C252" s="5">
        <v>45912.61087962963</v>
      </c>
      <c r="D252" s="5">
        <v>45961</v>
      </c>
      <c r="E252" s="6">
        <f>IF(AND(C252&lt;&gt;"",D252&lt;&gt;""),D252-C252,"")</f>
        <v>0</v>
      </c>
      <c r="F252" s="4" t="s">
        <v>386</v>
      </c>
      <c r="G252" s="4" t="s">
        <v>387</v>
      </c>
      <c r="H252" s="4" t="s">
        <v>32</v>
      </c>
      <c r="I252" s="4" t="s">
        <v>33</v>
      </c>
      <c r="J252" s="4">
        <v>4</v>
      </c>
      <c r="K252" s="4">
        <v>0</v>
      </c>
      <c r="L252" s="4">
        <f>J252+K252</f>
        <v>0</v>
      </c>
      <c r="M252" s="4"/>
      <c r="N252" s="4"/>
      <c r="O252" s="4">
        <v>0</v>
      </c>
      <c r="P252" s="4"/>
      <c r="Q252" s="4"/>
      <c r="R252" s="7">
        <v>0</v>
      </c>
      <c r="S252" s="7">
        <v>0</v>
      </c>
      <c r="T252" s="7">
        <f>R252-S252</f>
        <v>0</v>
      </c>
      <c r="U252" s="7">
        <f>T252*O252</f>
        <v>0</v>
      </c>
    </row>
    <row r="253" spans="1:21">
      <c r="A253" s="4" t="s">
        <v>388</v>
      </c>
      <c r="B253" s="4" t="s">
        <v>48</v>
      </c>
      <c r="C253" s="5">
        <v>45912.6153587963</v>
      </c>
      <c r="D253" s="5">
        <v>45961</v>
      </c>
      <c r="E253" s="6">
        <f>IF(AND(C253&lt;&gt;"",D253&lt;&gt;""),D253-C253,"")</f>
        <v>0</v>
      </c>
      <c r="F253" s="4" t="s">
        <v>61</v>
      </c>
      <c r="G253" s="4" t="s">
        <v>62</v>
      </c>
      <c r="H253" s="4" t="s">
        <v>32</v>
      </c>
      <c r="I253" s="4" t="s">
        <v>33</v>
      </c>
      <c r="J253" s="4">
        <v>2</v>
      </c>
      <c r="K253" s="4">
        <v>2</v>
      </c>
      <c r="L253" s="4">
        <f>J253+K253</f>
        <v>0</v>
      </c>
      <c r="M253" s="4"/>
      <c r="N253" s="4"/>
      <c r="O253" s="4">
        <v>0</v>
      </c>
      <c r="P253" s="4"/>
      <c r="Q253" s="4"/>
      <c r="R253" s="7">
        <v>0</v>
      </c>
      <c r="S253" s="7">
        <v>0</v>
      </c>
      <c r="T253" s="7">
        <f>R253-S253</f>
        <v>0</v>
      </c>
      <c r="U253" s="7">
        <f>T253*O253</f>
        <v>0</v>
      </c>
    </row>
    <row r="254" spans="1:21">
      <c r="A254" s="4" t="s">
        <v>389</v>
      </c>
      <c r="B254" s="4" t="s">
        <v>39</v>
      </c>
      <c r="C254" s="5">
        <v>45912.74518518519</v>
      </c>
      <c r="D254" s="5">
        <v>45912</v>
      </c>
      <c r="E254" s="6">
        <f>IF(AND(C254&lt;&gt;"",D254&lt;&gt;""),D254-C254,"")</f>
        <v>0</v>
      </c>
      <c r="F254" s="4" t="s">
        <v>292</v>
      </c>
      <c r="G254" s="4" t="s">
        <v>293</v>
      </c>
      <c r="H254" s="4" t="s">
        <v>32</v>
      </c>
      <c r="I254" s="4" t="s">
        <v>33</v>
      </c>
      <c r="J254" s="4">
        <v>1</v>
      </c>
      <c r="K254" s="4">
        <v>0</v>
      </c>
      <c r="L254" s="4">
        <f>J254+K254</f>
        <v>0</v>
      </c>
      <c r="M254" s="4" t="s">
        <v>80</v>
      </c>
      <c r="N254" s="4"/>
      <c r="O254" s="4">
        <v>1</v>
      </c>
      <c r="P254" s="4" t="s">
        <v>135</v>
      </c>
      <c r="Q254" s="4" t="s">
        <v>44</v>
      </c>
      <c r="R254" s="7">
        <v>610000</v>
      </c>
      <c r="S254" s="7">
        <v>0</v>
      </c>
      <c r="T254" s="7">
        <f>R254-S254</f>
        <v>0</v>
      </c>
      <c r="U254" s="7">
        <f>T254*O254</f>
        <v>0</v>
      </c>
    </row>
    <row r="255" spans="1:21">
      <c r="A255" s="4" t="s">
        <v>389</v>
      </c>
      <c r="B255" s="4" t="s">
        <v>39</v>
      </c>
      <c r="C255" s="5">
        <v>45912.74518518519</v>
      </c>
      <c r="D255" s="5">
        <v>45912</v>
      </c>
      <c r="E255" s="6">
        <f>IF(AND(C255&lt;&gt;"",D255&lt;&gt;""),D255-C255,"")</f>
        <v>0</v>
      </c>
      <c r="F255" s="4" t="s">
        <v>292</v>
      </c>
      <c r="G255" s="4" t="s">
        <v>293</v>
      </c>
      <c r="H255" s="4" t="s">
        <v>32</v>
      </c>
      <c r="I255" s="4" t="s">
        <v>33</v>
      </c>
      <c r="J255" s="4">
        <v>0</v>
      </c>
      <c r="K255" s="4">
        <v>1</v>
      </c>
      <c r="L255" s="4">
        <f>J255+K255</f>
        <v>0</v>
      </c>
      <c r="M255" s="4" t="s">
        <v>81</v>
      </c>
      <c r="N255" s="4"/>
      <c r="O255" s="4">
        <v>1</v>
      </c>
      <c r="P255" s="4" t="s">
        <v>135</v>
      </c>
      <c r="Q255" s="4" t="s">
        <v>44</v>
      </c>
      <c r="R255" s="7">
        <v>-445500</v>
      </c>
      <c r="S255" s="7">
        <v>0</v>
      </c>
      <c r="T255" s="7">
        <f>R255-S255</f>
        <v>0</v>
      </c>
      <c r="U255" s="7">
        <f>T255*O255</f>
        <v>0</v>
      </c>
    </row>
    <row r="256" spans="1:21">
      <c r="A256" s="4" t="s">
        <v>390</v>
      </c>
      <c r="B256" s="4" t="s">
        <v>39</v>
      </c>
      <c r="C256" s="5">
        <v>45912.74518518519</v>
      </c>
      <c r="D256" s="5">
        <v>45912</v>
      </c>
      <c r="E256" s="6">
        <f>IF(AND(C256&lt;&gt;"",D256&lt;&gt;""),D256-C256,"")</f>
        <v>0</v>
      </c>
      <c r="F256" s="4" t="s">
        <v>292</v>
      </c>
      <c r="G256" s="4" t="s">
        <v>293</v>
      </c>
      <c r="H256" s="4" t="s">
        <v>32</v>
      </c>
      <c r="I256" s="4" t="s">
        <v>33</v>
      </c>
      <c r="J256" s="4">
        <v>0</v>
      </c>
      <c r="K256" s="4">
        <v>1</v>
      </c>
      <c r="L256" s="4">
        <f>J256+K256</f>
        <v>0</v>
      </c>
      <c r="M256" s="4" t="s">
        <v>81</v>
      </c>
      <c r="N256" s="4"/>
      <c r="O256" s="4">
        <v>1</v>
      </c>
      <c r="P256" s="4" t="s">
        <v>135</v>
      </c>
      <c r="Q256" s="4" t="s">
        <v>44</v>
      </c>
      <c r="R256" s="7">
        <v>-445500</v>
      </c>
      <c r="S256" s="7">
        <v>0</v>
      </c>
      <c r="T256" s="7">
        <f>R256-S256</f>
        <v>0</v>
      </c>
      <c r="U256" s="7">
        <f>T256*O256</f>
        <v>0</v>
      </c>
    </row>
    <row r="257" spans="1:21">
      <c r="A257" s="4" t="s">
        <v>390</v>
      </c>
      <c r="B257" s="4" t="s">
        <v>39</v>
      </c>
      <c r="C257" s="5">
        <v>45912.74518518519</v>
      </c>
      <c r="D257" s="5">
        <v>45912</v>
      </c>
      <c r="E257" s="6">
        <f>IF(AND(C257&lt;&gt;"",D257&lt;&gt;""),D257-C257,"")</f>
        <v>0</v>
      </c>
      <c r="F257" s="4" t="s">
        <v>292</v>
      </c>
      <c r="G257" s="4" t="s">
        <v>293</v>
      </c>
      <c r="H257" s="4" t="s">
        <v>32</v>
      </c>
      <c r="I257" s="4" t="s">
        <v>33</v>
      </c>
      <c r="J257" s="4">
        <v>1</v>
      </c>
      <c r="K257" s="4">
        <v>0</v>
      </c>
      <c r="L257" s="4">
        <f>J257+K257</f>
        <v>0</v>
      </c>
      <c r="M257" s="4" t="s">
        <v>80</v>
      </c>
      <c r="N257" s="4"/>
      <c r="O257" s="4">
        <v>1</v>
      </c>
      <c r="P257" s="4" t="s">
        <v>135</v>
      </c>
      <c r="Q257" s="4" t="s">
        <v>44</v>
      </c>
      <c r="R257" s="7">
        <v>610000</v>
      </c>
      <c r="S257" s="7">
        <v>0</v>
      </c>
      <c r="T257" s="7">
        <f>R257-S257</f>
        <v>0</v>
      </c>
      <c r="U257" s="7">
        <f>T257*O257</f>
        <v>0</v>
      </c>
    </row>
    <row r="258" spans="1:21">
      <c r="A258" s="4" t="s">
        <v>391</v>
      </c>
      <c r="B258" s="4" t="s">
        <v>48</v>
      </c>
      <c r="C258" s="5">
        <v>45913.00144675926</v>
      </c>
      <c r="D258" s="5">
        <v>45961</v>
      </c>
      <c r="E258" s="6">
        <f>IF(AND(C258&lt;&gt;"",D258&lt;&gt;""),D258-C258,"")</f>
        <v>0</v>
      </c>
      <c r="F258" s="4" t="s">
        <v>162</v>
      </c>
      <c r="G258" s="4" t="s">
        <v>163</v>
      </c>
      <c r="H258" s="4" t="s">
        <v>32</v>
      </c>
      <c r="I258" s="4" t="s">
        <v>33</v>
      </c>
      <c r="J258" s="4">
        <v>1</v>
      </c>
      <c r="K258" s="4">
        <v>0</v>
      </c>
      <c r="L258" s="4">
        <f>J258+K258</f>
        <v>0</v>
      </c>
      <c r="M258" s="4"/>
      <c r="N258" s="4"/>
      <c r="O258" s="4">
        <v>0</v>
      </c>
      <c r="P258" s="4"/>
      <c r="Q258" s="4"/>
      <c r="R258" s="7">
        <v>0</v>
      </c>
      <c r="S258" s="7">
        <v>0</v>
      </c>
      <c r="T258" s="7">
        <f>R258-S258</f>
        <v>0</v>
      </c>
      <c r="U258" s="7">
        <f>T258*O258</f>
        <v>0</v>
      </c>
    </row>
    <row r="259" spans="1:21">
      <c r="A259" s="4" t="s">
        <v>392</v>
      </c>
      <c r="B259" s="4" t="s">
        <v>39</v>
      </c>
      <c r="C259" s="5">
        <v>45914.67803240741</v>
      </c>
      <c r="D259" s="5">
        <v>45914</v>
      </c>
      <c r="E259" s="6">
        <f>IF(AND(C259&lt;&gt;"",D259&lt;&gt;""),D259-C259,"")</f>
        <v>0</v>
      </c>
      <c r="F259" s="4" t="s">
        <v>393</v>
      </c>
      <c r="G259" s="4" t="s">
        <v>394</v>
      </c>
      <c r="H259" s="4" t="s">
        <v>319</v>
      </c>
      <c r="I259" s="4" t="s">
        <v>56</v>
      </c>
      <c r="J259" s="4">
        <v>1</v>
      </c>
      <c r="K259" s="4">
        <v>0</v>
      </c>
      <c r="L259" s="4">
        <f>J259+K259</f>
        <v>0</v>
      </c>
      <c r="M259" s="4" t="s">
        <v>42</v>
      </c>
      <c r="N259" s="4"/>
      <c r="O259" s="4">
        <v>1</v>
      </c>
      <c r="P259" s="4" t="s">
        <v>135</v>
      </c>
      <c r="Q259" s="4" t="s">
        <v>44</v>
      </c>
      <c r="R259" s="7">
        <v>370000</v>
      </c>
      <c r="S259" s="7">
        <v>0</v>
      </c>
      <c r="T259" s="7">
        <f>R259-S259</f>
        <v>0</v>
      </c>
      <c r="U259" s="7">
        <f>T259*O259</f>
        <v>0</v>
      </c>
    </row>
    <row r="260" spans="1:21">
      <c r="A260" s="4" t="s">
        <v>395</v>
      </c>
      <c r="B260" s="4" t="s">
        <v>39</v>
      </c>
      <c r="C260" s="5">
        <v>45915.18876157407</v>
      </c>
      <c r="D260" s="5">
        <v>45915</v>
      </c>
      <c r="E260" s="6">
        <f>IF(AND(C260&lt;&gt;"",D260&lt;&gt;""),D260-C260,"")</f>
        <v>0</v>
      </c>
      <c r="F260" s="4" t="s">
        <v>396</v>
      </c>
      <c r="G260" s="4"/>
      <c r="H260" s="4" t="s">
        <v>32</v>
      </c>
      <c r="I260" s="4" t="s">
        <v>33</v>
      </c>
      <c r="J260" s="4">
        <v>1</v>
      </c>
      <c r="K260" s="4">
        <v>0</v>
      </c>
      <c r="L260" s="4">
        <f>J260+K260</f>
        <v>0</v>
      </c>
      <c r="M260" s="4" t="s">
        <v>397</v>
      </c>
      <c r="N260" s="4"/>
      <c r="O260" s="4">
        <v>1</v>
      </c>
      <c r="P260" s="4" t="s">
        <v>43</v>
      </c>
      <c r="Q260" s="4"/>
      <c r="R260" s="7">
        <v>100000</v>
      </c>
      <c r="S260" s="7">
        <v>0</v>
      </c>
      <c r="T260" s="7">
        <f>R260-S260</f>
        <v>0</v>
      </c>
      <c r="U260" s="7">
        <f>T260*O260</f>
        <v>0</v>
      </c>
    </row>
    <row r="261" spans="1:21">
      <c r="A261" s="4" t="s">
        <v>398</v>
      </c>
      <c r="B261" s="4" t="s">
        <v>39</v>
      </c>
      <c r="C261" s="5">
        <v>45915.23075231481</v>
      </c>
      <c r="D261" s="5">
        <v>45915</v>
      </c>
      <c r="E261" s="6">
        <f>IF(AND(C261&lt;&gt;"",D261&lt;&gt;""),D261-C261,"")</f>
        <v>0</v>
      </c>
      <c r="F261" s="4" t="s">
        <v>399</v>
      </c>
      <c r="G261" s="4" t="s">
        <v>400</v>
      </c>
      <c r="H261" s="4" t="s">
        <v>32</v>
      </c>
      <c r="I261" s="4" t="s">
        <v>33</v>
      </c>
      <c r="J261" s="4">
        <v>0</v>
      </c>
      <c r="K261" s="4">
        <v>0</v>
      </c>
      <c r="L261" s="4">
        <f>J261+K261</f>
        <v>0</v>
      </c>
      <c r="M261" s="4" t="s">
        <v>370</v>
      </c>
      <c r="N261" s="4"/>
      <c r="O261" s="4">
        <v>1</v>
      </c>
      <c r="P261" s="4" t="s">
        <v>135</v>
      </c>
      <c r="Q261" s="4" t="s">
        <v>44</v>
      </c>
      <c r="R261" s="7">
        <v>1000000</v>
      </c>
      <c r="S261" s="7">
        <v>0</v>
      </c>
      <c r="T261" s="7">
        <f>R261-S261</f>
        <v>0</v>
      </c>
      <c r="U261" s="7">
        <f>T261*O261</f>
        <v>0</v>
      </c>
    </row>
    <row r="262" spans="1:21">
      <c r="A262" s="4" t="s">
        <v>398</v>
      </c>
      <c r="B262" s="4" t="s">
        <v>39</v>
      </c>
      <c r="C262" s="5">
        <v>45915.23075231481</v>
      </c>
      <c r="D262" s="5">
        <v>45915</v>
      </c>
      <c r="E262" s="6">
        <f>IF(AND(C262&lt;&gt;"",D262&lt;&gt;""),D262-C262,"")</f>
        <v>0</v>
      </c>
      <c r="F262" s="4" t="s">
        <v>399</v>
      </c>
      <c r="G262" s="4" t="s">
        <v>400</v>
      </c>
      <c r="H262" s="4" t="s">
        <v>32</v>
      </c>
      <c r="I262" s="4" t="s">
        <v>33</v>
      </c>
      <c r="J262" s="4">
        <v>2</v>
      </c>
      <c r="K262" s="4">
        <v>0</v>
      </c>
      <c r="L262" s="4">
        <f>J262+K262</f>
        <v>0</v>
      </c>
      <c r="M262" s="4" t="s">
        <v>42</v>
      </c>
      <c r="N262" s="4"/>
      <c r="O262" s="4">
        <v>2</v>
      </c>
      <c r="P262" s="4" t="s">
        <v>135</v>
      </c>
      <c r="Q262" s="4" t="s">
        <v>44</v>
      </c>
      <c r="R262" s="7">
        <v>370000</v>
      </c>
      <c r="S262" s="7">
        <v>0</v>
      </c>
      <c r="T262" s="7">
        <f>R262-S262</f>
        <v>0</v>
      </c>
      <c r="U262" s="7">
        <f>T262*O262</f>
        <v>0</v>
      </c>
    </row>
    <row r="263" spans="1:21">
      <c r="A263" s="4" t="s">
        <v>401</v>
      </c>
      <c r="B263" s="4" t="s">
        <v>39</v>
      </c>
      <c r="C263" s="5">
        <v>45915.24788194444</v>
      </c>
      <c r="D263" s="5">
        <v>45915</v>
      </c>
      <c r="E263" s="6">
        <f>IF(AND(C263&lt;&gt;"",D263&lt;&gt;""),D263-C263,"")</f>
        <v>0</v>
      </c>
      <c r="F263" s="4" t="s">
        <v>40</v>
      </c>
      <c r="G263" s="4" t="s">
        <v>41</v>
      </c>
      <c r="H263" s="4" t="s">
        <v>32</v>
      </c>
      <c r="I263" s="4" t="s">
        <v>33</v>
      </c>
      <c r="J263" s="4">
        <v>2</v>
      </c>
      <c r="K263" s="4">
        <v>0</v>
      </c>
      <c r="L263" s="4">
        <f>J263+K263</f>
        <v>0</v>
      </c>
      <c r="M263" s="4" t="s">
        <v>80</v>
      </c>
      <c r="N263" s="4"/>
      <c r="O263" s="4">
        <v>2</v>
      </c>
      <c r="P263" s="4" t="s">
        <v>135</v>
      </c>
      <c r="Q263" s="4" t="s">
        <v>44</v>
      </c>
      <c r="R263" s="7">
        <v>610000</v>
      </c>
      <c r="S263" s="7">
        <v>0</v>
      </c>
      <c r="T263" s="7">
        <f>R263-S263</f>
        <v>0</v>
      </c>
      <c r="U263" s="7">
        <f>T263*O263</f>
        <v>0</v>
      </c>
    </row>
    <row r="264" spans="1:21">
      <c r="A264" s="4" t="s">
        <v>401</v>
      </c>
      <c r="B264" s="4" t="s">
        <v>39</v>
      </c>
      <c r="C264" s="5">
        <v>45915.24788194444</v>
      </c>
      <c r="D264" s="5">
        <v>45915</v>
      </c>
      <c r="E264" s="6">
        <f>IF(AND(C264&lt;&gt;"",D264&lt;&gt;""),D264-C264,"")</f>
        <v>0</v>
      </c>
      <c r="F264" s="4" t="s">
        <v>40</v>
      </c>
      <c r="G264" s="4" t="s">
        <v>41</v>
      </c>
      <c r="H264" s="4" t="s">
        <v>32</v>
      </c>
      <c r="I264" s="4" t="s">
        <v>33</v>
      </c>
      <c r="J264" s="4">
        <v>0</v>
      </c>
      <c r="K264" s="4">
        <v>0</v>
      </c>
      <c r="L264" s="4">
        <f>J264+K264</f>
        <v>0</v>
      </c>
      <c r="M264" s="4" t="s">
        <v>370</v>
      </c>
      <c r="N264" s="4"/>
      <c r="O264" s="4">
        <v>1</v>
      </c>
      <c r="P264" s="4" t="s">
        <v>135</v>
      </c>
      <c r="Q264" s="4" t="s">
        <v>44</v>
      </c>
      <c r="R264" s="7">
        <v>3000000</v>
      </c>
      <c r="S264" s="7">
        <v>0</v>
      </c>
      <c r="T264" s="7">
        <f>R264-S264</f>
        <v>0</v>
      </c>
      <c r="U264" s="7">
        <f>T264*O264</f>
        <v>0</v>
      </c>
    </row>
    <row r="265" spans="1:21">
      <c r="A265" s="4" t="s">
        <v>402</v>
      </c>
      <c r="B265" s="4" t="s">
        <v>39</v>
      </c>
      <c r="C265" s="5">
        <v>45915.25594907408</v>
      </c>
      <c r="D265" s="5">
        <v>45915</v>
      </c>
      <c r="E265" s="6">
        <f>IF(AND(C265&lt;&gt;"",D265&lt;&gt;""),D265-C265,"")</f>
        <v>0</v>
      </c>
      <c r="F265" s="4" t="s">
        <v>403</v>
      </c>
      <c r="G265" s="4"/>
      <c r="H265" s="4" t="s">
        <v>32</v>
      </c>
      <c r="I265" s="4" t="s">
        <v>33</v>
      </c>
      <c r="J265" s="4">
        <v>0</v>
      </c>
      <c r="K265" s="4">
        <v>1</v>
      </c>
      <c r="L265" s="4">
        <f>J265+K265</f>
        <v>0</v>
      </c>
      <c r="M265" s="4" t="s">
        <v>81</v>
      </c>
      <c r="N265" s="4"/>
      <c r="O265" s="4">
        <v>1</v>
      </c>
      <c r="P265" s="4" t="s">
        <v>135</v>
      </c>
      <c r="Q265" s="4"/>
      <c r="R265" s="7">
        <v>495000</v>
      </c>
      <c r="S265" s="7">
        <v>0</v>
      </c>
      <c r="T265" s="7">
        <f>R265-S265</f>
        <v>0</v>
      </c>
      <c r="U265" s="7">
        <f>T265*O265</f>
        <v>0</v>
      </c>
    </row>
    <row r="266" spans="1:21">
      <c r="A266" s="4" t="s">
        <v>404</v>
      </c>
      <c r="B266" s="4" t="s">
        <v>39</v>
      </c>
      <c r="C266" s="5">
        <v>45915.25703703704</v>
      </c>
      <c r="D266" s="5">
        <v>45915</v>
      </c>
      <c r="E266" s="6">
        <f>IF(AND(C266&lt;&gt;"",D266&lt;&gt;""),D266-C266,"")</f>
        <v>0</v>
      </c>
      <c r="F266" s="4" t="s">
        <v>405</v>
      </c>
      <c r="G266" s="4"/>
      <c r="H266" s="4" t="s">
        <v>32</v>
      </c>
      <c r="I266" s="4" t="s">
        <v>33</v>
      </c>
      <c r="J266" s="4">
        <v>0</v>
      </c>
      <c r="K266" s="4">
        <v>1</v>
      </c>
      <c r="L266" s="4">
        <f>J266+K266</f>
        <v>0</v>
      </c>
      <c r="M266" s="4" t="s">
        <v>81</v>
      </c>
      <c r="N266" s="4"/>
      <c r="O266" s="4">
        <v>1</v>
      </c>
      <c r="P266" s="4" t="s">
        <v>135</v>
      </c>
      <c r="Q266" s="4"/>
      <c r="R266" s="7">
        <v>495000</v>
      </c>
      <c r="S266" s="7">
        <v>0</v>
      </c>
      <c r="T266" s="7">
        <f>R266-S266</f>
        <v>0</v>
      </c>
      <c r="U266" s="7">
        <f>T266*O266</f>
        <v>0</v>
      </c>
    </row>
    <row r="267" spans="1:21">
      <c r="A267" s="4" t="s">
        <v>406</v>
      </c>
      <c r="B267" s="4" t="s">
        <v>39</v>
      </c>
      <c r="C267" s="5">
        <v>45915.25707175926</v>
      </c>
      <c r="D267" s="5">
        <v>45915</v>
      </c>
      <c r="E267" s="6">
        <f>IF(AND(C267&lt;&gt;"",D267&lt;&gt;""),D267-C267,"")</f>
        <v>0</v>
      </c>
      <c r="F267" s="4" t="s">
        <v>399</v>
      </c>
      <c r="G267" s="4" t="s">
        <v>400</v>
      </c>
      <c r="H267" s="4" t="s">
        <v>32</v>
      </c>
      <c r="I267" s="4" t="s">
        <v>33</v>
      </c>
      <c r="J267" s="4">
        <v>2</v>
      </c>
      <c r="K267" s="4">
        <v>0</v>
      </c>
      <c r="L267" s="4">
        <f>J267+K267</f>
        <v>0</v>
      </c>
      <c r="M267" s="4" t="s">
        <v>42</v>
      </c>
      <c r="N267" s="4"/>
      <c r="O267" s="4">
        <v>2</v>
      </c>
      <c r="P267" s="4" t="s">
        <v>135</v>
      </c>
      <c r="Q267" s="4" t="s">
        <v>44</v>
      </c>
      <c r="R267" s="7">
        <v>370000</v>
      </c>
      <c r="S267" s="7">
        <v>0</v>
      </c>
      <c r="T267" s="7">
        <f>R267-S267</f>
        <v>0</v>
      </c>
      <c r="U267" s="7">
        <f>T267*O267</f>
        <v>0</v>
      </c>
    </row>
    <row r="268" spans="1:21">
      <c r="A268" s="4" t="s">
        <v>407</v>
      </c>
      <c r="B268" s="4" t="s">
        <v>39</v>
      </c>
      <c r="C268" s="5">
        <v>45915.25753472222</v>
      </c>
      <c r="D268" s="5">
        <v>45915</v>
      </c>
      <c r="E268" s="6">
        <f>IF(AND(C268&lt;&gt;"",D268&lt;&gt;""),D268-C268,"")</f>
        <v>0</v>
      </c>
      <c r="F268" s="4" t="s">
        <v>94</v>
      </c>
      <c r="G268" s="4"/>
      <c r="H268" s="4"/>
      <c r="I268" s="4" t="s">
        <v>56</v>
      </c>
      <c r="J268" s="4">
        <v>0</v>
      </c>
      <c r="K268" s="4">
        <v>1</v>
      </c>
      <c r="L268" s="4">
        <f>J268+K268</f>
        <v>0</v>
      </c>
      <c r="M268" s="4" t="s">
        <v>81</v>
      </c>
      <c r="N268" s="4"/>
      <c r="O268" s="4">
        <v>1</v>
      </c>
      <c r="P268" s="4" t="s">
        <v>135</v>
      </c>
      <c r="Q268" s="4"/>
      <c r="R268" s="7">
        <v>495000</v>
      </c>
      <c r="S268" s="7">
        <v>0</v>
      </c>
      <c r="T268" s="7">
        <f>R268-S268</f>
        <v>0</v>
      </c>
      <c r="U268" s="7">
        <f>T268*O268</f>
        <v>0</v>
      </c>
    </row>
    <row r="269" spans="1:21">
      <c r="A269" s="4" t="s">
        <v>407</v>
      </c>
      <c r="B269" s="4" t="s">
        <v>39</v>
      </c>
      <c r="C269" s="5">
        <v>45915.25753472222</v>
      </c>
      <c r="D269" s="5">
        <v>45915</v>
      </c>
      <c r="E269" s="6">
        <f>IF(AND(C269&lt;&gt;"",D269&lt;&gt;""),D269-C269,"")</f>
        <v>0</v>
      </c>
      <c r="F269" s="4" t="s">
        <v>94</v>
      </c>
      <c r="G269" s="4"/>
      <c r="H269" s="4"/>
      <c r="I269" s="4" t="s">
        <v>56</v>
      </c>
      <c r="J269" s="4">
        <v>1</v>
      </c>
      <c r="K269" s="4">
        <v>0</v>
      </c>
      <c r="L269" s="4">
        <f>J269+K269</f>
        <v>0</v>
      </c>
      <c r="M269" s="4" t="s">
        <v>80</v>
      </c>
      <c r="N269" s="4"/>
      <c r="O269" s="4">
        <v>1</v>
      </c>
      <c r="P269" s="4" t="s">
        <v>135</v>
      </c>
      <c r="Q269" s="4"/>
      <c r="R269" s="7">
        <v>620000</v>
      </c>
      <c r="S269" s="7">
        <v>0</v>
      </c>
      <c r="T269" s="7">
        <f>R269-S269</f>
        <v>0</v>
      </c>
      <c r="U269" s="7">
        <f>T269*O269</f>
        <v>0</v>
      </c>
    </row>
    <row r="270" spans="1:21">
      <c r="A270" s="4" t="s">
        <v>408</v>
      </c>
      <c r="B270" s="4" t="s">
        <v>39</v>
      </c>
      <c r="C270" s="5">
        <v>45915.25811342592</v>
      </c>
      <c r="D270" s="5">
        <v>45915</v>
      </c>
      <c r="E270" s="6">
        <f>IF(AND(C270&lt;&gt;"",D270&lt;&gt;""),D270-C270,"")</f>
        <v>0</v>
      </c>
      <c r="F270" s="4" t="s">
        <v>409</v>
      </c>
      <c r="G270" s="4"/>
      <c r="H270" s="4"/>
      <c r="I270" s="4" t="s">
        <v>56</v>
      </c>
      <c r="J270" s="4">
        <v>1</v>
      </c>
      <c r="K270" s="4">
        <v>0</v>
      </c>
      <c r="L270" s="4">
        <f>J270+K270</f>
        <v>0</v>
      </c>
      <c r="M270" s="4" t="s">
        <v>80</v>
      </c>
      <c r="N270" s="4"/>
      <c r="O270" s="4">
        <v>1</v>
      </c>
      <c r="P270" s="4" t="s">
        <v>135</v>
      </c>
      <c r="Q270" s="4"/>
      <c r="R270" s="7">
        <v>610000</v>
      </c>
      <c r="S270" s="7">
        <v>0</v>
      </c>
      <c r="T270" s="7">
        <f>R270-S270</f>
        <v>0</v>
      </c>
      <c r="U270" s="7">
        <f>T270*O270</f>
        <v>0</v>
      </c>
    </row>
    <row r="271" spans="1:21">
      <c r="A271" s="4" t="s">
        <v>408</v>
      </c>
      <c r="B271" s="4" t="s">
        <v>39</v>
      </c>
      <c r="C271" s="5">
        <v>45915.25811342592</v>
      </c>
      <c r="D271" s="5">
        <v>45915</v>
      </c>
      <c r="E271" s="6">
        <f>IF(AND(C271&lt;&gt;"",D271&lt;&gt;""),D271-C271,"")</f>
        <v>0</v>
      </c>
      <c r="F271" s="4" t="s">
        <v>409</v>
      </c>
      <c r="G271" s="4"/>
      <c r="H271" s="4"/>
      <c r="I271" s="4" t="s">
        <v>56</v>
      </c>
      <c r="J271" s="4">
        <v>0</v>
      </c>
      <c r="K271" s="4">
        <v>1</v>
      </c>
      <c r="L271" s="4">
        <f>J271+K271</f>
        <v>0</v>
      </c>
      <c r="M271" s="4" t="s">
        <v>81</v>
      </c>
      <c r="N271" s="4"/>
      <c r="O271" s="4">
        <v>1</v>
      </c>
      <c r="P271" s="4" t="s">
        <v>135</v>
      </c>
      <c r="Q271" s="4"/>
      <c r="R271" s="7">
        <v>495000</v>
      </c>
      <c r="S271" s="7">
        <v>0</v>
      </c>
      <c r="T271" s="7">
        <f>R271-S271</f>
        <v>0</v>
      </c>
      <c r="U271" s="7">
        <f>T271*O271</f>
        <v>0</v>
      </c>
    </row>
    <row r="272" spans="1:21">
      <c r="A272" s="4" t="s">
        <v>410</v>
      </c>
      <c r="B272" s="4" t="s">
        <v>39</v>
      </c>
      <c r="C272" s="5">
        <v>45915.31319444445</v>
      </c>
      <c r="D272" s="5">
        <v>45915</v>
      </c>
      <c r="E272" s="6">
        <f>IF(AND(C272&lt;&gt;"",D272&lt;&gt;""),D272-C272,"")</f>
        <v>0</v>
      </c>
      <c r="F272" s="4" t="s">
        <v>188</v>
      </c>
      <c r="G272" s="4" t="s">
        <v>189</v>
      </c>
      <c r="H272" s="4" t="s">
        <v>190</v>
      </c>
      <c r="I272" s="4" t="s">
        <v>56</v>
      </c>
      <c r="J272" s="4">
        <v>0</v>
      </c>
      <c r="K272" s="4">
        <v>0</v>
      </c>
      <c r="L272" s="4">
        <f>J272+K272</f>
        <v>0</v>
      </c>
      <c r="M272" s="4" t="s">
        <v>370</v>
      </c>
      <c r="N272" s="4"/>
      <c r="O272" s="4">
        <v>1</v>
      </c>
      <c r="P272" s="4" t="s">
        <v>135</v>
      </c>
      <c r="Q272" s="4"/>
      <c r="R272" s="7">
        <v>5000000</v>
      </c>
      <c r="S272" s="7">
        <v>0</v>
      </c>
      <c r="T272" s="7">
        <f>R272-S272</f>
        <v>0</v>
      </c>
      <c r="U272" s="7">
        <f>T272*O272</f>
        <v>0</v>
      </c>
    </row>
    <row r="273" spans="1:21">
      <c r="A273" s="4" t="s">
        <v>411</v>
      </c>
      <c r="B273" s="4" t="s">
        <v>39</v>
      </c>
      <c r="C273" s="5">
        <v>45915.32670138889</v>
      </c>
      <c r="D273" s="5">
        <v>45915</v>
      </c>
      <c r="E273" s="6">
        <f>IF(AND(C273&lt;&gt;"",D273&lt;&gt;""),D273-C273,"")</f>
        <v>0</v>
      </c>
      <c r="F273" s="4" t="s">
        <v>188</v>
      </c>
      <c r="G273" s="4" t="s">
        <v>189</v>
      </c>
      <c r="H273" s="4" t="s">
        <v>190</v>
      </c>
      <c r="I273" s="4" t="s">
        <v>56</v>
      </c>
      <c r="J273" s="4">
        <v>1</v>
      </c>
      <c r="K273" s="4">
        <v>0</v>
      </c>
      <c r="L273" s="4">
        <f>J273+K273</f>
        <v>0</v>
      </c>
      <c r="M273" s="4" t="s">
        <v>42</v>
      </c>
      <c r="N273" s="4"/>
      <c r="O273" s="4">
        <v>1</v>
      </c>
      <c r="P273" s="4" t="s">
        <v>135</v>
      </c>
      <c r="Q273" s="4"/>
      <c r="R273" s="7">
        <v>370000</v>
      </c>
      <c r="S273" s="7">
        <v>0</v>
      </c>
      <c r="T273" s="7">
        <f>R273-S273</f>
        <v>0</v>
      </c>
      <c r="U273" s="7">
        <f>T273*O273</f>
        <v>0</v>
      </c>
    </row>
    <row r="274" spans="1:21">
      <c r="A274" s="4" t="s">
        <v>411</v>
      </c>
      <c r="B274" s="4" t="s">
        <v>39</v>
      </c>
      <c r="C274" s="5">
        <v>45915.32670138889</v>
      </c>
      <c r="D274" s="5">
        <v>45915</v>
      </c>
      <c r="E274" s="6">
        <f>IF(AND(C274&lt;&gt;"",D274&lt;&gt;""),D274-C274,"")</f>
        <v>0</v>
      </c>
      <c r="F274" s="4" t="s">
        <v>188</v>
      </c>
      <c r="G274" s="4" t="s">
        <v>189</v>
      </c>
      <c r="H274" s="4" t="s">
        <v>190</v>
      </c>
      <c r="I274" s="4" t="s">
        <v>56</v>
      </c>
      <c r="J274" s="4">
        <v>0</v>
      </c>
      <c r="K274" s="4">
        <v>1</v>
      </c>
      <c r="L274" s="4">
        <f>J274+K274</f>
        <v>0</v>
      </c>
      <c r="M274" s="4" t="s">
        <v>46</v>
      </c>
      <c r="N274" s="4"/>
      <c r="O274" s="4">
        <v>1</v>
      </c>
      <c r="P274" s="4" t="s">
        <v>135</v>
      </c>
      <c r="Q274" s="4"/>
      <c r="R274" s="7">
        <v>325000</v>
      </c>
      <c r="S274" s="7">
        <v>0</v>
      </c>
      <c r="T274" s="7">
        <f>R274-S274</f>
        <v>0</v>
      </c>
      <c r="U274" s="7">
        <f>T274*O274</f>
        <v>0</v>
      </c>
    </row>
    <row r="275" spans="1:21">
      <c r="A275" s="4" t="s">
        <v>412</v>
      </c>
      <c r="B275" s="4" t="s">
        <v>39</v>
      </c>
      <c r="C275" s="5">
        <v>45915.32997685186</v>
      </c>
      <c r="D275" s="5">
        <v>45915</v>
      </c>
      <c r="E275" s="6">
        <f>IF(AND(C275&lt;&gt;"",D275&lt;&gt;""),D275-C275,"")</f>
        <v>0</v>
      </c>
      <c r="F275" s="4" t="s">
        <v>83</v>
      </c>
      <c r="G275" s="4" t="s">
        <v>84</v>
      </c>
      <c r="H275" s="4" t="s">
        <v>32</v>
      </c>
      <c r="I275" s="4" t="s">
        <v>33</v>
      </c>
      <c r="J275" s="4">
        <v>0</v>
      </c>
      <c r="K275" s="4">
        <v>1</v>
      </c>
      <c r="L275" s="4">
        <f>J275+K275</f>
        <v>0</v>
      </c>
      <c r="M275" s="4" t="s">
        <v>46</v>
      </c>
      <c r="N275" s="4"/>
      <c r="O275" s="4">
        <v>1</v>
      </c>
      <c r="P275" s="4" t="s">
        <v>135</v>
      </c>
      <c r="Q275" s="4"/>
      <c r="R275" s="7">
        <v>325000</v>
      </c>
      <c r="S275" s="7">
        <v>0</v>
      </c>
      <c r="T275" s="7">
        <f>R275-S275</f>
        <v>0</v>
      </c>
      <c r="U275" s="7">
        <f>T275*O275</f>
        <v>0</v>
      </c>
    </row>
    <row r="276" spans="1:21">
      <c r="A276" s="4" t="s">
        <v>412</v>
      </c>
      <c r="B276" s="4" t="s">
        <v>39</v>
      </c>
      <c r="C276" s="5">
        <v>45915.32997685186</v>
      </c>
      <c r="D276" s="5">
        <v>45915</v>
      </c>
      <c r="E276" s="6">
        <f>IF(AND(C276&lt;&gt;"",D276&lt;&gt;""),D276-C276,"")</f>
        <v>0</v>
      </c>
      <c r="F276" s="4" t="s">
        <v>83</v>
      </c>
      <c r="G276" s="4" t="s">
        <v>84</v>
      </c>
      <c r="H276" s="4" t="s">
        <v>32</v>
      </c>
      <c r="I276" s="4" t="s">
        <v>33</v>
      </c>
      <c r="J276" s="4">
        <v>1</v>
      </c>
      <c r="K276" s="4">
        <v>0</v>
      </c>
      <c r="L276" s="4">
        <f>J276+K276</f>
        <v>0</v>
      </c>
      <c r="M276" s="4" t="s">
        <v>42</v>
      </c>
      <c r="N276" s="4"/>
      <c r="O276" s="4">
        <v>1</v>
      </c>
      <c r="P276" s="4" t="s">
        <v>135</v>
      </c>
      <c r="Q276" s="4"/>
      <c r="R276" s="7">
        <v>370000</v>
      </c>
      <c r="S276" s="7">
        <v>0</v>
      </c>
      <c r="T276" s="7">
        <f>R276-S276</f>
        <v>0</v>
      </c>
      <c r="U276" s="7">
        <f>T276*O276</f>
        <v>0</v>
      </c>
    </row>
    <row r="277" spans="1:21">
      <c r="A277" s="4" t="s">
        <v>413</v>
      </c>
      <c r="B277" s="4" t="s">
        <v>39</v>
      </c>
      <c r="C277" s="5">
        <v>45915.33519675926</v>
      </c>
      <c r="D277" s="5">
        <v>45915</v>
      </c>
      <c r="E277" s="6">
        <f>IF(AND(C277&lt;&gt;"",D277&lt;&gt;""),D277-C277,"")</f>
        <v>0</v>
      </c>
      <c r="F277" s="4" t="s">
        <v>414</v>
      </c>
      <c r="G277" s="4" t="s">
        <v>415</v>
      </c>
      <c r="H277" s="4" t="s">
        <v>190</v>
      </c>
      <c r="I277" s="4" t="s">
        <v>56</v>
      </c>
      <c r="J277" s="4">
        <v>0</v>
      </c>
      <c r="K277" s="4">
        <v>0</v>
      </c>
      <c r="L277" s="4">
        <f>J277+K277</f>
        <v>0</v>
      </c>
      <c r="M277" s="4" t="s">
        <v>370</v>
      </c>
      <c r="N277" s="4"/>
      <c r="O277" s="4">
        <v>1</v>
      </c>
      <c r="P277" s="4" t="s">
        <v>135</v>
      </c>
      <c r="Q277" s="4" t="s">
        <v>44</v>
      </c>
      <c r="R277" s="7">
        <v>5000000</v>
      </c>
      <c r="S277" s="7">
        <v>0</v>
      </c>
      <c r="T277" s="7">
        <f>R277-S277</f>
        <v>0</v>
      </c>
      <c r="U277" s="7">
        <f>T277*O277</f>
        <v>0</v>
      </c>
    </row>
    <row r="278" spans="1:21">
      <c r="A278" s="4" t="s">
        <v>413</v>
      </c>
      <c r="B278" s="4" t="s">
        <v>39</v>
      </c>
      <c r="C278" s="5">
        <v>45915.33519675926</v>
      </c>
      <c r="D278" s="5">
        <v>45915</v>
      </c>
      <c r="E278" s="6">
        <f>IF(AND(C278&lt;&gt;"",D278&lt;&gt;""),D278-C278,"")</f>
        <v>0</v>
      </c>
      <c r="F278" s="4" t="s">
        <v>414</v>
      </c>
      <c r="G278" s="4" t="s">
        <v>415</v>
      </c>
      <c r="H278" s="4" t="s">
        <v>190</v>
      </c>
      <c r="I278" s="4" t="s">
        <v>56</v>
      </c>
      <c r="J278" s="4">
        <v>1</v>
      </c>
      <c r="K278" s="4">
        <v>0</v>
      </c>
      <c r="L278" s="4">
        <f>J278+K278</f>
        <v>0</v>
      </c>
      <c r="M278" s="4" t="s">
        <v>42</v>
      </c>
      <c r="N278" s="4"/>
      <c r="O278" s="4">
        <v>1</v>
      </c>
      <c r="P278" s="4" t="s">
        <v>135</v>
      </c>
      <c r="Q278" s="4" t="s">
        <v>44</v>
      </c>
      <c r="R278" s="7">
        <v>370000</v>
      </c>
      <c r="S278" s="7">
        <v>0</v>
      </c>
      <c r="T278" s="7">
        <f>R278-S278</f>
        <v>0</v>
      </c>
      <c r="U278" s="7">
        <f>T278*O278</f>
        <v>0</v>
      </c>
    </row>
    <row r="279" spans="1:21">
      <c r="A279" s="4" t="s">
        <v>416</v>
      </c>
      <c r="B279" s="4" t="s">
        <v>39</v>
      </c>
      <c r="C279" s="5">
        <v>45915.37253472222</v>
      </c>
      <c r="D279" s="5">
        <v>45915</v>
      </c>
      <c r="E279" s="6">
        <f>IF(AND(C279&lt;&gt;"",D279&lt;&gt;""),D279-C279,"")</f>
        <v>0</v>
      </c>
      <c r="F279" s="4" t="s">
        <v>417</v>
      </c>
      <c r="G279" s="4"/>
      <c r="H279" s="4" t="s">
        <v>32</v>
      </c>
      <c r="I279" s="4" t="s">
        <v>33</v>
      </c>
      <c r="J279" s="4">
        <v>0</v>
      </c>
      <c r="K279" s="4">
        <v>0</v>
      </c>
      <c r="L279" s="4">
        <f>J279+K279</f>
        <v>0</v>
      </c>
      <c r="M279" s="4" t="s">
        <v>418</v>
      </c>
      <c r="N279" s="4"/>
      <c r="O279" s="4">
        <v>1</v>
      </c>
      <c r="P279" s="4" t="s">
        <v>135</v>
      </c>
      <c r="Q279" s="4"/>
      <c r="R279" s="7">
        <v>100000</v>
      </c>
      <c r="S279" s="7">
        <v>0</v>
      </c>
      <c r="T279" s="7">
        <f>R279-S279</f>
        <v>0</v>
      </c>
      <c r="U279" s="7">
        <f>T279*O279</f>
        <v>0</v>
      </c>
    </row>
    <row r="280" spans="1:21">
      <c r="A280" s="4" t="s">
        <v>419</v>
      </c>
      <c r="B280" s="4" t="s">
        <v>48</v>
      </c>
      <c r="C280" s="5">
        <v>45915.40508101852</v>
      </c>
      <c r="D280" s="5">
        <v>45961</v>
      </c>
      <c r="E280" s="6">
        <f>IF(AND(C280&lt;&gt;"",D280&lt;&gt;""),D280-C280,"")</f>
        <v>0</v>
      </c>
      <c r="F280" s="4" t="s">
        <v>213</v>
      </c>
      <c r="G280" s="4" t="s">
        <v>420</v>
      </c>
      <c r="H280" s="4" t="s">
        <v>32</v>
      </c>
      <c r="I280" s="4" t="s">
        <v>33</v>
      </c>
      <c r="J280" s="4">
        <v>1</v>
      </c>
      <c r="K280" s="4">
        <v>0</v>
      </c>
      <c r="L280" s="4">
        <f>J280+K280</f>
        <v>0</v>
      </c>
      <c r="M280" s="4"/>
      <c r="N280" s="4"/>
      <c r="O280" s="4">
        <v>0</v>
      </c>
      <c r="P280" s="4"/>
      <c r="Q280" s="4"/>
      <c r="R280" s="7">
        <v>0</v>
      </c>
      <c r="S280" s="7">
        <v>0</v>
      </c>
      <c r="T280" s="7">
        <f>R280-S280</f>
        <v>0</v>
      </c>
      <c r="U280" s="7">
        <f>T280*O280</f>
        <v>0</v>
      </c>
    </row>
    <row r="281" spans="1:21">
      <c r="A281" s="4" t="s">
        <v>421</v>
      </c>
      <c r="B281" s="4" t="s">
        <v>48</v>
      </c>
      <c r="C281" s="5">
        <v>45915.41753472222</v>
      </c>
      <c r="D281" s="5">
        <v>45961</v>
      </c>
      <c r="E281" s="6">
        <f>IF(AND(C281&lt;&gt;"",D281&lt;&gt;""),D281-C281,"")</f>
        <v>0</v>
      </c>
      <c r="F281" s="4" t="s">
        <v>64</v>
      </c>
      <c r="G281" s="4" t="s">
        <v>422</v>
      </c>
      <c r="H281" s="4" t="s">
        <v>32</v>
      </c>
      <c r="I281" s="4" t="s">
        <v>33</v>
      </c>
      <c r="J281" s="4">
        <v>5</v>
      </c>
      <c r="K281" s="4">
        <v>0</v>
      </c>
      <c r="L281" s="4">
        <f>J281+K281</f>
        <v>0</v>
      </c>
      <c r="M281" s="4"/>
      <c r="N281" s="4"/>
      <c r="O281" s="4">
        <v>0</v>
      </c>
      <c r="P281" s="4"/>
      <c r="Q281" s="4"/>
      <c r="R281" s="7">
        <v>0</v>
      </c>
      <c r="S281" s="7">
        <v>0</v>
      </c>
      <c r="T281" s="7">
        <f>R281-S281</f>
        <v>0</v>
      </c>
      <c r="U281" s="7">
        <f>T281*O281</f>
        <v>0</v>
      </c>
    </row>
    <row r="282" spans="1:21">
      <c r="A282" s="4" t="s">
        <v>423</v>
      </c>
      <c r="B282" s="4" t="s">
        <v>48</v>
      </c>
      <c r="C282" s="5">
        <v>45915.43050925926</v>
      </c>
      <c r="D282" s="5">
        <v>45961</v>
      </c>
      <c r="E282" s="6">
        <f>IF(AND(C282&lt;&gt;"",D282&lt;&gt;""),D282-C282,"")</f>
        <v>0</v>
      </c>
      <c r="F282" s="4" t="s">
        <v>424</v>
      </c>
      <c r="G282" s="4" t="s">
        <v>425</v>
      </c>
      <c r="H282" s="4" t="s">
        <v>32</v>
      </c>
      <c r="I282" s="4" t="s">
        <v>33</v>
      </c>
      <c r="J282" s="4">
        <v>5</v>
      </c>
      <c r="K282" s="4">
        <v>0</v>
      </c>
      <c r="L282" s="4">
        <f>J282+K282</f>
        <v>0</v>
      </c>
      <c r="M282" s="4"/>
      <c r="N282" s="4"/>
      <c r="O282" s="4">
        <v>0</v>
      </c>
      <c r="P282" s="4"/>
      <c r="Q282" s="4"/>
      <c r="R282" s="7">
        <v>0</v>
      </c>
      <c r="S282" s="7">
        <v>0</v>
      </c>
      <c r="T282" s="7">
        <f>R282-S282</f>
        <v>0</v>
      </c>
      <c r="U282" s="7">
        <f>T282*O282</f>
        <v>0</v>
      </c>
    </row>
    <row r="283" spans="1:21">
      <c r="A283" s="4" t="s">
        <v>426</v>
      </c>
      <c r="B283" s="4" t="s">
        <v>48</v>
      </c>
      <c r="C283" s="5">
        <v>45915.44458333333</v>
      </c>
      <c r="D283" s="5">
        <v>45961</v>
      </c>
      <c r="E283" s="6">
        <f>IF(AND(C283&lt;&gt;"",D283&lt;&gt;""),D283-C283,"")</f>
        <v>0</v>
      </c>
      <c r="F283" s="4" t="s">
        <v>263</v>
      </c>
      <c r="G283" s="4" t="s">
        <v>264</v>
      </c>
      <c r="H283" s="4" t="s">
        <v>32</v>
      </c>
      <c r="I283" s="4" t="s">
        <v>33</v>
      </c>
      <c r="J283" s="4">
        <v>5</v>
      </c>
      <c r="K283" s="4">
        <v>0</v>
      </c>
      <c r="L283" s="4">
        <f>J283+K283</f>
        <v>0</v>
      </c>
      <c r="M283" s="4"/>
      <c r="N283" s="4"/>
      <c r="O283" s="4">
        <v>0</v>
      </c>
      <c r="P283" s="4"/>
      <c r="Q283" s="4"/>
      <c r="R283" s="7">
        <v>0</v>
      </c>
      <c r="S283" s="7">
        <v>0</v>
      </c>
      <c r="T283" s="7">
        <f>R283-S283</f>
        <v>0</v>
      </c>
      <c r="U283" s="7">
        <f>T283*O283</f>
        <v>0</v>
      </c>
    </row>
    <row r="284" spans="1:21">
      <c r="A284" s="4" t="s">
        <v>427</v>
      </c>
      <c r="B284" s="4" t="s">
        <v>48</v>
      </c>
      <c r="C284" s="5">
        <v>45915.4491087963</v>
      </c>
      <c r="D284" s="5">
        <v>45961</v>
      </c>
      <c r="E284" s="6">
        <f>IF(AND(C284&lt;&gt;"",D284&lt;&gt;""),D284-C284,"")</f>
        <v>0</v>
      </c>
      <c r="F284" s="4" t="s">
        <v>428</v>
      </c>
      <c r="G284" s="4" t="s">
        <v>429</v>
      </c>
      <c r="H284" s="4" t="s">
        <v>32</v>
      </c>
      <c r="I284" s="4" t="s">
        <v>33</v>
      </c>
      <c r="J284" s="4">
        <v>5</v>
      </c>
      <c r="K284" s="4">
        <v>0</v>
      </c>
      <c r="L284" s="4">
        <f>J284+K284</f>
        <v>0</v>
      </c>
      <c r="M284" s="4"/>
      <c r="N284" s="4"/>
      <c r="O284" s="4">
        <v>0</v>
      </c>
      <c r="P284" s="4"/>
      <c r="Q284" s="4"/>
      <c r="R284" s="7">
        <v>0</v>
      </c>
      <c r="S284" s="7">
        <v>0</v>
      </c>
      <c r="T284" s="7">
        <f>R284-S284</f>
        <v>0</v>
      </c>
      <c r="U284" s="7">
        <f>T284*O284</f>
        <v>0</v>
      </c>
    </row>
    <row r="285" spans="1:21">
      <c r="A285" s="4" t="s">
        <v>430</v>
      </c>
      <c r="B285" s="4" t="s">
        <v>39</v>
      </c>
      <c r="C285" s="5">
        <v>45915.45096064815</v>
      </c>
      <c r="D285" s="5">
        <v>45961</v>
      </c>
      <c r="E285" s="6">
        <f>IF(AND(C285&lt;&gt;"",D285&lt;&gt;""),D285-C285,"")</f>
        <v>0</v>
      </c>
      <c r="F285" s="4" t="s">
        <v>431</v>
      </c>
      <c r="G285" s="4" t="s">
        <v>432</v>
      </c>
      <c r="H285" s="4" t="s">
        <v>32</v>
      </c>
      <c r="I285" s="4" t="s">
        <v>33</v>
      </c>
      <c r="J285" s="4">
        <v>3</v>
      </c>
      <c r="K285" s="4">
        <v>0</v>
      </c>
      <c r="L285" s="4">
        <f>J285+K285</f>
        <v>0</v>
      </c>
      <c r="M285" s="4"/>
      <c r="N285" s="4"/>
      <c r="O285" s="4">
        <v>0</v>
      </c>
      <c r="P285" s="4"/>
      <c r="Q285" s="4"/>
      <c r="R285" s="7">
        <v>0</v>
      </c>
      <c r="S285" s="7">
        <v>0</v>
      </c>
      <c r="T285" s="7">
        <f>R285-S285</f>
        <v>0</v>
      </c>
      <c r="U285" s="7">
        <f>T285*O285</f>
        <v>0</v>
      </c>
    </row>
    <row r="286" spans="1:21">
      <c r="A286" s="4" t="s">
        <v>433</v>
      </c>
      <c r="B286" s="4" t="s">
        <v>48</v>
      </c>
      <c r="C286" s="5">
        <v>45915.48033564815</v>
      </c>
      <c r="D286" s="5">
        <v>45961</v>
      </c>
      <c r="E286" s="6">
        <f>IF(AND(C286&lt;&gt;"",D286&lt;&gt;""),D286-C286,"")</f>
        <v>0</v>
      </c>
      <c r="F286" s="4" t="s">
        <v>72</v>
      </c>
      <c r="G286" s="4" t="s">
        <v>73</v>
      </c>
      <c r="H286" s="4" t="s">
        <v>32</v>
      </c>
      <c r="I286" s="4" t="s">
        <v>33</v>
      </c>
      <c r="J286" s="4">
        <v>22</v>
      </c>
      <c r="K286" s="4">
        <v>22</v>
      </c>
      <c r="L286" s="4">
        <f>J286+K286</f>
        <v>0</v>
      </c>
      <c r="M286" s="4"/>
      <c r="N286" s="4"/>
      <c r="O286" s="4">
        <v>0</v>
      </c>
      <c r="P286" s="4"/>
      <c r="Q286" s="4"/>
      <c r="R286" s="7">
        <v>0</v>
      </c>
      <c r="S286" s="7">
        <v>0</v>
      </c>
      <c r="T286" s="7">
        <f>R286-S286</f>
        <v>0</v>
      </c>
      <c r="U286" s="7">
        <f>T286*O286</f>
        <v>0</v>
      </c>
    </row>
    <row r="287" spans="1:21">
      <c r="A287" s="4" t="s">
        <v>434</v>
      </c>
      <c r="B287" s="4" t="s">
        <v>48</v>
      </c>
      <c r="C287" s="5">
        <v>45915.50436342593</v>
      </c>
      <c r="D287" s="5">
        <v>45961</v>
      </c>
      <c r="E287" s="6">
        <f>IF(AND(C287&lt;&gt;"",D287&lt;&gt;""),D287-C287,"")</f>
        <v>0</v>
      </c>
      <c r="F287" s="4" t="s">
        <v>435</v>
      </c>
      <c r="G287" s="4" t="s">
        <v>436</v>
      </c>
      <c r="H287" s="4" t="s">
        <v>32</v>
      </c>
      <c r="I287" s="4" t="s">
        <v>33</v>
      </c>
      <c r="J287" s="4">
        <v>1</v>
      </c>
      <c r="K287" s="4">
        <v>1</v>
      </c>
      <c r="L287" s="4">
        <f>J287+K287</f>
        <v>0</v>
      </c>
      <c r="M287" s="4"/>
      <c r="N287" s="4"/>
      <c r="O287" s="4">
        <v>0</v>
      </c>
      <c r="P287" s="4"/>
      <c r="Q287" s="4"/>
      <c r="R287" s="7">
        <v>0</v>
      </c>
      <c r="S287" s="7">
        <v>0</v>
      </c>
      <c r="T287" s="7">
        <f>R287-S287</f>
        <v>0</v>
      </c>
      <c r="U287" s="7">
        <f>T287*O287</f>
        <v>0</v>
      </c>
    </row>
    <row r="288" spans="1:21">
      <c r="A288" s="4" t="s">
        <v>437</v>
      </c>
      <c r="B288" s="4" t="s">
        <v>48</v>
      </c>
      <c r="C288" s="5">
        <v>45915.52842592593</v>
      </c>
      <c r="D288" s="5">
        <v>45961</v>
      </c>
      <c r="E288" s="6">
        <f>IF(AND(C288&lt;&gt;"",D288&lt;&gt;""),D288-C288,"")</f>
        <v>0</v>
      </c>
      <c r="F288" s="4" t="s">
        <v>438</v>
      </c>
      <c r="G288" s="4" t="s">
        <v>439</v>
      </c>
      <c r="H288" s="4" t="s">
        <v>32</v>
      </c>
      <c r="I288" s="4" t="s">
        <v>33</v>
      </c>
      <c r="J288" s="4">
        <v>3</v>
      </c>
      <c r="K288" s="4">
        <v>1</v>
      </c>
      <c r="L288" s="4">
        <f>J288+K288</f>
        <v>0</v>
      </c>
      <c r="M288" s="4"/>
      <c r="N288" s="4"/>
      <c r="O288" s="4">
        <v>0</v>
      </c>
      <c r="P288" s="4"/>
      <c r="Q288" s="4"/>
      <c r="R288" s="7">
        <v>0</v>
      </c>
      <c r="S288" s="7">
        <v>0</v>
      </c>
      <c r="T288" s="7">
        <f>R288-S288</f>
        <v>0</v>
      </c>
      <c r="U288" s="7">
        <f>T288*O288</f>
        <v>0</v>
      </c>
    </row>
    <row r="289" spans="1:21">
      <c r="A289" s="4" t="s">
        <v>440</v>
      </c>
      <c r="B289" s="4" t="s">
        <v>48</v>
      </c>
      <c r="C289" s="5">
        <v>45915.53280092592</v>
      </c>
      <c r="D289" s="5">
        <v>45961</v>
      </c>
      <c r="E289" s="6">
        <f>IF(AND(C289&lt;&gt;"",D289&lt;&gt;""),D289-C289,"")</f>
        <v>0</v>
      </c>
      <c r="F289" s="4" t="s">
        <v>441</v>
      </c>
      <c r="G289" s="4" t="s">
        <v>442</v>
      </c>
      <c r="H289" s="4" t="s">
        <v>32</v>
      </c>
      <c r="I289" s="4" t="s">
        <v>33</v>
      </c>
      <c r="J289" s="4">
        <v>3</v>
      </c>
      <c r="K289" s="4">
        <v>0</v>
      </c>
      <c r="L289" s="4">
        <f>J289+K289</f>
        <v>0</v>
      </c>
      <c r="M289" s="4"/>
      <c r="N289" s="4"/>
      <c r="O289" s="4">
        <v>0</v>
      </c>
      <c r="P289" s="4"/>
      <c r="Q289" s="4"/>
      <c r="R289" s="7">
        <v>0</v>
      </c>
      <c r="S289" s="7">
        <v>0</v>
      </c>
      <c r="T289" s="7">
        <f>R289-S289</f>
        <v>0</v>
      </c>
      <c r="U289" s="7">
        <f>T289*O289</f>
        <v>0</v>
      </c>
    </row>
    <row r="290" spans="1:21">
      <c r="A290" s="4" t="s">
        <v>443</v>
      </c>
      <c r="B290" s="4" t="s">
        <v>48</v>
      </c>
      <c r="C290" s="5">
        <v>45915.53664351852</v>
      </c>
      <c r="D290" s="5">
        <v>45961</v>
      </c>
      <c r="E290" s="6">
        <f>IF(AND(C290&lt;&gt;"",D290&lt;&gt;""),D290-C290,"")</f>
        <v>0</v>
      </c>
      <c r="F290" s="4" t="s">
        <v>165</v>
      </c>
      <c r="G290" s="4" t="s">
        <v>65</v>
      </c>
      <c r="H290" s="4" t="s">
        <v>32</v>
      </c>
      <c r="I290" s="4" t="s">
        <v>33</v>
      </c>
      <c r="J290" s="4">
        <v>4</v>
      </c>
      <c r="K290" s="4">
        <v>0</v>
      </c>
      <c r="L290" s="4">
        <f>J290+K290</f>
        <v>0</v>
      </c>
      <c r="M290" s="4"/>
      <c r="N290" s="4"/>
      <c r="O290" s="4">
        <v>0</v>
      </c>
      <c r="P290" s="4"/>
      <c r="Q290" s="4"/>
      <c r="R290" s="7">
        <v>0</v>
      </c>
      <c r="S290" s="7">
        <v>0</v>
      </c>
      <c r="T290" s="7">
        <f>R290-S290</f>
        <v>0</v>
      </c>
      <c r="U290" s="7">
        <f>T290*O290</f>
        <v>0</v>
      </c>
    </row>
    <row r="291" spans="1:21">
      <c r="A291" s="4" t="s">
        <v>444</v>
      </c>
      <c r="B291" s="4" t="s">
        <v>48</v>
      </c>
      <c r="C291" s="5">
        <v>45915.55138888889</v>
      </c>
      <c r="D291" s="5">
        <v>45961</v>
      </c>
      <c r="E291" s="6">
        <f>IF(AND(C291&lt;&gt;"",D291&lt;&gt;""),D291-C291,"")</f>
        <v>0</v>
      </c>
      <c r="F291" s="4" t="s">
        <v>286</v>
      </c>
      <c r="G291" s="4" t="s">
        <v>287</v>
      </c>
      <c r="H291" s="4" t="s">
        <v>32</v>
      </c>
      <c r="I291" s="4" t="s">
        <v>33</v>
      </c>
      <c r="J291" s="4">
        <v>10</v>
      </c>
      <c r="K291" s="4">
        <v>0</v>
      </c>
      <c r="L291" s="4">
        <f>J291+K291</f>
        <v>0</v>
      </c>
      <c r="M291" s="4"/>
      <c r="N291" s="4"/>
      <c r="O291" s="4">
        <v>0</v>
      </c>
      <c r="P291" s="4"/>
      <c r="Q291" s="4"/>
      <c r="R291" s="7">
        <v>0</v>
      </c>
      <c r="S291" s="7">
        <v>0</v>
      </c>
      <c r="T291" s="7">
        <f>R291-S291</f>
        <v>0</v>
      </c>
      <c r="U291" s="7">
        <f>T291*O291</f>
        <v>0</v>
      </c>
    </row>
    <row r="292" spans="1:21">
      <c r="A292" s="4" t="s">
        <v>445</v>
      </c>
      <c r="B292" s="4" t="s">
        <v>39</v>
      </c>
      <c r="C292" s="5">
        <v>45915.55724537037</v>
      </c>
      <c r="D292" s="5">
        <v>45961</v>
      </c>
      <c r="E292" s="6">
        <f>IF(AND(C292&lt;&gt;"",D292&lt;&gt;""),D292-C292,"")</f>
        <v>0</v>
      </c>
      <c r="F292" s="4" t="s">
        <v>446</v>
      </c>
      <c r="G292" s="4" t="s">
        <v>41</v>
      </c>
      <c r="H292" s="4" t="s">
        <v>32</v>
      </c>
      <c r="I292" s="4" t="s">
        <v>33</v>
      </c>
      <c r="J292" s="4">
        <v>3</v>
      </c>
      <c r="K292" s="4">
        <v>0</v>
      </c>
      <c r="L292" s="4">
        <f>J292+K292</f>
        <v>0</v>
      </c>
      <c r="M292" s="4"/>
      <c r="N292" s="4"/>
      <c r="O292" s="4">
        <v>0</v>
      </c>
      <c r="P292" s="4"/>
      <c r="Q292" s="4"/>
      <c r="R292" s="7">
        <v>0</v>
      </c>
      <c r="S292" s="7">
        <v>0</v>
      </c>
      <c r="T292" s="7">
        <f>R292-S292</f>
        <v>0</v>
      </c>
      <c r="U292" s="7">
        <f>T292*O292</f>
        <v>0</v>
      </c>
    </row>
    <row r="293" spans="1:21">
      <c r="A293" s="4" t="s">
        <v>447</v>
      </c>
      <c r="B293" s="4" t="s">
        <v>48</v>
      </c>
      <c r="C293" s="5">
        <v>45915.55875</v>
      </c>
      <c r="D293" s="5">
        <v>45961</v>
      </c>
      <c r="E293" s="6">
        <f>IF(AND(C293&lt;&gt;"",D293&lt;&gt;""),D293-C293,"")</f>
        <v>0</v>
      </c>
      <c r="F293" s="4" t="s">
        <v>197</v>
      </c>
      <c r="G293" s="4" t="s">
        <v>448</v>
      </c>
      <c r="H293" s="4" t="s">
        <v>32</v>
      </c>
      <c r="I293" s="4" t="s">
        <v>33</v>
      </c>
      <c r="J293" s="4">
        <v>2</v>
      </c>
      <c r="K293" s="4">
        <v>1</v>
      </c>
      <c r="L293" s="4">
        <f>J293+K293</f>
        <v>0</v>
      </c>
      <c r="M293" s="4"/>
      <c r="N293" s="4"/>
      <c r="O293" s="4">
        <v>0</v>
      </c>
      <c r="P293" s="4"/>
      <c r="Q293" s="4"/>
      <c r="R293" s="7">
        <v>0</v>
      </c>
      <c r="S293" s="7">
        <v>0</v>
      </c>
      <c r="T293" s="7">
        <f>R293-S293</f>
        <v>0</v>
      </c>
      <c r="U293" s="7">
        <f>T293*O293</f>
        <v>0</v>
      </c>
    </row>
    <row r="294" spans="1:21">
      <c r="A294" s="4" t="s">
        <v>449</v>
      </c>
      <c r="B294" s="4" t="s">
        <v>48</v>
      </c>
      <c r="C294" s="5">
        <v>45915.56118055555</v>
      </c>
      <c r="D294" s="5">
        <v>45961</v>
      </c>
      <c r="E294" s="6">
        <f>IF(AND(C294&lt;&gt;"",D294&lt;&gt;""),D294-C294,"")</f>
        <v>0</v>
      </c>
      <c r="F294" s="4" t="s">
        <v>450</v>
      </c>
      <c r="G294" s="4" t="s">
        <v>451</v>
      </c>
      <c r="H294" s="4" t="s">
        <v>32</v>
      </c>
      <c r="I294" s="4" t="s">
        <v>33</v>
      </c>
      <c r="J294" s="4">
        <v>2</v>
      </c>
      <c r="K294" s="4">
        <v>0</v>
      </c>
      <c r="L294" s="4">
        <f>J294+K294</f>
        <v>0</v>
      </c>
      <c r="M294" s="4"/>
      <c r="N294" s="4"/>
      <c r="O294" s="4">
        <v>0</v>
      </c>
      <c r="P294" s="4"/>
      <c r="Q294" s="4"/>
      <c r="R294" s="7">
        <v>0</v>
      </c>
      <c r="S294" s="7">
        <v>0</v>
      </c>
      <c r="T294" s="7">
        <f>R294-S294</f>
        <v>0</v>
      </c>
      <c r="U294" s="7">
        <f>T294*O294</f>
        <v>0</v>
      </c>
    </row>
    <row r="295" spans="1:21">
      <c r="A295" s="4" t="s">
        <v>452</v>
      </c>
      <c r="B295" s="4" t="s">
        <v>39</v>
      </c>
      <c r="C295" s="5">
        <v>45915.57453703704</v>
      </c>
      <c r="D295" s="5">
        <v>45961</v>
      </c>
      <c r="E295" s="6">
        <f>IF(AND(C295&lt;&gt;"",D295&lt;&gt;""),D295-C295,"")</f>
        <v>0</v>
      </c>
      <c r="F295" s="4" t="s">
        <v>453</v>
      </c>
      <c r="G295" s="4" t="s">
        <v>454</v>
      </c>
      <c r="H295" s="4"/>
      <c r="I295" s="4" t="s">
        <v>56</v>
      </c>
      <c r="J295" s="4">
        <v>3</v>
      </c>
      <c r="K295" s="4">
        <v>0</v>
      </c>
      <c r="L295" s="4">
        <f>J295+K295</f>
        <v>0</v>
      </c>
      <c r="M295" s="4"/>
      <c r="N295" s="4"/>
      <c r="O295" s="4">
        <v>0</v>
      </c>
      <c r="P295" s="4"/>
      <c r="Q295" s="4"/>
      <c r="R295" s="7">
        <v>0</v>
      </c>
      <c r="S295" s="7">
        <v>0</v>
      </c>
      <c r="T295" s="7">
        <f>R295-S295</f>
        <v>0</v>
      </c>
      <c r="U295" s="7">
        <f>T295*O295</f>
        <v>0</v>
      </c>
    </row>
    <row r="296" spans="1:21">
      <c r="A296" s="4" t="s">
        <v>455</v>
      </c>
      <c r="B296" s="4" t="s">
        <v>48</v>
      </c>
      <c r="C296" s="5">
        <v>45915.66945601852</v>
      </c>
      <c r="D296" s="5">
        <v>45961</v>
      </c>
      <c r="E296" s="6">
        <f>IF(AND(C296&lt;&gt;"",D296&lt;&gt;""),D296-C296,"")</f>
        <v>0</v>
      </c>
      <c r="F296" s="4" t="s">
        <v>456</v>
      </c>
      <c r="G296" s="4" t="s">
        <v>457</v>
      </c>
      <c r="H296" s="4" t="s">
        <v>32</v>
      </c>
      <c r="I296" s="4" t="s">
        <v>33</v>
      </c>
      <c r="J296" s="4">
        <v>1</v>
      </c>
      <c r="K296" s="4">
        <v>0</v>
      </c>
      <c r="L296" s="4">
        <f>J296+K296</f>
        <v>0</v>
      </c>
      <c r="M296" s="4"/>
      <c r="N296" s="4"/>
      <c r="O296" s="4">
        <v>0</v>
      </c>
      <c r="P296" s="4"/>
      <c r="Q296" s="4"/>
      <c r="R296" s="7">
        <v>0</v>
      </c>
      <c r="S296" s="7">
        <v>0</v>
      </c>
      <c r="T296" s="7">
        <f>R296-S296</f>
        <v>0</v>
      </c>
      <c r="U296" s="7">
        <f>T296*O296</f>
        <v>0</v>
      </c>
    </row>
    <row r="297" spans="1:21">
      <c r="A297" s="4" t="s">
        <v>458</v>
      </c>
      <c r="B297" s="4" t="s">
        <v>39</v>
      </c>
      <c r="C297" s="5">
        <v>45915.68141203704</v>
      </c>
      <c r="D297" s="5">
        <v>45915</v>
      </c>
      <c r="E297" s="6">
        <f>IF(AND(C297&lt;&gt;"",D297&lt;&gt;""),D297-C297,"")</f>
        <v>0</v>
      </c>
      <c r="F297" s="4" t="s">
        <v>459</v>
      </c>
      <c r="G297" s="4" t="s">
        <v>460</v>
      </c>
      <c r="H297" s="4" t="s">
        <v>461</v>
      </c>
      <c r="I297" s="4" t="s">
        <v>56</v>
      </c>
      <c r="J297" s="4">
        <v>0</v>
      </c>
      <c r="K297" s="4">
        <v>0</v>
      </c>
      <c r="L297" s="4">
        <f>J297+K297</f>
        <v>0</v>
      </c>
      <c r="M297" s="4" t="s">
        <v>370</v>
      </c>
      <c r="N297" s="4"/>
      <c r="O297" s="4">
        <v>1</v>
      </c>
      <c r="P297" s="4" t="s">
        <v>43</v>
      </c>
      <c r="Q297" s="4"/>
      <c r="R297" s="7">
        <v>5000000</v>
      </c>
      <c r="S297" s="7">
        <v>0</v>
      </c>
      <c r="T297" s="7">
        <f>R297-S297</f>
        <v>0</v>
      </c>
      <c r="U297" s="7">
        <f>T297*O297</f>
        <v>0</v>
      </c>
    </row>
    <row r="298" spans="1:21">
      <c r="A298" s="4" t="s">
        <v>458</v>
      </c>
      <c r="B298" s="4" t="s">
        <v>39</v>
      </c>
      <c r="C298" s="5">
        <v>45915.68141203704</v>
      </c>
      <c r="D298" s="5">
        <v>45915</v>
      </c>
      <c r="E298" s="6">
        <f>IF(AND(C298&lt;&gt;"",D298&lt;&gt;""),D298-C298,"")</f>
        <v>0</v>
      </c>
      <c r="F298" s="4" t="s">
        <v>459</v>
      </c>
      <c r="G298" s="4" t="s">
        <v>460</v>
      </c>
      <c r="H298" s="4" t="s">
        <v>461</v>
      </c>
      <c r="I298" s="4" t="s">
        <v>56</v>
      </c>
      <c r="J298" s="4">
        <v>1</v>
      </c>
      <c r="K298" s="4">
        <v>0</v>
      </c>
      <c r="L298" s="4">
        <f>J298+K298</f>
        <v>0</v>
      </c>
      <c r="M298" s="4" t="s">
        <v>42</v>
      </c>
      <c r="N298" s="4"/>
      <c r="O298" s="4">
        <v>1</v>
      </c>
      <c r="P298" s="4" t="s">
        <v>43</v>
      </c>
      <c r="Q298" s="4"/>
      <c r="R298" s="7">
        <v>370000</v>
      </c>
      <c r="S298" s="7">
        <v>0</v>
      </c>
      <c r="T298" s="7">
        <f>R298-S298</f>
        <v>0</v>
      </c>
      <c r="U298" s="7">
        <f>T298*O298</f>
        <v>0</v>
      </c>
    </row>
    <row r="299" spans="1:21">
      <c r="A299" s="4" t="s">
        <v>462</v>
      </c>
      <c r="B299" s="4" t="s">
        <v>39</v>
      </c>
      <c r="C299" s="5">
        <v>45916.0378125</v>
      </c>
      <c r="D299" s="5">
        <v>45916</v>
      </c>
      <c r="E299" s="6">
        <f>IF(AND(C299&lt;&gt;"",D299&lt;&gt;""),D299-C299,"")</f>
        <v>0</v>
      </c>
      <c r="F299" s="4" t="s">
        <v>64</v>
      </c>
      <c r="G299" s="4" t="s">
        <v>463</v>
      </c>
      <c r="H299" s="4" t="s">
        <v>32</v>
      </c>
      <c r="I299" s="4" t="s">
        <v>33</v>
      </c>
      <c r="J299" s="4">
        <v>0</v>
      </c>
      <c r="K299" s="4">
        <v>1</v>
      </c>
      <c r="L299" s="4">
        <f>J299+K299</f>
        <v>0</v>
      </c>
      <c r="M299" s="4" t="s">
        <v>46</v>
      </c>
      <c r="N299" s="4"/>
      <c r="O299" s="4">
        <v>1</v>
      </c>
      <c r="P299" s="4" t="s">
        <v>135</v>
      </c>
      <c r="Q299" s="4"/>
      <c r="R299" s="7">
        <v>-292500</v>
      </c>
      <c r="S299" s="7">
        <v>0</v>
      </c>
      <c r="T299" s="7">
        <f>R299-S299</f>
        <v>0</v>
      </c>
      <c r="U299" s="7">
        <f>T299*O299</f>
        <v>0</v>
      </c>
    </row>
    <row r="300" spans="1:21">
      <c r="A300" s="4" t="s">
        <v>462</v>
      </c>
      <c r="B300" s="4" t="s">
        <v>39</v>
      </c>
      <c r="C300" s="5">
        <v>45916.0378125</v>
      </c>
      <c r="D300" s="5">
        <v>45916</v>
      </c>
      <c r="E300" s="6">
        <f>IF(AND(C300&lt;&gt;"",D300&lt;&gt;""),D300-C300,"")</f>
        <v>0</v>
      </c>
      <c r="F300" s="4" t="s">
        <v>64</v>
      </c>
      <c r="G300" s="4" t="s">
        <v>463</v>
      </c>
      <c r="H300" s="4" t="s">
        <v>32</v>
      </c>
      <c r="I300" s="4" t="s">
        <v>33</v>
      </c>
      <c r="J300" s="4">
        <v>1</v>
      </c>
      <c r="K300" s="4">
        <v>0</v>
      </c>
      <c r="L300" s="4">
        <f>J300+K300</f>
        <v>0</v>
      </c>
      <c r="M300" s="4" t="s">
        <v>42</v>
      </c>
      <c r="N300" s="4"/>
      <c r="O300" s="4">
        <v>1</v>
      </c>
      <c r="P300" s="4" t="s">
        <v>135</v>
      </c>
      <c r="Q300" s="4"/>
      <c r="R300" s="7">
        <v>370000</v>
      </c>
      <c r="S300" s="7">
        <v>0</v>
      </c>
      <c r="T300" s="7">
        <f>R300-S300</f>
        <v>0</v>
      </c>
      <c r="U300" s="7">
        <f>T300*O300</f>
        <v>0</v>
      </c>
    </row>
    <row r="301" spans="1:21">
      <c r="A301" s="4" t="s">
        <v>464</v>
      </c>
      <c r="B301" s="4" t="s">
        <v>39</v>
      </c>
      <c r="C301" s="5">
        <v>45916.04589120371</v>
      </c>
      <c r="D301" s="5">
        <v>45916</v>
      </c>
      <c r="E301" s="6">
        <f>IF(AND(C301&lt;&gt;"",D301&lt;&gt;""),D301-C301,"")</f>
        <v>0</v>
      </c>
      <c r="F301" s="4" t="s">
        <v>64</v>
      </c>
      <c r="G301" s="4" t="s">
        <v>465</v>
      </c>
      <c r="H301" s="4" t="s">
        <v>32</v>
      </c>
      <c r="I301" s="4" t="s">
        <v>33</v>
      </c>
      <c r="J301" s="4">
        <v>0</v>
      </c>
      <c r="K301" s="4">
        <v>1</v>
      </c>
      <c r="L301" s="4">
        <f>J301+K301</f>
        <v>0</v>
      </c>
      <c r="M301" s="4" t="s">
        <v>46</v>
      </c>
      <c r="N301" s="4"/>
      <c r="O301" s="4">
        <v>1</v>
      </c>
      <c r="P301" s="4" t="s">
        <v>135</v>
      </c>
      <c r="Q301" s="4"/>
      <c r="R301" s="7">
        <v>-292500</v>
      </c>
      <c r="S301" s="7">
        <v>0</v>
      </c>
      <c r="T301" s="7">
        <f>R301-S301</f>
        <v>0</v>
      </c>
      <c r="U301" s="7">
        <f>T301*O301</f>
        <v>0</v>
      </c>
    </row>
    <row r="302" spans="1:21">
      <c r="A302" s="4" t="s">
        <v>464</v>
      </c>
      <c r="B302" s="4" t="s">
        <v>39</v>
      </c>
      <c r="C302" s="5">
        <v>45916.04589120371</v>
      </c>
      <c r="D302" s="5">
        <v>45916</v>
      </c>
      <c r="E302" s="6">
        <f>IF(AND(C302&lt;&gt;"",D302&lt;&gt;""),D302-C302,"")</f>
        <v>0</v>
      </c>
      <c r="F302" s="4" t="s">
        <v>64</v>
      </c>
      <c r="G302" s="4" t="s">
        <v>465</v>
      </c>
      <c r="H302" s="4" t="s">
        <v>32</v>
      </c>
      <c r="I302" s="4" t="s">
        <v>33</v>
      </c>
      <c r="J302" s="4">
        <v>1</v>
      </c>
      <c r="K302" s="4">
        <v>0</v>
      </c>
      <c r="L302" s="4">
        <f>J302+K302</f>
        <v>0</v>
      </c>
      <c r="M302" s="4" t="s">
        <v>42</v>
      </c>
      <c r="N302" s="4"/>
      <c r="O302" s="4">
        <v>1</v>
      </c>
      <c r="P302" s="4" t="s">
        <v>135</v>
      </c>
      <c r="Q302" s="4"/>
      <c r="R302" s="7">
        <v>370000</v>
      </c>
      <c r="S302" s="7">
        <v>0</v>
      </c>
      <c r="T302" s="7">
        <f>R302-S302</f>
        <v>0</v>
      </c>
      <c r="U302" s="7">
        <f>T302*O302</f>
        <v>0</v>
      </c>
    </row>
    <row r="303" spans="1:21">
      <c r="A303" s="4" t="s">
        <v>466</v>
      </c>
      <c r="B303" s="4" t="s">
        <v>39</v>
      </c>
      <c r="C303" s="5">
        <v>45916.12630787037</v>
      </c>
      <c r="D303" s="5">
        <v>45916</v>
      </c>
      <c r="E303" s="6">
        <f>IF(AND(C303&lt;&gt;"",D303&lt;&gt;""),D303-C303,"")</f>
        <v>0</v>
      </c>
      <c r="F303" s="4" t="s">
        <v>467</v>
      </c>
      <c r="G303" s="4" t="s">
        <v>468</v>
      </c>
      <c r="H303" s="4" t="s">
        <v>32</v>
      </c>
      <c r="I303" s="4" t="s">
        <v>33</v>
      </c>
      <c r="J303" s="4">
        <v>1</v>
      </c>
      <c r="K303" s="4">
        <v>0</v>
      </c>
      <c r="L303" s="4">
        <f>J303+K303</f>
        <v>0</v>
      </c>
      <c r="M303" s="4" t="s">
        <v>80</v>
      </c>
      <c r="N303" s="4"/>
      <c r="O303" s="4">
        <v>1</v>
      </c>
      <c r="P303" s="4" t="s">
        <v>43</v>
      </c>
      <c r="Q303" s="4" t="s">
        <v>44</v>
      </c>
      <c r="R303" s="7">
        <v>610000</v>
      </c>
      <c r="S303" s="7">
        <v>61000</v>
      </c>
      <c r="T303" s="7">
        <f>R303-S303</f>
        <v>0</v>
      </c>
      <c r="U303" s="7">
        <f>T303*O303</f>
        <v>0</v>
      </c>
    </row>
    <row r="304" spans="1:21">
      <c r="A304" s="4" t="s">
        <v>466</v>
      </c>
      <c r="B304" s="4" t="s">
        <v>39</v>
      </c>
      <c r="C304" s="5">
        <v>45916.12630787037</v>
      </c>
      <c r="D304" s="5">
        <v>45916</v>
      </c>
      <c r="E304" s="6">
        <f>IF(AND(C304&lt;&gt;"",D304&lt;&gt;""),D304-C304,"")</f>
        <v>0</v>
      </c>
      <c r="F304" s="4" t="s">
        <v>467</v>
      </c>
      <c r="G304" s="4" t="s">
        <v>468</v>
      </c>
      <c r="H304" s="4" t="s">
        <v>32</v>
      </c>
      <c r="I304" s="4" t="s">
        <v>33</v>
      </c>
      <c r="J304" s="4">
        <v>1</v>
      </c>
      <c r="K304" s="4">
        <v>0</v>
      </c>
      <c r="L304" s="4">
        <f>J304+K304</f>
        <v>0</v>
      </c>
      <c r="M304" s="4" t="s">
        <v>80</v>
      </c>
      <c r="N304" s="4"/>
      <c r="O304" s="4">
        <v>1</v>
      </c>
      <c r="P304" s="4" t="s">
        <v>43</v>
      </c>
      <c r="Q304" s="4" t="s">
        <v>44</v>
      </c>
      <c r="R304" s="7">
        <v>610000</v>
      </c>
      <c r="S304" s="7">
        <v>61000</v>
      </c>
      <c r="T304" s="7">
        <f>R304-S304</f>
        <v>0</v>
      </c>
      <c r="U304" s="7">
        <f>T304*O304</f>
        <v>0</v>
      </c>
    </row>
    <row r="305" spans="1:21">
      <c r="A305" s="4" t="s">
        <v>466</v>
      </c>
      <c r="B305" s="4" t="s">
        <v>39</v>
      </c>
      <c r="C305" s="5">
        <v>45916.12630787037</v>
      </c>
      <c r="D305" s="5">
        <v>45916</v>
      </c>
      <c r="E305" s="6">
        <f>IF(AND(C305&lt;&gt;"",D305&lt;&gt;""),D305-C305,"")</f>
        <v>0</v>
      </c>
      <c r="F305" s="4" t="s">
        <v>467</v>
      </c>
      <c r="G305" s="4" t="s">
        <v>468</v>
      </c>
      <c r="H305" s="4" t="s">
        <v>32</v>
      </c>
      <c r="I305" s="4" t="s">
        <v>33</v>
      </c>
      <c r="J305" s="4">
        <v>1</v>
      </c>
      <c r="K305" s="4">
        <v>0</v>
      </c>
      <c r="L305" s="4">
        <f>J305+K305</f>
        <v>0</v>
      </c>
      <c r="M305" s="4" t="s">
        <v>42</v>
      </c>
      <c r="N305" s="4"/>
      <c r="O305" s="4">
        <v>1</v>
      </c>
      <c r="P305" s="4" t="s">
        <v>43</v>
      </c>
      <c r="Q305" s="4" t="s">
        <v>44</v>
      </c>
      <c r="R305" s="7">
        <v>370000</v>
      </c>
      <c r="S305" s="7">
        <v>0</v>
      </c>
      <c r="T305" s="7">
        <f>R305-S305</f>
        <v>0</v>
      </c>
      <c r="U305" s="7">
        <f>T305*O305</f>
        <v>0</v>
      </c>
    </row>
    <row r="306" spans="1:21">
      <c r="A306" s="4" t="s">
        <v>469</v>
      </c>
      <c r="B306" s="4" t="s">
        <v>39</v>
      </c>
      <c r="C306" s="5">
        <v>45916.13119212963</v>
      </c>
      <c r="D306" s="5">
        <v>45916</v>
      </c>
      <c r="E306" s="6">
        <f>IF(AND(C306&lt;&gt;"",D306&lt;&gt;""),D306-C306,"")</f>
        <v>0</v>
      </c>
      <c r="F306" s="4" t="s">
        <v>470</v>
      </c>
      <c r="G306" s="4" t="s">
        <v>471</v>
      </c>
      <c r="H306" s="4" t="s">
        <v>32</v>
      </c>
      <c r="I306" s="4" t="s">
        <v>33</v>
      </c>
      <c r="J306" s="4">
        <v>1</v>
      </c>
      <c r="K306" s="4">
        <v>0</v>
      </c>
      <c r="L306" s="4">
        <f>J306+K306</f>
        <v>0</v>
      </c>
      <c r="M306" s="4" t="s">
        <v>42</v>
      </c>
      <c r="N306" s="4"/>
      <c r="O306" s="4">
        <v>1</v>
      </c>
      <c r="P306" s="4" t="s">
        <v>135</v>
      </c>
      <c r="Q306" s="4" t="s">
        <v>44</v>
      </c>
      <c r="R306" s="7">
        <v>370000</v>
      </c>
      <c r="S306" s="7">
        <v>0</v>
      </c>
      <c r="T306" s="7">
        <f>R306-S306</f>
        <v>0</v>
      </c>
      <c r="U306" s="7">
        <f>T306*O306</f>
        <v>0</v>
      </c>
    </row>
    <row r="307" spans="1:21">
      <c r="A307" s="4" t="s">
        <v>472</v>
      </c>
      <c r="B307" s="4" t="s">
        <v>39</v>
      </c>
      <c r="C307" s="5">
        <v>45916.13456018519</v>
      </c>
      <c r="D307" s="5">
        <v>45916</v>
      </c>
      <c r="E307" s="6">
        <f>IF(AND(C307&lt;&gt;"",D307&lt;&gt;""),D307-C307,"")</f>
        <v>0</v>
      </c>
      <c r="F307" s="4" t="s">
        <v>399</v>
      </c>
      <c r="G307" s="4" t="s">
        <v>400</v>
      </c>
      <c r="H307" s="4" t="s">
        <v>32</v>
      </c>
      <c r="I307" s="4" t="s">
        <v>33</v>
      </c>
      <c r="J307" s="4">
        <v>0</v>
      </c>
      <c r="K307" s="4">
        <v>0</v>
      </c>
      <c r="L307" s="4">
        <f>J307+K307</f>
        <v>0</v>
      </c>
      <c r="M307" s="4" t="s">
        <v>370</v>
      </c>
      <c r="N307" s="4"/>
      <c r="O307" s="4">
        <v>1</v>
      </c>
      <c r="P307" s="4" t="s">
        <v>135</v>
      </c>
      <c r="Q307" s="4" t="s">
        <v>44</v>
      </c>
      <c r="R307" s="7">
        <v>500000</v>
      </c>
      <c r="S307" s="7">
        <v>0</v>
      </c>
      <c r="T307" s="7">
        <f>R307-S307</f>
        <v>0</v>
      </c>
      <c r="U307" s="7">
        <f>T307*O307</f>
        <v>0</v>
      </c>
    </row>
    <row r="308" spans="1:21">
      <c r="A308" s="4" t="s">
        <v>472</v>
      </c>
      <c r="B308" s="4" t="s">
        <v>39</v>
      </c>
      <c r="C308" s="5">
        <v>45916.13456018519</v>
      </c>
      <c r="D308" s="5">
        <v>45916</v>
      </c>
      <c r="E308" s="6">
        <f>IF(AND(C308&lt;&gt;"",D308&lt;&gt;""),D308-C308,"")</f>
        <v>0</v>
      </c>
      <c r="F308" s="4" t="s">
        <v>399</v>
      </c>
      <c r="G308" s="4" t="s">
        <v>400</v>
      </c>
      <c r="H308" s="4" t="s">
        <v>32</v>
      </c>
      <c r="I308" s="4" t="s">
        <v>33</v>
      </c>
      <c r="J308" s="4">
        <v>3</v>
      </c>
      <c r="K308" s="4">
        <v>0</v>
      </c>
      <c r="L308" s="4">
        <f>J308+K308</f>
        <v>0</v>
      </c>
      <c r="M308" s="4" t="s">
        <v>42</v>
      </c>
      <c r="N308" s="4"/>
      <c r="O308" s="4">
        <v>3</v>
      </c>
      <c r="P308" s="4" t="s">
        <v>135</v>
      </c>
      <c r="Q308" s="4" t="s">
        <v>44</v>
      </c>
      <c r="R308" s="7">
        <v>370000</v>
      </c>
      <c r="S308" s="7">
        <v>0</v>
      </c>
      <c r="T308" s="7">
        <f>R308-S308</f>
        <v>0</v>
      </c>
      <c r="U308" s="7">
        <f>T308*O308</f>
        <v>0</v>
      </c>
    </row>
    <row r="309" spans="1:21">
      <c r="A309" s="4" t="s">
        <v>473</v>
      </c>
      <c r="B309" s="4" t="s">
        <v>39</v>
      </c>
      <c r="C309" s="5">
        <v>45916.14465277778</v>
      </c>
      <c r="D309" s="5">
        <v>45916</v>
      </c>
      <c r="E309" s="6">
        <f>IF(AND(C309&lt;&gt;"",D309&lt;&gt;""),D309-C309,"")</f>
        <v>0</v>
      </c>
      <c r="F309" s="4" t="s">
        <v>234</v>
      </c>
      <c r="G309" s="4" t="s">
        <v>235</v>
      </c>
      <c r="H309" s="4" t="s">
        <v>32</v>
      </c>
      <c r="I309" s="4" t="s">
        <v>33</v>
      </c>
      <c r="J309" s="4">
        <v>1</v>
      </c>
      <c r="K309" s="4">
        <v>0</v>
      </c>
      <c r="L309" s="4">
        <f>J309+K309</f>
        <v>0</v>
      </c>
      <c r="M309" s="4" t="s">
        <v>42</v>
      </c>
      <c r="N309" s="4"/>
      <c r="O309" s="4">
        <v>1</v>
      </c>
      <c r="P309" s="4" t="s">
        <v>43</v>
      </c>
      <c r="Q309" s="4" t="s">
        <v>44</v>
      </c>
      <c r="R309" s="7">
        <v>370000</v>
      </c>
      <c r="S309" s="7">
        <v>0</v>
      </c>
      <c r="T309" s="7">
        <f>R309-S309</f>
        <v>0</v>
      </c>
      <c r="U309" s="7">
        <f>T309*O309</f>
        <v>0</v>
      </c>
    </row>
    <row r="310" spans="1:21">
      <c r="A310" s="4" t="s">
        <v>474</v>
      </c>
      <c r="B310" s="4" t="s">
        <v>39</v>
      </c>
      <c r="C310" s="5">
        <v>45916.14762731481</v>
      </c>
      <c r="D310" s="5">
        <v>45916</v>
      </c>
      <c r="E310" s="6">
        <f>IF(AND(C310&lt;&gt;"",D310&lt;&gt;""),D310-C310,"")</f>
        <v>0</v>
      </c>
      <c r="F310" s="4" t="s">
        <v>64</v>
      </c>
      <c r="G310" s="4" t="s">
        <v>475</v>
      </c>
      <c r="H310" s="4" t="s">
        <v>32</v>
      </c>
      <c r="I310" s="4" t="s">
        <v>33</v>
      </c>
      <c r="J310" s="4">
        <v>0</v>
      </c>
      <c r="K310" s="4">
        <v>0</v>
      </c>
      <c r="L310" s="4">
        <f>J310+K310</f>
        <v>0</v>
      </c>
      <c r="M310" s="4" t="s">
        <v>370</v>
      </c>
      <c r="N310" s="4"/>
      <c r="O310" s="4">
        <v>1</v>
      </c>
      <c r="P310" s="4" t="s">
        <v>135</v>
      </c>
      <c r="Q310" s="4" t="s">
        <v>44</v>
      </c>
      <c r="R310" s="7">
        <v>2000000</v>
      </c>
      <c r="S310" s="7">
        <v>0</v>
      </c>
      <c r="T310" s="7">
        <f>R310-S310</f>
        <v>0</v>
      </c>
      <c r="U310" s="7">
        <f>T310*O310</f>
        <v>0</v>
      </c>
    </row>
    <row r="311" spans="1:21">
      <c r="A311" s="4" t="s">
        <v>474</v>
      </c>
      <c r="B311" s="4" t="s">
        <v>39</v>
      </c>
      <c r="C311" s="5">
        <v>45916.14762731481</v>
      </c>
      <c r="D311" s="5">
        <v>45916</v>
      </c>
      <c r="E311" s="6">
        <f>IF(AND(C311&lt;&gt;"",D311&lt;&gt;""),D311-C311,"")</f>
        <v>0</v>
      </c>
      <c r="F311" s="4" t="s">
        <v>64</v>
      </c>
      <c r="G311" s="4" t="s">
        <v>475</v>
      </c>
      <c r="H311" s="4" t="s">
        <v>32</v>
      </c>
      <c r="I311" s="4" t="s">
        <v>33</v>
      </c>
      <c r="J311" s="4">
        <v>1</v>
      </c>
      <c r="K311" s="4">
        <v>0</v>
      </c>
      <c r="L311" s="4">
        <f>J311+K311</f>
        <v>0</v>
      </c>
      <c r="M311" s="4" t="s">
        <v>42</v>
      </c>
      <c r="N311" s="4"/>
      <c r="O311" s="4">
        <v>1</v>
      </c>
      <c r="P311" s="4" t="s">
        <v>135</v>
      </c>
      <c r="Q311" s="4" t="s">
        <v>44</v>
      </c>
      <c r="R311" s="7">
        <v>370000</v>
      </c>
      <c r="S311" s="7">
        <v>0</v>
      </c>
      <c r="T311" s="7">
        <f>R311-S311</f>
        <v>0</v>
      </c>
      <c r="U311" s="7">
        <f>T311*O311</f>
        <v>0</v>
      </c>
    </row>
    <row r="312" spans="1:21">
      <c r="A312" s="4" t="s">
        <v>476</v>
      </c>
      <c r="B312" s="4" t="s">
        <v>39</v>
      </c>
      <c r="C312" s="5">
        <v>45916.15075231482</v>
      </c>
      <c r="D312" s="5">
        <v>45916</v>
      </c>
      <c r="E312" s="6">
        <f>IF(AND(C312&lt;&gt;"",D312&lt;&gt;""),D312-C312,"")</f>
        <v>0</v>
      </c>
      <c r="F312" s="4" t="s">
        <v>69</v>
      </c>
      <c r="G312" s="4"/>
      <c r="H312" s="4" t="s">
        <v>32</v>
      </c>
      <c r="I312" s="4" t="s">
        <v>33</v>
      </c>
      <c r="J312" s="4">
        <v>1</v>
      </c>
      <c r="K312" s="4">
        <v>0</v>
      </c>
      <c r="L312" s="4">
        <f>J312+K312</f>
        <v>0</v>
      </c>
      <c r="M312" s="4" t="s">
        <v>80</v>
      </c>
      <c r="N312" s="4"/>
      <c r="O312" s="4">
        <v>1</v>
      </c>
      <c r="P312" s="4" t="s">
        <v>135</v>
      </c>
      <c r="Q312" s="4" t="s">
        <v>44</v>
      </c>
      <c r="R312" s="7">
        <v>610000</v>
      </c>
      <c r="S312" s="7">
        <v>0</v>
      </c>
      <c r="T312" s="7">
        <f>R312-S312</f>
        <v>0</v>
      </c>
      <c r="U312" s="7">
        <f>T312*O312</f>
        <v>0</v>
      </c>
    </row>
    <row r="313" spans="1:21">
      <c r="A313" s="4" t="s">
        <v>477</v>
      </c>
      <c r="B313" s="4" t="s">
        <v>39</v>
      </c>
      <c r="C313" s="5">
        <v>45916.15422453704</v>
      </c>
      <c r="D313" s="5">
        <v>45916</v>
      </c>
      <c r="E313" s="6">
        <f>IF(AND(C313&lt;&gt;"",D313&lt;&gt;""),D313-C313,"")</f>
        <v>0</v>
      </c>
      <c r="F313" s="4" t="s">
        <v>478</v>
      </c>
      <c r="G313" s="4" t="s">
        <v>479</v>
      </c>
      <c r="H313" s="4" t="s">
        <v>190</v>
      </c>
      <c r="I313" s="4" t="s">
        <v>56</v>
      </c>
      <c r="J313" s="4">
        <v>1</v>
      </c>
      <c r="K313" s="4">
        <v>0</v>
      </c>
      <c r="L313" s="4">
        <f>J313+K313</f>
        <v>0</v>
      </c>
      <c r="M313" s="4" t="s">
        <v>80</v>
      </c>
      <c r="N313" s="4"/>
      <c r="O313" s="4">
        <v>1</v>
      </c>
      <c r="P313" s="4" t="s">
        <v>135</v>
      </c>
      <c r="Q313" s="4" t="s">
        <v>44</v>
      </c>
      <c r="R313" s="7">
        <v>610000</v>
      </c>
      <c r="S313" s="7">
        <v>0</v>
      </c>
      <c r="T313" s="7">
        <f>R313-S313</f>
        <v>0</v>
      </c>
      <c r="U313" s="7">
        <f>T313*O313</f>
        <v>0</v>
      </c>
    </row>
    <row r="314" spans="1:21">
      <c r="A314" s="4" t="s">
        <v>480</v>
      </c>
      <c r="B314" s="4" t="s">
        <v>39</v>
      </c>
      <c r="C314" s="5">
        <v>45916.15971064815</v>
      </c>
      <c r="D314" s="5">
        <v>45916</v>
      </c>
      <c r="E314" s="6">
        <f>IF(AND(C314&lt;&gt;"",D314&lt;&gt;""),D314-C314,"")</f>
        <v>0</v>
      </c>
      <c r="F314" s="4" t="s">
        <v>481</v>
      </c>
      <c r="G314" s="4" t="s">
        <v>482</v>
      </c>
      <c r="H314" s="4" t="s">
        <v>319</v>
      </c>
      <c r="I314" s="4" t="s">
        <v>56</v>
      </c>
      <c r="J314" s="4">
        <v>1</v>
      </c>
      <c r="K314" s="4">
        <v>0</v>
      </c>
      <c r="L314" s="4">
        <f>J314+K314</f>
        <v>0</v>
      </c>
      <c r="M314" s="4" t="s">
        <v>80</v>
      </c>
      <c r="N314" s="4"/>
      <c r="O314" s="4">
        <v>1</v>
      </c>
      <c r="P314" s="4" t="s">
        <v>43</v>
      </c>
      <c r="Q314" s="4" t="s">
        <v>44</v>
      </c>
      <c r="R314" s="7">
        <v>610000</v>
      </c>
      <c r="S314" s="7">
        <v>0</v>
      </c>
      <c r="T314" s="7">
        <f>R314-S314</f>
        <v>0</v>
      </c>
      <c r="U314" s="7">
        <f>T314*O314</f>
        <v>0</v>
      </c>
    </row>
    <row r="315" spans="1:21">
      <c r="A315" s="4" t="s">
        <v>480</v>
      </c>
      <c r="B315" s="4" t="s">
        <v>39</v>
      </c>
      <c r="C315" s="5">
        <v>45916.15971064815</v>
      </c>
      <c r="D315" s="5">
        <v>45916</v>
      </c>
      <c r="E315" s="6">
        <f>IF(AND(C315&lt;&gt;"",D315&lt;&gt;""),D315-C315,"")</f>
        <v>0</v>
      </c>
      <c r="F315" s="4" t="s">
        <v>481</v>
      </c>
      <c r="G315" s="4" t="s">
        <v>482</v>
      </c>
      <c r="H315" s="4" t="s">
        <v>319</v>
      </c>
      <c r="I315" s="4" t="s">
        <v>56</v>
      </c>
      <c r="J315" s="4">
        <v>0</v>
      </c>
      <c r="K315" s="4">
        <v>0</v>
      </c>
      <c r="L315" s="4">
        <f>J315+K315</f>
        <v>0</v>
      </c>
      <c r="M315" s="4" t="s">
        <v>370</v>
      </c>
      <c r="N315" s="4"/>
      <c r="O315" s="4">
        <v>1</v>
      </c>
      <c r="P315" s="4" t="s">
        <v>43</v>
      </c>
      <c r="Q315" s="4" t="s">
        <v>44</v>
      </c>
      <c r="R315" s="7">
        <v>500000</v>
      </c>
      <c r="S315" s="7">
        <v>0</v>
      </c>
      <c r="T315" s="7">
        <f>R315-S315</f>
        <v>0</v>
      </c>
      <c r="U315" s="7">
        <f>T315*O315</f>
        <v>0</v>
      </c>
    </row>
    <row r="316" spans="1:21">
      <c r="A316" s="4" t="s">
        <v>483</v>
      </c>
      <c r="B316" s="4" t="s">
        <v>39</v>
      </c>
      <c r="C316" s="5">
        <v>45916.16059027778</v>
      </c>
      <c r="D316" s="5">
        <v>45916</v>
      </c>
      <c r="E316" s="6">
        <f>IF(AND(C316&lt;&gt;"",D316&lt;&gt;""),D316-C316,"")</f>
        <v>0</v>
      </c>
      <c r="F316" s="4" t="s">
        <v>484</v>
      </c>
      <c r="G316" s="4" t="s">
        <v>485</v>
      </c>
      <c r="H316" s="4" t="s">
        <v>486</v>
      </c>
      <c r="I316" s="4" t="s">
        <v>56</v>
      </c>
      <c r="J316" s="4">
        <v>0</v>
      </c>
      <c r="K316" s="4">
        <v>0</v>
      </c>
      <c r="L316" s="4">
        <f>J316+K316</f>
        <v>0</v>
      </c>
      <c r="M316" s="4" t="s">
        <v>370</v>
      </c>
      <c r="N316" s="4"/>
      <c r="O316" s="4">
        <v>1</v>
      </c>
      <c r="P316" s="4" t="s">
        <v>135</v>
      </c>
      <c r="Q316" s="4" t="s">
        <v>44</v>
      </c>
      <c r="R316" s="7">
        <v>500000</v>
      </c>
      <c r="S316" s="7">
        <v>0</v>
      </c>
      <c r="T316" s="7">
        <f>R316-S316</f>
        <v>0</v>
      </c>
      <c r="U316" s="7">
        <f>T316*O316</f>
        <v>0</v>
      </c>
    </row>
    <row r="317" spans="1:21">
      <c r="A317" s="4" t="s">
        <v>483</v>
      </c>
      <c r="B317" s="4" t="s">
        <v>39</v>
      </c>
      <c r="C317" s="5">
        <v>45916.16059027778</v>
      </c>
      <c r="D317" s="5">
        <v>45916</v>
      </c>
      <c r="E317" s="6">
        <f>IF(AND(C317&lt;&gt;"",D317&lt;&gt;""),D317-C317,"")</f>
        <v>0</v>
      </c>
      <c r="F317" s="4" t="s">
        <v>484</v>
      </c>
      <c r="G317" s="4" t="s">
        <v>485</v>
      </c>
      <c r="H317" s="4" t="s">
        <v>486</v>
      </c>
      <c r="I317" s="4" t="s">
        <v>56</v>
      </c>
      <c r="J317" s="4">
        <v>1</v>
      </c>
      <c r="K317" s="4">
        <v>0</v>
      </c>
      <c r="L317" s="4">
        <f>J317+K317</f>
        <v>0</v>
      </c>
      <c r="M317" s="4" t="s">
        <v>80</v>
      </c>
      <c r="N317" s="4"/>
      <c r="O317" s="4">
        <v>1</v>
      </c>
      <c r="P317" s="4" t="s">
        <v>135</v>
      </c>
      <c r="Q317" s="4" t="s">
        <v>44</v>
      </c>
      <c r="R317" s="7">
        <v>610000</v>
      </c>
      <c r="S317" s="7">
        <v>0</v>
      </c>
      <c r="T317" s="7">
        <f>R317-S317</f>
        <v>0</v>
      </c>
      <c r="U317" s="7">
        <f>T317*O317</f>
        <v>0</v>
      </c>
    </row>
    <row r="318" spans="1:21">
      <c r="A318" s="4" t="s">
        <v>487</v>
      </c>
      <c r="B318" s="4" t="s">
        <v>39</v>
      </c>
      <c r="C318" s="5">
        <v>45916.16233796296</v>
      </c>
      <c r="D318" s="5">
        <v>45916</v>
      </c>
      <c r="E318" s="6">
        <f>IF(AND(C318&lt;&gt;"",D318&lt;&gt;""),D318-C318,"")</f>
        <v>0</v>
      </c>
      <c r="F318" s="4" t="s">
        <v>78</v>
      </c>
      <c r="G318" s="4" t="s">
        <v>79</v>
      </c>
      <c r="H318" s="4"/>
      <c r="I318" s="4" t="s">
        <v>56</v>
      </c>
      <c r="J318" s="4">
        <v>1</v>
      </c>
      <c r="K318" s="4">
        <v>0</v>
      </c>
      <c r="L318" s="4">
        <f>J318+K318</f>
        <v>0</v>
      </c>
      <c r="M318" s="4" t="s">
        <v>42</v>
      </c>
      <c r="N318" s="4"/>
      <c r="O318" s="4">
        <v>1</v>
      </c>
      <c r="P318" s="4" t="s">
        <v>135</v>
      </c>
      <c r="Q318" s="4" t="s">
        <v>44</v>
      </c>
      <c r="R318" s="7">
        <v>370000</v>
      </c>
      <c r="S318" s="7">
        <v>0</v>
      </c>
      <c r="T318" s="7">
        <f>R318-S318</f>
        <v>0</v>
      </c>
      <c r="U318" s="7">
        <f>T318*O318</f>
        <v>0</v>
      </c>
    </row>
    <row r="319" spans="1:21">
      <c r="A319" s="4" t="s">
        <v>488</v>
      </c>
      <c r="B319" s="4" t="s">
        <v>39</v>
      </c>
      <c r="C319" s="5">
        <v>45916.17711805556</v>
      </c>
      <c r="D319" s="5">
        <v>45916</v>
      </c>
      <c r="E319" s="6">
        <f>IF(AND(C319&lt;&gt;"",D319&lt;&gt;""),D319-C319,"")</f>
        <v>0</v>
      </c>
      <c r="F319" s="4" t="s">
        <v>162</v>
      </c>
      <c r="G319" s="4" t="s">
        <v>163</v>
      </c>
      <c r="H319" s="4" t="s">
        <v>32</v>
      </c>
      <c r="I319" s="4" t="s">
        <v>33</v>
      </c>
      <c r="J319" s="4">
        <v>0</v>
      </c>
      <c r="K319" s="4">
        <v>1</v>
      </c>
      <c r="L319" s="4">
        <f>J319+K319</f>
        <v>0</v>
      </c>
      <c r="M319" s="4" t="s">
        <v>81</v>
      </c>
      <c r="N319" s="4"/>
      <c r="O319" s="4">
        <v>1</v>
      </c>
      <c r="P319" s="4" t="s">
        <v>135</v>
      </c>
      <c r="Q319" s="4" t="s">
        <v>44</v>
      </c>
      <c r="R319" s="7">
        <v>495000</v>
      </c>
      <c r="S319" s="7">
        <v>99000</v>
      </c>
      <c r="T319" s="7">
        <f>R319-S319</f>
        <v>0</v>
      </c>
      <c r="U319" s="7">
        <f>T319*O319</f>
        <v>0</v>
      </c>
    </row>
    <row r="320" spans="1:21">
      <c r="A320" s="4" t="s">
        <v>488</v>
      </c>
      <c r="B320" s="4" t="s">
        <v>39</v>
      </c>
      <c r="C320" s="5">
        <v>45916.17711805556</v>
      </c>
      <c r="D320" s="5">
        <v>45916</v>
      </c>
      <c r="E320" s="6">
        <f>IF(AND(C320&lt;&gt;"",D320&lt;&gt;""),D320-C320,"")</f>
        <v>0</v>
      </c>
      <c r="F320" s="4" t="s">
        <v>162</v>
      </c>
      <c r="G320" s="4" t="s">
        <v>163</v>
      </c>
      <c r="H320" s="4" t="s">
        <v>32</v>
      </c>
      <c r="I320" s="4" t="s">
        <v>33</v>
      </c>
      <c r="J320" s="4">
        <v>1</v>
      </c>
      <c r="K320" s="4">
        <v>0</v>
      </c>
      <c r="L320" s="4">
        <f>J320+K320</f>
        <v>0</v>
      </c>
      <c r="M320" s="4" t="s">
        <v>80</v>
      </c>
      <c r="N320" s="4"/>
      <c r="O320" s="4">
        <v>1</v>
      </c>
      <c r="P320" s="4" t="s">
        <v>135</v>
      </c>
      <c r="Q320" s="4" t="s">
        <v>44</v>
      </c>
      <c r="R320" s="7">
        <v>610000</v>
      </c>
      <c r="S320" s="7">
        <v>61000</v>
      </c>
      <c r="T320" s="7">
        <f>R320-S320</f>
        <v>0</v>
      </c>
      <c r="U320" s="7">
        <f>T320*O320</f>
        <v>0</v>
      </c>
    </row>
    <row r="321" spans="1:21">
      <c r="A321" s="4" t="s">
        <v>488</v>
      </c>
      <c r="B321" s="4" t="s">
        <v>39</v>
      </c>
      <c r="C321" s="5">
        <v>45916.17711805556</v>
      </c>
      <c r="D321" s="5">
        <v>45916</v>
      </c>
      <c r="E321" s="6">
        <f>IF(AND(C321&lt;&gt;"",D321&lt;&gt;""),D321-C321,"")</f>
        <v>0</v>
      </c>
      <c r="F321" s="4" t="s">
        <v>162</v>
      </c>
      <c r="G321" s="4" t="s">
        <v>163</v>
      </c>
      <c r="H321" s="4" t="s">
        <v>32</v>
      </c>
      <c r="I321" s="4" t="s">
        <v>33</v>
      </c>
      <c r="J321" s="4">
        <v>1</v>
      </c>
      <c r="K321" s="4">
        <v>0</v>
      </c>
      <c r="L321" s="4">
        <f>J321+K321</f>
        <v>0</v>
      </c>
      <c r="M321" s="4" t="s">
        <v>80</v>
      </c>
      <c r="N321" s="4"/>
      <c r="O321" s="4">
        <v>1</v>
      </c>
      <c r="P321" s="4" t="s">
        <v>135</v>
      </c>
      <c r="Q321" s="4" t="s">
        <v>44</v>
      </c>
      <c r="R321" s="7">
        <v>610000</v>
      </c>
      <c r="S321" s="7">
        <v>61000</v>
      </c>
      <c r="T321" s="7">
        <f>R321-S321</f>
        <v>0</v>
      </c>
      <c r="U321" s="7">
        <f>T321*O321</f>
        <v>0</v>
      </c>
    </row>
    <row r="322" spans="1:21">
      <c r="A322" s="4" t="s">
        <v>489</v>
      </c>
      <c r="B322" s="4" t="s">
        <v>39</v>
      </c>
      <c r="C322" s="5">
        <v>45916.21556712963</v>
      </c>
      <c r="D322" s="5">
        <v>45916</v>
      </c>
      <c r="E322" s="6">
        <f>IF(AND(C322&lt;&gt;"",D322&lt;&gt;""),D322-C322,"")</f>
        <v>0</v>
      </c>
      <c r="F322" s="4" t="s">
        <v>78</v>
      </c>
      <c r="G322" s="4" t="s">
        <v>79</v>
      </c>
      <c r="H322" s="4"/>
      <c r="I322" s="4" t="s">
        <v>56</v>
      </c>
      <c r="J322" s="4">
        <v>1</v>
      </c>
      <c r="K322" s="4">
        <v>0</v>
      </c>
      <c r="L322" s="4">
        <f>J322+K322</f>
        <v>0</v>
      </c>
      <c r="M322" s="4" t="s">
        <v>80</v>
      </c>
      <c r="N322" s="4"/>
      <c r="O322" s="4">
        <v>1</v>
      </c>
      <c r="P322" s="4" t="s">
        <v>135</v>
      </c>
      <c r="Q322" s="4" t="s">
        <v>44</v>
      </c>
      <c r="R322" s="7">
        <v>610000</v>
      </c>
      <c r="S322" s="7">
        <v>0</v>
      </c>
      <c r="T322" s="7">
        <f>R322-S322</f>
        <v>0</v>
      </c>
      <c r="U322" s="7">
        <f>T322*O322</f>
        <v>0</v>
      </c>
    </row>
    <row r="323" spans="1:21">
      <c r="A323" s="4" t="s">
        <v>490</v>
      </c>
      <c r="B323" s="4" t="s">
        <v>39</v>
      </c>
      <c r="C323" s="5">
        <v>45916.21596064815</v>
      </c>
      <c r="D323" s="5">
        <v>45916</v>
      </c>
      <c r="E323" s="6">
        <f>IF(AND(C323&lt;&gt;"",D323&lt;&gt;""),D323-C323,"")</f>
        <v>0</v>
      </c>
      <c r="F323" s="4" t="s">
        <v>69</v>
      </c>
      <c r="G323" s="4"/>
      <c r="H323" s="4" t="s">
        <v>32</v>
      </c>
      <c r="I323" s="4" t="s">
        <v>33</v>
      </c>
      <c r="J323" s="4">
        <v>1</v>
      </c>
      <c r="K323" s="4">
        <v>0</v>
      </c>
      <c r="L323" s="4">
        <f>J323+K323</f>
        <v>0</v>
      </c>
      <c r="M323" s="4" t="s">
        <v>80</v>
      </c>
      <c r="N323" s="4"/>
      <c r="O323" s="4">
        <v>1</v>
      </c>
      <c r="P323" s="4" t="s">
        <v>135</v>
      </c>
      <c r="Q323" s="4" t="s">
        <v>44</v>
      </c>
      <c r="R323" s="7">
        <v>610000</v>
      </c>
      <c r="S323" s="7">
        <v>0</v>
      </c>
      <c r="T323" s="7">
        <f>R323-S323</f>
        <v>0</v>
      </c>
      <c r="U323" s="7">
        <f>T323*O323</f>
        <v>0</v>
      </c>
    </row>
    <row r="324" spans="1:21">
      <c r="A324" s="4" t="s">
        <v>491</v>
      </c>
      <c r="B324" s="4" t="s">
        <v>48</v>
      </c>
      <c r="C324" s="5">
        <v>45916.32766203704</v>
      </c>
      <c r="D324" s="5">
        <v>45961</v>
      </c>
      <c r="E324" s="6">
        <f>IF(AND(C324&lt;&gt;"",D324&lt;&gt;""),D324-C324,"")</f>
        <v>0</v>
      </c>
      <c r="F324" s="4" t="s">
        <v>64</v>
      </c>
      <c r="G324" s="4" t="s">
        <v>463</v>
      </c>
      <c r="H324" s="4" t="s">
        <v>32</v>
      </c>
      <c r="I324" s="4" t="s">
        <v>33</v>
      </c>
      <c r="J324" s="4">
        <v>2</v>
      </c>
      <c r="K324" s="4">
        <v>2</v>
      </c>
      <c r="L324" s="4">
        <f>J324+K324</f>
        <v>0</v>
      </c>
      <c r="M324" s="4"/>
      <c r="N324" s="4"/>
      <c r="O324" s="4">
        <v>0</v>
      </c>
      <c r="P324" s="4"/>
      <c r="Q324" s="4"/>
      <c r="R324" s="7">
        <v>0</v>
      </c>
      <c r="S324" s="7">
        <v>0</v>
      </c>
      <c r="T324" s="7">
        <f>R324-S324</f>
        <v>0</v>
      </c>
      <c r="U324" s="7">
        <f>T324*O324</f>
        <v>0</v>
      </c>
    </row>
    <row r="325" spans="1:21">
      <c r="A325" s="4" t="s">
        <v>492</v>
      </c>
      <c r="B325" s="4" t="s">
        <v>39</v>
      </c>
      <c r="C325" s="5">
        <v>45916.33401620371</v>
      </c>
      <c r="D325" s="5">
        <v>45916</v>
      </c>
      <c r="E325" s="6">
        <f>IF(AND(C325&lt;&gt;"",D325&lt;&gt;""),D325-C325,"")</f>
        <v>0</v>
      </c>
      <c r="F325" s="4" t="s">
        <v>271</v>
      </c>
      <c r="G325" s="4" t="s">
        <v>272</v>
      </c>
      <c r="H325" s="4" t="s">
        <v>32</v>
      </c>
      <c r="I325" s="4" t="s">
        <v>33</v>
      </c>
      <c r="J325" s="4">
        <v>1</v>
      </c>
      <c r="K325" s="4">
        <v>0</v>
      </c>
      <c r="L325" s="4">
        <f>J325+K325</f>
        <v>0</v>
      </c>
      <c r="M325" s="4" t="s">
        <v>80</v>
      </c>
      <c r="N325" s="4"/>
      <c r="O325" s="4">
        <v>1</v>
      </c>
      <c r="P325" s="4" t="s">
        <v>135</v>
      </c>
      <c r="Q325" s="4" t="s">
        <v>44</v>
      </c>
      <c r="R325" s="7">
        <v>620000</v>
      </c>
      <c r="S325" s="7">
        <v>93000</v>
      </c>
      <c r="T325" s="7">
        <f>R325-S325</f>
        <v>0</v>
      </c>
      <c r="U325" s="7">
        <f>T325*O325</f>
        <v>0</v>
      </c>
    </row>
    <row r="326" spans="1:21">
      <c r="A326" s="4" t="s">
        <v>492</v>
      </c>
      <c r="B326" s="4" t="s">
        <v>39</v>
      </c>
      <c r="C326" s="5">
        <v>45916.33401620371</v>
      </c>
      <c r="D326" s="5">
        <v>45916</v>
      </c>
      <c r="E326" s="6">
        <f>IF(AND(C326&lt;&gt;"",D326&lt;&gt;""),D326-C326,"")</f>
        <v>0</v>
      </c>
      <c r="F326" s="4" t="s">
        <v>271</v>
      </c>
      <c r="G326" s="4" t="s">
        <v>272</v>
      </c>
      <c r="H326" s="4" t="s">
        <v>32</v>
      </c>
      <c r="I326" s="4" t="s">
        <v>33</v>
      </c>
      <c r="J326" s="4">
        <v>1</v>
      </c>
      <c r="K326" s="4">
        <v>0</v>
      </c>
      <c r="L326" s="4">
        <f>J326+K326</f>
        <v>0</v>
      </c>
      <c r="M326" s="4" t="s">
        <v>493</v>
      </c>
      <c r="N326" s="4"/>
      <c r="O326" s="4">
        <v>1</v>
      </c>
      <c r="P326" s="4" t="s">
        <v>135</v>
      </c>
      <c r="Q326" s="4" t="s">
        <v>44</v>
      </c>
      <c r="R326" s="7">
        <v>-527000</v>
      </c>
      <c r="S326" s="7">
        <v>0</v>
      </c>
      <c r="T326" s="7">
        <f>R326-S326</f>
        <v>0</v>
      </c>
      <c r="U326" s="7">
        <f>T326*O326</f>
        <v>0</v>
      </c>
    </row>
    <row r="327" spans="1:21">
      <c r="A327" s="4" t="s">
        <v>494</v>
      </c>
      <c r="B327" s="4" t="s">
        <v>48</v>
      </c>
      <c r="C327" s="5">
        <v>45916.33645833333</v>
      </c>
      <c r="D327" s="5">
        <v>45961</v>
      </c>
      <c r="E327" s="6">
        <f>IF(AND(C327&lt;&gt;"",D327&lt;&gt;""),D327-C327,"")</f>
        <v>0</v>
      </c>
      <c r="F327" s="4" t="s">
        <v>64</v>
      </c>
      <c r="G327" s="4" t="s">
        <v>465</v>
      </c>
      <c r="H327" s="4" t="s">
        <v>32</v>
      </c>
      <c r="I327" s="4" t="s">
        <v>33</v>
      </c>
      <c r="J327" s="4">
        <v>2</v>
      </c>
      <c r="K327" s="4">
        <v>2</v>
      </c>
      <c r="L327" s="4">
        <f>J327+K327</f>
        <v>0</v>
      </c>
      <c r="M327" s="4"/>
      <c r="N327" s="4"/>
      <c r="O327" s="4">
        <v>0</v>
      </c>
      <c r="P327" s="4"/>
      <c r="Q327" s="4"/>
      <c r="R327" s="7">
        <v>0</v>
      </c>
      <c r="S327" s="7">
        <v>0</v>
      </c>
      <c r="T327" s="7">
        <f>R327-S327</f>
        <v>0</v>
      </c>
      <c r="U327" s="7">
        <f>T327*O327</f>
        <v>0</v>
      </c>
    </row>
    <row r="328" spans="1:21">
      <c r="A328" s="4" t="s">
        <v>495</v>
      </c>
      <c r="B328" s="4" t="s">
        <v>39</v>
      </c>
      <c r="C328" s="5">
        <v>45916.34305555555</v>
      </c>
      <c r="D328" s="5">
        <v>45916</v>
      </c>
      <c r="E328" s="6">
        <f>IF(AND(C328&lt;&gt;"",D328&lt;&gt;""),D328-C328,"")</f>
        <v>0</v>
      </c>
      <c r="F328" s="4" t="s">
        <v>496</v>
      </c>
      <c r="G328" s="4"/>
      <c r="H328" s="4"/>
      <c r="I328" s="4" t="s">
        <v>56</v>
      </c>
      <c r="J328" s="4">
        <v>1</v>
      </c>
      <c r="K328" s="4">
        <v>0</v>
      </c>
      <c r="L328" s="4">
        <f>J328+K328</f>
        <v>0</v>
      </c>
      <c r="M328" s="4" t="s">
        <v>80</v>
      </c>
      <c r="N328" s="4"/>
      <c r="O328" s="4">
        <v>1</v>
      </c>
      <c r="P328" s="4" t="s">
        <v>135</v>
      </c>
      <c r="Q328" s="4" t="s">
        <v>44</v>
      </c>
      <c r="R328" s="7">
        <v>620000</v>
      </c>
      <c r="S328" s="7">
        <v>310000</v>
      </c>
      <c r="T328" s="7">
        <f>R328-S328</f>
        <v>0</v>
      </c>
      <c r="U328" s="7">
        <f>T328*O328</f>
        <v>0</v>
      </c>
    </row>
    <row r="329" spans="1:21">
      <c r="A329" s="4" t="s">
        <v>497</v>
      </c>
      <c r="B329" s="4" t="s">
        <v>39</v>
      </c>
      <c r="C329" s="5">
        <v>45916.35196759259</v>
      </c>
      <c r="D329" s="5">
        <v>45916</v>
      </c>
      <c r="E329" s="6">
        <f>IF(AND(C329&lt;&gt;"",D329&lt;&gt;""),D329-C329,"")</f>
        <v>0</v>
      </c>
      <c r="F329" s="4" t="s">
        <v>498</v>
      </c>
      <c r="G329" s="4" t="s">
        <v>499</v>
      </c>
      <c r="H329" s="4" t="s">
        <v>32</v>
      </c>
      <c r="I329" s="4" t="s">
        <v>33</v>
      </c>
      <c r="J329" s="4">
        <v>0</v>
      </c>
      <c r="K329" s="4">
        <v>1</v>
      </c>
      <c r="L329" s="4">
        <f>J329+K329</f>
        <v>0</v>
      </c>
      <c r="M329" s="4" t="s">
        <v>46</v>
      </c>
      <c r="N329" s="4"/>
      <c r="O329" s="4">
        <v>1</v>
      </c>
      <c r="P329" s="4" t="s">
        <v>135</v>
      </c>
      <c r="Q329" s="4" t="s">
        <v>44</v>
      </c>
      <c r="R329" s="7">
        <v>-450000</v>
      </c>
      <c r="S329" s="7">
        <v>0</v>
      </c>
      <c r="T329" s="7">
        <f>R329-S329</f>
        <v>0</v>
      </c>
      <c r="U329" s="7">
        <f>T329*O329</f>
        <v>0</v>
      </c>
    </row>
    <row r="330" spans="1:21">
      <c r="A330" s="4" t="s">
        <v>497</v>
      </c>
      <c r="B330" s="4" t="s">
        <v>39</v>
      </c>
      <c r="C330" s="5">
        <v>45916.35196759259</v>
      </c>
      <c r="D330" s="5">
        <v>45916</v>
      </c>
      <c r="E330" s="6">
        <f>IF(AND(C330&lt;&gt;"",D330&lt;&gt;""),D330-C330,"")</f>
        <v>0</v>
      </c>
      <c r="F330" s="4" t="s">
        <v>498</v>
      </c>
      <c r="G330" s="4" t="s">
        <v>499</v>
      </c>
      <c r="H330" s="4" t="s">
        <v>32</v>
      </c>
      <c r="I330" s="4" t="s">
        <v>33</v>
      </c>
      <c r="J330" s="4">
        <v>1</v>
      </c>
      <c r="K330" s="4">
        <v>0</v>
      </c>
      <c r="L330" s="4">
        <f>J330+K330</f>
        <v>0</v>
      </c>
      <c r="M330" s="4" t="s">
        <v>80</v>
      </c>
      <c r="N330" s="4"/>
      <c r="O330" s="4">
        <v>1</v>
      </c>
      <c r="P330" s="4" t="s">
        <v>135</v>
      </c>
      <c r="Q330" s="4" t="s">
        <v>44</v>
      </c>
      <c r="R330" s="7">
        <v>620000</v>
      </c>
      <c r="S330" s="7">
        <v>0</v>
      </c>
      <c r="T330" s="7">
        <f>R330-S330</f>
        <v>0</v>
      </c>
      <c r="U330" s="7">
        <f>T330*O330</f>
        <v>0</v>
      </c>
    </row>
    <row r="331" spans="1:21">
      <c r="A331" s="4" t="s">
        <v>500</v>
      </c>
      <c r="B331" s="4" t="s">
        <v>39</v>
      </c>
      <c r="C331" s="5">
        <v>45916.35682870371</v>
      </c>
      <c r="D331" s="5">
        <v>45916</v>
      </c>
      <c r="E331" s="6">
        <f>IF(AND(C331&lt;&gt;"",D331&lt;&gt;""),D331-C331,"")</f>
        <v>0</v>
      </c>
      <c r="F331" s="4" t="s">
        <v>263</v>
      </c>
      <c r="G331" s="4" t="s">
        <v>264</v>
      </c>
      <c r="H331" s="4" t="s">
        <v>32</v>
      </c>
      <c r="I331" s="4" t="s">
        <v>33</v>
      </c>
      <c r="J331" s="4">
        <v>1</v>
      </c>
      <c r="K331" s="4">
        <v>0</v>
      </c>
      <c r="L331" s="4">
        <f>J331+K331</f>
        <v>0</v>
      </c>
      <c r="M331" s="4" t="s">
        <v>42</v>
      </c>
      <c r="N331" s="4"/>
      <c r="O331" s="4">
        <v>1</v>
      </c>
      <c r="P331" s="4" t="s">
        <v>135</v>
      </c>
      <c r="Q331" s="4" t="s">
        <v>44</v>
      </c>
      <c r="R331" s="7">
        <v>370000</v>
      </c>
      <c r="S331" s="7">
        <v>0</v>
      </c>
      <c r="T331" s="7">
        <f>R331-S331</f>
        <v>0</v>
      </c>
      <c r="U331" s="7">
        <f>T331*O331</f>
        <v>0</v>
      </c>
    </row>
    <row r="332" spans="1:21">
      <c r="A332" s="4" t="s">
        <v>501</v>
      </c>
      <c r="B332" s="4" t="s">
        <v>39</v>
      </c>
      <c r="C332" s="5">
        <v>45916.36789351852</v>
      </c>
      <c r="D332" s="5">
        <v>45916</v>
      </c>
      <c r="E332" s="6">
        <f>IF(AND(C332&lt;&gt;"",D332&lt;&gt;""),D332-C332,"")</f>
        <v>0</v>
      </c>
      <c r="F332" s="4" t="s">
        <v>409</v>
      </c>
      <c r="G332" s="4"/>
      <c r="H332" s="4"/>
      <c r="I332" s="4" t="s">
        <v>56</v>
      </c>
      <c r="J332" s="4">
        <v>1</v>
      </c>
      <c r="K332" s="4">
        <v>0</v>
      </c>
      <c r="L332" s="4">
        <f>J332+K332</f>
        <v>0</v>
      </c>
      <c r="M332" s="4" t="s">
        <v>42</v>
      </c>
      <c r="N332" s="4"/>
      <c r="O332" s="4">
        <v>1</v>
      </c>
      <c r="P332" s="4" t="s">
        <v>135</v>
      </c>
      <c r="Q332" s="4" t="s">
        <v>44</v>
      </c>
      <c r="R332" s="7">
        <v>370000</v>
      </c>
      <c r="S332" s="7">
        <v>370000</v>
      </c>
      <c r="T332" s="7">
        <f>R332-S332</f>
        <v>0</v>
      </c>
      <c r="U332" s="7">
        <f>T332*O332</f>
        <v>0</v>
      </c>
    </row>
    <row r="333" spans="1:21">
      <c r="A333" s="4" t="s">
        <v>502</v>
      </c>
      <c r="B333" s="4" t="s">
        <v>39</v>
      </c>
      <c r="C333" s="5">
        <v>45916.37375</v>
      </c>
      <c r="D333" s="5">
        <v>45916</v>
      </c>
      <c r="E333" s="6">
        <f>IF(AND(C333&lt;&gt;"",D333&lt;&gt;""),D333-C333,"")</f>
        <v>0</v>
      </c>
      <c r="F333" s="4" t="s">
        <v>503</v>
      </c>
      <c r="G333" s="4" t="s">
        <v>504</v>
      </c>
      <c r="H333" s="4" t="s">
        <v>32</v>
      </c>
      <c r="I333" s="4" t="s">
        <v>33</v>
      </c>
      <c r="J333" s="4">
        <v>1</v>
      </c>
      <c r="K333" s="4">
        <v>0</v>
      </c>
      <c r="L333" s="4">
        <f>J333+K333</f>
        <v>0</v>
      </c>
      <c r="M333" s="4" t="s">
        <v>42</v>
      </c>
      <c r="N333" s="4"/>
      <c r="O333" s="4">
        <v>1</v>
      </c>
      <c r="P333" s="4" t="s">
        <v>135</v>
      </c>
      <c r="Q333" s="4" t="s">
        <v>44</v>
      </c>
      <c r="R333" s="7">
        <v>370000</v>
      </c>
      <c r="S333" s="7">
        <v>370000</v>
      </c>
      <c r="T333" s="7">
        <f>R333-S333</f>
        <v>0</v>
      </c>
      <c r="U333" s="7">
        <f>T333*O333</f>
        <v>0</v>
      </c>
    </row>
    <row r="334" spans="1:21">
      <c r="A334" s="4" t="s">
        <v>505</v>
      </c>
      <c r="B334" s="4" t="s">
        <v>39</v>
      </c>
      <c r="C334" s="5">
        <v>45916.37515046296</v>
      </c>
      <c r="D334" s="5">
        <v>45916</v>
      </c>
      <c r="E334" s="6">
        <f>IF(AND(C334&lt;&gt;"",D334&lt;&gt;""),D334-C334,"")</f>
        <v>0</v>
      </c>
      <c r="F334" s="4" t="s">
        <v>64</v>
      </c>
      <c r="G334" s="4" t="s">
        <v>506</v>
      </c>
      <c r="H334" s="4" t="s">
        <v>32</v>
      </c>
      <c r="I334" s="4" t="s">
        <v>33</v>
      </c>
      <c r="J334" s="4">
        <v>1</v>
      </c>
      <c r="K334" s="4">
        <v>0</v>
      </c>
      <c r="L334" s="4">
        <f>J334+K334</f>
        <v>0</v>
      </c>
      <c r="M334" s="4" t="s">
        <v>80</v>
      </c>
      <c r="N334" s="4"/>
      <c r="O334" s="4">
        <v>1</v>
      </c>
      <c r="P334" s="4" t="s">
        <v>135</v>
      </c>
      <c r="Q334" s="4" t="s">
        <v>44</v>
      </c>
      <c r="R334" s="7">
        <v>620000</v>
      </c>
      <c r="S334" s="7">
        <v>0</v>
      </c>
      <c r="T334" s="7">
        <f>R334-S334</f>
        <v>0</v>
      </c>
      <c r="U334" s="7">
        <f>T334*O334</f>
        <v>0</v>
      </c>
    </row>
    <row r="335" spans="1:21">
      <c r="A335" s="4" t="s">
        <v>505</v>
      </c>
      <c r="B335" s="4" t="s">
        <v>39</v>
      </c>
      <c r="C335" s="5">
        <v>45916.37515046296</v>
      </c>
      <c r="D335" s="5">
        <v>45916</v>
      </c>
      <c r="E335" s="6">
        <f>IF(AND(C335&lt;&gt;"",D335&lt;&gt;""),D335-C335,"")</f>
        <v>0</v>
      </c>
      <c r="F335" s="4" t="s">
        <v>64</v>
      </c>
      <c r="G335" s="4" t="s">
        <v>506</v>
      </c>
      <c r="H335" s="4" t="s">
        <v>32</v>
      </c>
      <c r="I335" s="4" t="s">
        <v>33</v>
      </c>
      <c r="J335" s="4">
        <v>0</v>
      </c>
      <c r="K335" s="4">
        <v>1</v>
      </c>
      <c r="L335" s="4">
        <f>J335+K335</f>
        <v>0</v>
      </c>
      <c r="M335" s="4" t="s">
        <v>46</v>
      </c>
      <c r="N335" s="4"/>
      <c r="O335" s="4">
        <v>1</v>
      </c>
      <c r="P335" s="4" t="s">
        <v>135</v>
      </c>
      <c r="Q335" s="4" t="s">
        <v>44</v>
      </c>
      <c r="R335" s="7">
        <v>-225000</v>
      </c>
      <c r="S335" s="7">
        <v>0</v>
      </c>
      <c r="T335" s="7">
        <f>R335-S335</f>
        <v>0</v>
      </c>
      <c r="U335" s="7">
        <f>T335*O335</f>
        <v>0</v>
      </c>
    </row>
    <row r="336" spans="1:21">
      <c r="A336" s="4" t="s">
        <v>507</v>
      </c>
      <c r="B336" s="4" t="s">
        <v>39</v>
      </c>
      <c r="C336" s="5">
        <v>45916.37841435185</v>
      </c>
      <c r="D336" s="5">
        <v>45916</v>
      </c>
      <c r="E336" s="6">
        <f>IF(AND(C336&lt;&gt;"",D336&lt;&gt;""),D336-C336,"")</f>
        <v>0</v>
      </c>
      <c r="F336" s="4" t="s">
        <v>508</v>
      </c>
      <c r="G336" s="4"/>
      <c r="H336" s="4" t="s">
        <v>32</v>
      </c>
      <c r="I336" s="4" t="s">
        <v>33</v>
      </c>
      <c r="J336" s="4">
        <v>1</v>
      </c>
      <c r="K336" s="4">
        <v>0</v>
      </c>
      <c r="L336" s="4">
        <f>J336+K336</f>
        <v>0</v>
      </c>
      <c r="M336" s="4" t="s">
        <v>80</v>
      </c>
      <c r="N336" s="4"/>
      <c r="O336" s="4">
        <v>1</v>
      </c>
      <c r="P336" s="4" t="s">
        <v>135</v>
      </c>
      <c r="Q336" s="4" t="s">
        <v>44</v>
      </c>
      <c r="R336" s="7">
        <v>620000</v>
      </c>
      <c r="S336" s="7">
        <v>310000</v>
      </c>
      <c r="T336" s="7">
        <f>R336-S336</f>
        <v>0</v>
      </c>
      <c r="U336" s="7">
        <f>T336*O336</f>
        <v>0</v>
      </c>
    </row>
    <row r="337" spans="1:21">
      <c r="A337" s="4" t="s">
        <v>507</v>
      </c>
      <c r="B337" s="4" t="s">
        <v>39</v>
      </c>
      <c r="C337" s="5">
        <v>45916.37841435185</v>
      </c>
      <c r="D337" s="5">
        <v>45916</v>
      </c>
      <c r="E337" s="6">
        <f>IF(AND(C337&lt;&gt;"",D337&lt;&gt;""),D337-C337,"")</f>
        <v>0</v>
      </c>
      <c r="F337" s="4" t="s">
        <v>508</v>
      </c>
      <c r="G337" s="4"/>
      <c r="H337" s="4" t="s">
        <v>32</v>
      </c>
      <c r="I337" s="4" t="s">
        <v>33</v>
      </c>
      <c r="J337" s="4">
        <v>1</v>
      </c>
      <c r="K337" s="4">
        <v>0</v>
      </c>
      <c r="L337" s="4">
        <f>J337+K337</f>
        <v>0</v>
      </c>
      <c r="M337" s="4" t="s">
        <v>42</v>
      </c>
      <c r="N337" s="4"/>
      <c r="O337" s="4">
        <v>1</v>
      </c>
      <c r="P337" s="4" t="s">
        <v>135</v>
      </c>
      <c r="Q337" s="4" t="s">
        <v>44</v>
      </c>
      <c r="R337" s="7">
        <v>370000</v>
      </c>
      <c r="S337" s="7">
        <v>185000</v>
      </c>
      <c r="T337" s="7">
        <f>R337-S337</f>
        <v>0</v>
      </c>
      <c r="U337" s="7">
        <f>T337*O337</f>
        <v>0</v>
      </c>
    </row>
    <row r="338" spans="1:21">
      <c r="A338" s="4" t="s">
        <v>509</v>
      </c>
      <c r="B338" s="4" t="s">
        <v>39</v>
      </c>
      <c r="C338" s="5">
        <v>45916.40056712963</v>
      </c>
      <c r="D338" s="5">
        <v>45916</v>
      </c>
      <c r="E338" s="6">
        <f>IF(AND(C338&lt;&gt;"",D338&lt;&gt;""),D338-C338,"")</f>
        <v>0</v>
      </c>
      <c r="F338" s="4" t="s">
        <v>414</v>
      </c>
      <c r="G338" s="4" t="s">
        <v>415</v>
      </c>
      <c r="H338" s="4" t="s">
        <v>190</v>
      </c>
      <c r="I338" s="4" t="s">
        <v>56</v>
      </c>
      <c r="J338" s="4">
        <v>1</v>
      </c>
      <c r="K338" s="4">
        <v>0</v>
      </c>
      <c r="L338" s="4">
        <f>J338+K338</f>
        <v>0</v>
      </c>
      <c r="M338" s="4" t="s">
        <v>42</v>
      </c>
      <c r="N338" s="4"/>
      <c r="O338" s="4">
        <v>1</v>
      </c>
      <c r="P338" s="4" t="s">
        <v>135</v>
      </c>
      <c r="Q338" s="4" t="s">
        <v>44</v>
      </c>
      <c r="R338" s="7">
        <v>370000</v>
      </c>
      <c r="S338" s="7">
        <v>0</v>
      </c>
      <c r="T338" s="7">
        <f>R338-S338</f>
        <v>0</v>
      </c>
      <c r="U338" s="7">
        <f>T338*O338</f>
        <v>0</v>
      </c>
    </row>
    <row r="339" spans="1:21">
      <c r="A339" s="4" t="s">
        <v>510</v>
      </c>
      <c r="B339" s="4" t="s">
        <v>39</v>
      </c>
      <c r="C339" s="5">
        <v>45916.40443287037</v>
      </c>
      <c r="D339" s="5">
        <v>45916</v>
      </c>
      <c r="E339" s="6">
        <f>IF(AND(C339&lt;&gt;"",D339&lt;&gt;""),D339-C339,"")</f>
        <v>0</v>
      </c>
      <c r="F339" s="4" t="s">
        <v>431</v>
      </c>
      <c r="G339" s="4" t="s">
        <v>432</v>
      </c>
      <c r="H339" s="4" t="s">
        <v>32</v>
      </c>
      <c r="I339" s="4" t="s">
        <v>33</v>
      </c>
      <c r="J339" s="4">
        <v>0</v>
      </c>
      <c r="K339" s="4">
        <v>1</v>
      </c>
      <c r="L339" s="4">
        <f>J339+K339</f>
        <v>0</v>
      </c>
      <c r="M339" s="4" t="s">
        <v>81</v>
      </c>
      <c r="N339" s="4"/>
      <c r="O339" s="4">
        <v>1</v>
      </c>
      <c r="P339" s="4" t="s">
        <v>135</v>
      </c>
      <c r="Q339" s="4" t="s">
        <v>44</v>
      </c>
      <c r="R339" s="7">
        <v>495000</v>
      </c>
      <c r="S339" s="7">
        <v>0</v>
      </c>
      <c r="T339" s="7">
        <f>R339-S339</f>
        <v>0</v>
      </c>
      <c r="U339" s="7">
        <f>T339*O339</f>
        <v>0</v>
      </c>
    </row>
    <row r="340" spans="1:21">
      <c r="A340" s="4" t="s">
        <v>511</v>
      </c>
      <c r="B340" s="4" t="s">
        <v>39</v>
      </c>
      <c r="C340" s="5">
        <v>45916.40546296296</v>
      </c>
      <c r="D340" s="5">
        <v>45916</v>
      </c>
      <c r="E340" s="6">
        <f>IF(AND(C340&lt;&gt;"",D340&lt;&gt;""),D340-C340,"")</f>
        <v>0</v>
      </c>
      <c r="F340" s="4" t="s">
        <v>431</v>
      </c>
      <c r="G340" s="4" t="s">
        <v>432</v>
      </c>
      <c r="H340" s="4" t="s">
        <v>32</v>
      </c>
      <c r="I340" s="4" t="s">
        <v>33</v>
      </c>
      <c r="J340" s="4">
        <v>0</v>
      </c>
      <c r="K340" s="4">
        <v>1</v>
      </c>
      <c r="L340" s="4">
        <f>J340+K340</f>
        <v>0</v>
      </c>
      <c r="M340" s="4" t="s">
        <v>81</v>
      </c>
      <c r="N340" s="4"/>
      <c r="O340" s="4">
        <v>1</v>
      </c>
      <c r="P340" s="4" t="s">
        <v>135</v>
      </c>
      <c r="Q340" s="4" t="s">
        <v>44</v>
      </c>
      <c r="R340" s="7">
        <v>495000</v>
      </c>
      <c r="S340" s="7">
        <v>0</v>
      </c>
      <c r="T340" s="7">
        <f>R340-S340</f>
        <v>0</v>
      </c>
      <c r="U340" s="7">
        <f>T340*O340</f>
        <v>0</v>
      </c>
    </row>
    <row r="341" spans="1:21">
      <c r="A341" s="4" t="s">
        <v>512</v>
      </c>
      <c r="B341" s="4" t="s">
        <v>39</v>
      </c>
      <c r="C341" s="5">
        <v>45916.4074537037</v>
      </c>
      <c r="D341" s="5">
        <v>45916</v>
      </c>
      <c r="E341" s="6">
        <f>IF(AND(C341&lt;&gt;"",D341&lt;&gt;""),D341-C341,"")</f>
        <v>0</v>
      </c>
      <c r="F341" s="4" t="s">
        <v>431</v>
      </c>
      <c r="G341" s="4" t="s">
        <v>432</v>
      </c>
      <c r="H341" s="4" t="s">
        <v>32</v>
      </c>
      <c r="I341" s="4" t="s">
        <v>33</v>
      </c>
      <c r="J341" s="4">
        <v>0</v>
      </c>
      <c r="K341" s="4">
        <v>1</v>
      </c>
      <c r="L341" s="4">
        <f>J341+K341</f>
        <v>0</v>
      </c>
      <c r="M341" s="4" t="s">
        <v>81</v>
      </c>
      <c r="N341" s="4"/>
      <c r="O341" s="4">
        <v>1</v>
      </c>
      <c r="P341" s="4" t="s">
        <v>43</v>
      </c>
      <c r="Q341" s="4" t="s">
        <v>44</v>
      </c>
      <c r="R341" s="7">
        <v>495000</v>
      </c>
      <c r="S341" s="7">
        <v>0</v>
      </c>
      <c r="T341" s="7">
        <f>R341-S341</f>
        <v>0</v>
      </c>
      <c r="U341" s="7">
        <f>T341*O341</f>
        <v>0</v>
      </c>
    </row>
    <row r="342" spans="1:21">
      <c r="A342" s="4" t="s">
        <v>512</v>
      </c>
      <c r="B342" s="4" t="s">
        <v>39</v>
      </c>
      <c r="C342" s="5">
        <v>45916.4074537037</v>
      </c>
      <c r="D342" s="5">
        <v>45916</v>
      </c>
      <c r="E342" s="6">
        <f>IF(AND(C342&lt;&gt;"",D342&lt;&gt;""),D342-C342,"")</f>
        <v>0</v>
      </c>
      <c r="F342" s="4" t="s">
        <v>431</v>
      </c>
      <c r="G342" s="4" t="s">
        <v>432</v>
      </c>
      <c r="H342" s="4" t="s">
        <v>32</v>
      </c>
      <c r="I342" s="4" t="s">
        <v>33</v>
      </c>
      <c r="J342" s="4">
        <v>0</v>
      </c>
      <c r="K342" s="4">
        <v>1</v>
      </c>
      <c r="L342" s="4">
        <f>J342+K342</f>
        <v>0</v>
      </c>
      <c r="M342" s="4" t="s">
        <v>81</v>
      </c>
      <c r="N342" s="4"/>
      <c r="O342" s="4">
        <v>1</v>
      </c>
      <c r="P342" s="4" t="s">
        <v>43</v>
      </c>
      <c r="Q342" s="4" t="s">
        <v>44</v>
      </c>
      <c r="R342" s="7">
        <v>495000</v>
      </c>
      <c r="S342" s="7">
        <v>0</v>
      </c>
      <c r="T342" s="7">
        <f>R342-S342</f>
        <v>0</v>
      </c>
      <c r="U342" s="7">
        <f>T342*O342</f>
        <v>0</v>
      </c>
    </row>
    <row r="343" spans="1:21">
      <c r="A343" s="4" t="s">
        <v>513</v>
      </c>
      <c r="B343" s="4" t="s">
        <v>48</v>
      </c>
      <c r="C343" s="5">
        <v>45916.4203587963</v>
      </c>
      <c r="D343" s="5">
        <v>45961</v>
      </c>
      <c r="E343" s="6">
        <f>IF(AND(C343&lt;&gt;"",D343&lt;&gt;""),D343-C343,"")</f>
        <v>0</v>
      </c>
      <c r="F343" s="4" t="s">
        <v>64</v>
      </c>
      <c r="G343" s="4" t="s">
        <v>514</v>
      </c>
      <c r="H343" s="4" t="s">
        <v>32</v>
      </c>
      <c r="I343" s="4" t="s">
        <v>33</v>
      </c>
      <c r="J343" s="4">
        <v>2</v>
      </c>
      <c r="K343" s="4">
        <v>2</v>
      </c>
      <c r="L343" s="4">
        <f>J343+K343</f>
        <v>0</v>
      </c>
      <c r="M343" s="4"/>
      <c r="N343" s="4"/>
      <c r="O343" s="4">
        <v>0</v>
      </c>
      <c r="P343" s="4"/>
      <c r="Q343" s="4"/>
      <c r="R343" s="7">
        <v>0</v>
      </c>
      <c r="S343" s="7">
        <v>0</v>
      </c>
      <c r="T343" s="7">
        <f>R343-S343</f>
        <v>0</v>
      </c>
      <c r="U343" s="7">
        <f>T343*O343</f>
        <v>0</v>
      </c>
    </row>
    <row r="344" spans="1:21">
      <c r="A344" s="4" t="s">
        <v>515</v>
      </c>
      <c r="B344" s="4" t="s">
        <v>29</v>
      </c>
      <c r="C344" s="5">
        <v>45916.54194444444</v>
      </c>
      <c r="D344" s="5">
        <v>45961</v>
      </c>
      <c r="E344" s="6">
        <f>IF(AND(C344&lt;&gt;"",D344&lt;&gt;""),D344-C344,"")</f>
        <v>0</v>
      </c>
      <c r="F344" s="4" t="s">
        <v>516</v>
      </c>
      <c r="G344" s="4"/>
      <c r="H344" s="4"/>
      <c r="I344" s="4" t="s">
        <v>56</v>
      </c>
      <c r="J344" s="4">
        <v>2</v>
      </c>
      <c r="K344" s="4">
        <v>0</v>
      </c>
      <c r="L344" s="4">
        <f>J344+K344</f>
        <v>0</v>
      </c>
      <c r="M344" s="4"/>
      <c r="N344" s="4"/>
      <c r="O344" s="4">
        <v>0</v>
      </c>
      <c r="P344" s="4"/>
      <c r="Q344" s="4"/>
      <c r="R344" s="7">
        <v>0</v>
      </c>
      <c r="S344" s="7">
        <v>0</v>
      </c>
      <c r="T344" s="7">
        <f>R344-S344</f>
        <v>0</v>
      </c>
      <c r="U344" s="7">
        <f>T344*O344</f>
        <v>0</v>
      </c>
    </row>
    <row r="345" spans="1:21">
      <c r="A345" s="4" t="s">
        <v>517</v>
      </c>
      <c r="B345" s="4" t="s">
        <v>29</v>
      </c>
      <c r="C345" s="5">
        <v>45916.54199074074</v>
      </c>
      <c r="D345" s="5">
        <v>45961</v>
      </c>
      <c r="E345" s="6">
        <f>IF(AND(C345&lt;&gt;"",D345&lt;&gt;""),D345-C345,"")</f>
        <v>0</v>
      </c>
      <c r="F345" s="4" t="s">
        <v>518</v>
      </c>
      <c r="G345" s="4"/>
      <c r="H345" s="4"/>
      <c r="I345" s="4" t="s">
        <v>56</v>
      </c>
      <c r="J345" s="4">
        <v>1</v>
      </c>
      <c r="K345" s="4">
        <v>0</v>
      </c>
      <c r="L345" s="4">
        <f>J345+K345</f>
        <v>0</v>
      </c>
      <c r="M345" s="4"/>
      <c r="N345" s="4"/>
      <c r="O345" s="4">
        <v>0</v>
      </c>
      <c r="P345" s="4"/>
      <c r="Q345" s="4"/>
      <c r="R345" s="7">
        <v>0</v>
      </c>
      <c r="S345" s="7">
        <v>0</v>
      </c>
      <c r="T345" s="7">
        <f>R345-S345</f>
        <v>0</v>
      </c>
      <c r="U345" s="7">
        <f>T345*O345</f>
        <v>0</v>
      </c>
    </row>
    <row r="346" spans="1:21">
      <c r="A346" s="4" t="s">
        <v>517</v>
      </c>
      <c r="B346" s="4" t="s">
        <v>29</v>
      </c>
      <c r="C346" s="5">
        <v>45916.54201388889</v>
      </c>
      <c r="D346" s="5">
        <v>45961</v>
      </c>
      <c r="E346" s="6">
        <f>IF(AND(C346&lt;&gt;"",D346&lt;&gt;""),D346-C346,"")</f>
        <v>0</v>
      </c>
      <c r="F346" s="4" t="s">
        <v>519</v>
      </c>
      <c r="G346" s="4"/>
      <c r="H346" s="4"/>
      <c r="I346" s="4" t="s">
        <v>56</v>
      </c>
      <c r="J346" s="4">
        <v>3</v>
      </c>
      <c r="K346" s="4">
        <v>0</v>
      </c>
      <c r="L346" s="4">
        <f>J346+K346</f>
        <v>0</v>
      </c>
      <c r="M346" s="4"/>
      <c r="N346" s="4"/>
      <c r="O346" s="4">
        <v>0</v>
      </c>
      <c r="P346" s="4"/>
      <c r="Q346" s="4"/>
      <c r="R346" s="7">
        <v>0</v>
      </c>
      <c r="S346" s="7">
        <v>0</v>
      </c>
      <c r="T346" s="7">
        <f>R346-S346</f>
        <v>0</v>
      </c>
      <c r="U346" s="7">
        <f>T346*O346</f>
        <v>0</v>
      </c>
    </row>
    <row r="347" spans="1:21">
      <c r="A347" s="4" t="s">
        <v>520</v>
      </c>
      <c r="B347" s="4" t="s">
        <v>29</v>
      </c>
      <c r="C347" s="5">
        <v>45916.54204861111</v>
      </c>
      <c r="D347" s="5">
        <v>45961</v>
      </c>
      <c r="E347" s="6">
        <f>IF(AND(C347&lt;&gt;"",D347&lt;&gt;""),D347-C347,"")</f>
        <v>0</v>
      </c>
      <c r="F347" s="4" t="s">
        <v>521</v>
      </c>
      <c r="G347" s="4"/>
      <c r="H347" s="4"/>
      <c r="I347" s="4" t="s">
        <v>56</v>
      </c>
      <c r="J347" s="4">
        <v>4</v>
      </c>
      <c r="K347" s="4">
        <v>0</v>
      </c>
      <c r="L347" s="4">
        <f>J347+K347</f>
        <v>0</v>
      </c>
      <c r="M347" s="4"/>
      <c r="N347" s="4"/>
      <c r="O347" s="4">
        <v>0</v>
      </c>
      <c r="P347" s="4"/>
      <c r="Q347" s="4"/>
      <c r="R347" s="7">
        <v>0</v>
      </c>
      <c r="S347" s="7">
        <v>0</v>
      </c>
      <c r="T347" s="7">
        <f>R347-S347</f>
        <v>0</v>
      </c>
      <c r="U347" s="7">
        <f>T347*O347</f>
        <v>0</v>
      </c>
    </row>
    <row r="348" spans="1:21">
      <c r="A348" s="4" t="s">
        <v>522</v>
      </c>
      <c r="B348" s="4" t="s">
        <v>29</v>
      </c>
      <c r="C348" s="5">
        <v>45916.54207175926</v>
      </c>
      <c r="D348" s="5">
        <v>45961</v>
      </c>
      <c r="E348" s="6">
        <f>IF(AND(C348&lt;&gt;"",D348&lt;&gt;""),D348-C348,"")</f>
        <v>0</v>
      </c>
      <c r="F348" s="4" t="s">
        <v>523</v>
      </c>
      <c r="G348" s="4"/>
      <c r="H348" s="4"/>
      <c r="I348" s="4" t="s">
        <v>56</v>
      </c>
      <c r="J348" s="4">
        <v>1</v>
      </c>
      <c r="K348" s="4">
        <v>0</v>
      </c>
      <c r="L348" s="4">
        <f>J348+K348</f>
        <v>0</v>
      </c>
      <c r="M348" s="4"/>
      <c r="N348" s="4"/>
      <c r="O348" s="4">
        <v>0</v>
      </c>
      <c r="P348" s="4"/>
      <c r="Q348" s="4"/>
      <c r="R348" s="7">
        <v>0</v>
      </c>
      <c r="S348" s="7">
        <v>0</v>
      </c>
      <c r="T348" s="7">
        <f>R348-S348</f>
        <v>0</v>
      </c>
      <c r="U348" s="7">
        <f>T348*O348</f>
        <v>0</v>
      </c>
    </row>
    <row r="349" spans="1:21">
      <c r="A349" s="4" t="s">
        <v>522</v>
      </c>
      <c r="B349" s="4" t="s">
        <v>29</v>
      </c>
      <c r="C349" s="5">
        <v>45916.54210648148</v>
      </c>
      <c r="D349" s="5">
        <v>45961</v>
      </c>
      <c r="E349" s="6">
        <f>IF(AND(C349&lt;&gt;"",D349&lt;&gt;""),D349-C349,"")</f>
        <v>0</v>
      </c>
      <c r="F349" s="4" t="s">
        <v>524</v>
      </c>
      <c r="G349" s="4"/>
      <c r="H349" s="4"/>
      <c r="I349" s="4" t="s">
        <v>56</v>
      </c>
      <c r="J349" s="4">
        <v>1</v>
      </c>
      <c r="K349" s="4">
        <v>0</v>
      </c>
      <c r="L349" s="4">
        <f>J349+K349</f>
        <v>0</v>
      </c>
      <c r="M349" s="4"/>
      <c r="N349" s="4"/>
      <c r="O349" s="4">
        <v>0</v>
      </c>
      <c r="P349" s="4"/>
      <c r="Q349" s="4"/>
      <c r="R349" s="7">
        <v>0</v>
      </c>
      <c r="S349" s="7">
        <v>0</v>
      </c>
      <c r="T349" s="7">
        <f>R349-S349</f>
        <v>0</v>
      </c>
      <c r="U349" s="7">
        <f>T349*O349</f>
        <v>0</v>
      </c>
    </row>
    <row r="350" spans="1:21">
      <c r="A350" s="4" t="s">
        <v>525</v>
      </c>
      <c r="B350" s="4" t="s">
        <v>29</v>
      </c>
      <c r="C350" s="5">
        <v>45916.54212962963</v>
      </c>
      <c r="D350" s="5">
        <v>45961</v>
      </c>
      <c r="E350" s="6">
        <f>IF(AND(C350&lt;&gt;"",D350&lt;&gt;""),D350-C350,"")</f>
        <v>0</v>
      </c>
      <c r="F350" s="4" t="s">
        <v>526</v>
      </c>
      <c r="G350" s="4"/>
      <c r="H350" s="4"/>
      <c r="I350" s="4" t="s">
        <v>56</v>
      </c>
      <c r="J350" s="4">
        <v>3</v>
      </c>
      <c r="K350" s="4">
        <v>0</v>
      </c>
      <c r="L350" s="4">
        <f>J350+K350</f>
        <v>0</v>
      </c>
      <c r="M350" s="4"/>
      <c r="N350" s="4"/>
      <c r="O350" s="4">
        <v>0</v>
      </c>
      <c r="P350" s="4"/>
      <c r="Q350" s="4"/>
      <c r="R350" s="7">
        <v>0</v>
      </c>
      <c r="S350" s="7">
        <v>0</v>
      </c>
      <c r="T350" s="7">
        <f>R350-S350</f>
        <v>0</v>
      </c>
      <c r="U350" s="7">
        <f>T350*O350</f>
        <v>0</v>
      </c>
    </row>
    <row r="351" spans="1:21">
      <c r="A351" s="4" t="s">
        <v>527</v>
      </c>
      <c r="B351" s="4" t="s">
        <v>29</v>
      </c>
      <c r="C351" s="5">
        <v>45916.54216435185</v>
      </c>
      <c r="D351" s="5">
        <v>45961</v>
      </c>
      <c r="E351" s="6">
        <f>IF(AND(C351&lt;&gt;"",D351&lt;&gt;""),D351-C351,"")</f>
        <v>0</v>
      </c>
      <c r="F351" s="4" t="s">
        <v>528</v>
      </c>
      <c r="G351" s="4"/>
      <c r="H351" s="4"/>
      <c r="I351" s="4" t="s">
        <v>56</v>
      </c>
      <c r="J351" s="4">
        <v>2</v>
      </c>
      <c r="K351" s="4">
        <v>0</v>
      </c>
      <c r="L351" s="4">
        <f>J351+K351</f>
        <v>0</v>
      </c>
      <c r="M351" s="4"/>
      <c r="N351" s="4"/>
      <c r="O351" s="4">
        <v>0</v>
      </c>
      <c r="P351" s="4"/>
      <c r="Q351" s="4"/>
      <c r="R351" s="7">
        <v>0</v>
      </c>
      <c r="S351" s="7">
        <v>0</v>
      </c>
      <c r="T351" s="7">
        <f>R351-S351</f>
        <v>0</v>
      </c>
      <c r="U351" s="7">
        <f>T351*O351</f>
        <v>0</v>
      </c>
    </row>
    <row r="352" spans="1:21">
      <c r="A352" s="4" t="s">
        <v>527</v>
      </c>
      <c r="B352" s="4" t="s">
        <v>29</v>
      </c>
      <c r="C352" s="5">
        <v>45916.54219907407</v>
      </c>
      <c r="D352" s="5">
        <v>45961</v>
      </c>
      <c r="E352" s="6">
        <f>IF(AND(C352&lt;&gt;"",D352&lt;&gt;""),D352-C352,"")</f>
        <v>0</v>
      </c>
      <c r="F352" s="4" t="s">
        <v>529</v>
      </c>
      <c r="G352" s="4"/>
      <c r="H352" s="4"/>
      <c r="I352" s="4" t="s">
        <v>56</v>
      </c>
      <c r="J352" s="4">
        <v>5</v>
      </c>
      <c r="K352" s="4">
        <v>0</v>
      </c>
      <c r="L352" s="4">
        <f>J352+K352</f>
        <v>0</v>
      </c>
      <c r="M352" s="4"/>
      <c r="N352" s="4"/>
      <c r="O352" s="4">
        <v>0</v>
      </c>
      <c r="P352" s="4"/>
      <c r="Q352" s="4"/>
      <c r="R352" s="7">
        <v>0</v>
      </c>
      <c r="S352" s="7">
        <v>0</v>
      </c>
      <c r="T352" s="7">
        <f>R352-S352</f>
        <v>0</v>
      </c>
      <c r="U352" s="7">
        <f>T352*O352</f>
        <v>0</v>
      </c>
    </row>
    <row r="353" spans="1:21">
      <c r="A353" s="4" t="s">
        <v>530</v>
      </c>
      <c r="B353" s="4" t="s">
        <v>29</v>
      </c>
      <c r="C353" s="5">
        <v>45916.54222222222</v>
      </c>
      <c r="D353" s="5">
        <v>45961</v>
      </c>
      <c r="E353" s="6">
        <f>IF(AND(C353&lt;&gt;"",D353&lt;&gt;""),D353-C353,"")</f>
        <v>0</v>
      </c>
      <c r="F353" s="4" t="s">
        <v>531</v>
      </c>
      <c r="G353" s="4"/>
      <c r="H353" s="4"/>
      <c r="I353" s="4" t="s">
        <v>56</v>
      </c>
      <c r="J353" s="4">
        <v>3</v>
      </c>
      <c r="K353" s="4">
        <v>0</v>
      </c>
      <c r="L353" s="4">
        <f>J353+K353</f>
        <v>0</v>
      </c>
      <c r="M353" s="4"/>
      <c r="N353" s="4"/>
      <c r="O353" s="4">
        <v>0</v>
      </c>
      <c r="P353" s="4"/>
      <c r="Q353" s="4"/>
      <c r="R353" s="7">
        <v>0</v>
      </c>
      <c r="S353" s="7">
        <v>0</v>
      </c>
      <c r="T353" s="7">
        <f>R353-S353</f>
        <v>0</v>
      </c>
      <c r="U353" s="7">
        <f>T353*O353</f>
        <v>0</v>
      </c>
    </row>
    <row r="354" spans="1:21">
      <c r="A354" s="4" t="s">
        <v>530</v>
      </c>
      <c r="B354" s="4" t="s">
        <v>29</v>
      </c>
      <c r="C354" s="5">
        <v>45916.54225694444</v>
      </c>
      <c r="D354" s="5">
        <v>45961</v>
      </c>
      <c r="E354" s="6">
        <f>IF(AND(C354&lt;&gt;"",D354&lt;&gt;""),D354-C354,"")</f>
        <v>0</v>
      </c>
      <c r="F354" s="4" t="s">
        <v>532</v>
      </c>
      <c r="G354" s="4"/>
      <c r="H354" s="4"/>
      <c r="I354" s="4" t="s">
        <v>56</v>
      </c>
      <c r="J354" s="4">
        <v>2</v>
      </c>
      <c r="K354" s="4">
        <v>0</v>
      </c>
      <c r="L354" s="4">
        <f>J354+K354</f>
        <v>0</v>
      </c>
      <c r="M354" s="4"/>
      <c r="N354" s="4"/>
      <c r="O354" s="4">
        <v>0</v>
      </c>
      <c r="P354" s="4"/>
      <c r="Q354" s="4"/>
      <c r="R354" s="7">
        <v>0</v>
      </c>
      <c r="S354" s="7">
        <v>0</v>
      </c>
      <c r="T354" s="7">
        <f>R354-S354</f>
        <v>0</v>
      </c>
      <c r="U354" s="7">
        <f>T354*O354</f>
        <v>0</v>
      </c>
    </row>
    <row r="355" spans="1:21">
      <c r="A355" s="4" t="s">
        <v>533</v>
      </c>
      <c r="B355" s="4" t="s">
        <v>29</v>
      </c>
      <c r="C355" s="5">
        <v>45916.5422800926</v>
      </c>
      <c r="D355" s="5">
        <v>45961</v>
      </c>
      <c r="E355" s="6">
        <f>IF(AND(C355&lt;&gt;"",D355&lt;&gt;""),D355-C355,"")</f>
        <v>0</v>
      </c>
      <c r="F355" s="4" t="s">
        <v>534</v>
      </c>
      <c r="G355" s="4"/>
      <c r="H355" s="4"/>
      <c r="I355" s="4" t="s">
        <v>56</v>
      </c>
      <c r="J355" s="4">
        <v>4</v>
      </c>
      <c r="K355" s="4">
        <v>0</v>
      </c>
      <c r="L355" s="4">
        <f>J355+K355</f>
        <v>0</v>
      </c>
      <c r="M355" s="4"/>
      <c r="N355" s="4"/>
      <c r="O355" s="4">
        <v>0</v>
      </c>
      <c r="P355" s="4"/>
      <c r="Q355" s="4"/>
      <c r="R355" s="7">
        <v>0</v>
      </c>
      <c r="S355" s="7">
        <v>0</v>
      </c>
      <c r="T355" s="7">
        <f>R355-S355</f>
        <v>0</v>
      </c>
      <c r="U355" s="7">
        <f>T355*O355</f>
        <v>0</v>
      </c>
    </row>
    <row r="356" spans="1:21">
      <c r="A356" s="4" t="s">
        <v>535</v>
      </c>
      <c r="B356" s="4" t="s">
        <v>29</v>
      </c>
      <c r="C356" s="5">
        <v>45916.54231481482</v>
      </c>
      <c r="D356" s="5">
        <v>45961</v>
      </c>
      <c r="E356" s="6">
        <f>IF(AND(C356&lt;&gt;"",D356&lt;&gt;""),D356-C356,"")</f>
        <v>0</v>
      </c>
      <c r="F356" s="4" t="s">
        <v>536</v>
      </c>
      <c r="G356" s="4"/>
      <c r="H356" s="4"/>
      <c r="I356" s="4" t="s">
        <v>56</v>
      </c>
      <c r="J356" s="4">
        <v>3</v>
      </c>
      <c r="K356" s="4">
        <v>0</v>
      </c>
      <c r="L356" s="4">
        <f>J356+K356</f>
        <v>0</v>
      </c>
      <c r="M356" s="4"/>
      <c r="N356" s="4"/>
      <c r="O356" s="4">
        <v>0</v>
      </c>
      <c r="P356" s="4"/>
      <c r="Q356" s="4"/>
      <c r="R356" s="7">
        <v>0</v>
      </c>
      <c r="S356" s="7">
        <v>0</v>
      </c>
      <c r="T356" s="7">
        <f>R356-S356</f>
        <v>0</v>
      </c>
      <c r="U356" s="7">
        <f>T356*O356</f>
        <v>0</v>
      </c>
    </row>
    <row r="357" spans="1:21">
      <c r="A357" s="4" t="s">
        <v>537</v>
      </c>
      <c r="B357" s="4" t="s">
        <v>39</v>
      </c>
      <c r="C357" s="5">
        <v>45916.56935185185</v>
      </c>
      <c r="D357" s="5">
        <v>45961</v>
      </c>
      <c r="E357" s="6">
        <f>IF(AND(C357&lt;&gt;"",D357&lt;&gt;""),D357-C357,"")</f>
        <v>0</v>
      </c>
      <c r="F357" s="4" t="s">
        <v>538</v>
      </c>
      <c r="G357" s="4" t="s">
        <v>539</v>
      </c>
      <c r="H357" s="4" t="s">
        <v>540</v>
      </c>
      <c r="I357" s="4" t="s">
        <v>56</v>
      </c>
      <c r="J357" s="4">
        <v>5</v>
      </c>
      <c r="K357" s="4">
        <v>0</v>
      </c>
      <c r="L357" s="4">
        <f>J357+K357</f>
        <v>0</v>
      </c>
      <c r="M357" s="4"/>
      <c r="N357" s="4"/>
      <c r="O357" s="4">
        <v>0</v>
      </c>
      <c r="P357" s="4"/>
      <c r="Q357" s="4"/>
      <c r="R357" s="7">
        <v>0</v>
      </c>
      <c r="S357" s="7">
        <v>0</v>
      </c>
      <c r="T357" s="7">
        <f>R357-S357</f>
        <v>0</v>
      </c>
      <c r="U357" s="7">
        <f>T357*O357</f>
        <v>0</v>
      </c>
    </row>
    <row r="358" spans="1:21">
      <c r="A358" s="4" t="s">
        <v>541</v>
      </c>
      <c r="B358" s="4" t="s">
        <v>29</v>
      </c>
      <c r="C358" s="5">
        <v>45916.60163194445</v>
      </c>
      <c r="D358" s="5">
        <v>45915.6733912037</v>
      </c>
      <c r="E358" s="6">
        <f>IF(AND(C358&lt;&gt;"",D358&lt;&gt;""),D358-C358,"")</f>
        <v>0</v>
      </c>
      <c r="F358" s="4" t="s">
        <v>542</v>
      </c>
      <c r="G358" s="4"/>
      <c r="H358" s="4"/>
      <c r="I358" s="4" t="s">
        <v>56</v>
      </c>
      <c r="J358" s="4">
        <v>2</v>
      </c>
      <c r="K358" s="4">
        <v>0</v>
      </c>
      <c r="L358" s="4">
        <f>J358+K358</f>
        <v>0</v>
      </c>
      <c r="M358" s="4"/>
      <c r="N358" s="4"/>
      <c r="O358" s="4">
        <v>0</v>
      </c>
      <c r="P358" s="4"/>
      <c r="Q358" s="4"/>
      <c r="R358" s="7">
        <v>0</v>
      </c>
      <c r="S358" s="7">
        <v>0</v>
      </c>
      <c r="T358" s="7">
        <f>R358-S358</f>
        <v>0</v>
      </c>
      <c r="U358" s="7">
        <f>T358*O358</f>
        <v>0</v>
      </c>
    </row>
    <row r="359" spans="1:21">
      <c r="A359" s="4" t="s">
        <v>541</v>
      </c>
      <c r="B359" s="4" t="s">
        <v>29</v>
      </c>
      <c r="C359" s="5">
        <v>45916.60166666667</v>
      </c>
      <c r="D359" s="5">
        <v>45961</v>
      </c>
      <c r="E359" s="6">
        <f>IF(AND(C359&lt;&gt;"",D359&lt;&gt;""),D359-C359,"")</f>
        <v>0</v>
      </c>
      <c r="F359" s="4" t="s">
        <v>543</v>
      </c>
      <c r="G359" s="4"/>
      <c r="H359" s="4"/>
      <c r="I359" s="4" t="s">
        <v>56</v>
      </c>
      <c r="J359" s="4">
        <v>1</v>
      </c>
      <c r="K359" s="4">
        <v>0</v>
      </c>
      <c r="L359" s="4">
        <f>J359+K359</f>
        <v>0</v>
      </c>
      <c r="M359" s="4"/>
      <c r="N359" s="4"/>
      <c r="O359" s="4">
        <v>0</v>
      </c>
      <c r="P359" s="4"/>
      <c r="Q359" s="4"/>
      <c r="R359" s="7">
        <v>0</v>
      </c>
      <c r="S359" s="7">
        <v>0</v>
      </c>
      <c r="T359" s="7">
        <f>R359-S359</f>
        <v>0</v>
      </c>
      <c r="U359" s="7">
        <f>T359*O359</f>
        <v>0</v>
      </c>
    </row>
    <row r="360" spans="1:21">
      <c r="A360" s="4" t="s">
        <v>541</v>
      </c>
      <c r="B360" s="4" t="s">
        <v>29</v>
      </c>
      <c r="C360" s="5">
        <v>45916.60170138889</v>
      </c>
      <c r="D360" s="5">
        <v>45961</v>
      </c>
      <c r="E360" s="6">
        <f>IF(AND(C360&lt;&gt;"",D360&lt;&gt;""),D360-C360,"")</f>
        <v>0</v>
      </c>
      <c r="F360" s="4" t="s">
        <v>544</v>
      </c>
      <c r="G360" s="4"/>
      <c r="H360" s="4"/>
      <c r="I360" s="4" t="s">
        <v>56</v>
      </c>
      <c r="J360" s="4">
        <v>3</v>
      </c>
      <c r="K360" s="4">
        <v>0</v>
      </c>
      <c r="L360" s="4">
        <f>J360+K360</f>
        <v>0</v>
      </c>
      <c r="M360" s="4"/>
      <c r="N360" s="4"/>
      <c r="O360" s="4">
        <v>0</v>
      </c>
      <c r="P360" s="4"/>
      <c r="Q360" s="4"/>
      <c r="R360" s="7">
        <v>0</v>
      </c>
      <c r="S360" s="7">
        <v>0</v>
      </c>
      <c r="T360" s="7">
        <f>R360-S360</f>
        <v>0</v>
      </c>
      <c r="U360" s="7">
        <f>T360*O360</f>
        <v>0</v>
      </c>
    </row>
    <row r="361" spans="1:21">
      <c r="A361" s="4" t="s">
        <v>545</v>
      </c>
      <c r="B361" s="4" t="s">
        <v>29</v>
      </c>
      <c r="C361" s="5">
        <v>45916.60172453704</v>
      </c>
      <c r="D361" s="5">
        <v>45961</v>
      </c>
      <c r="E361" s="6">
        <f>IF(AND(C361&lt;&gt;"",D361&lt;&gt;""),D361-C361,"")</f>
        <v>0</v>
      </c>
      <c r="F361" s="4" t="s">
        <v>546</v>
      </c>
      <c r="G361" s="4"/>
      <c r="H361" s="4"/>
      <c r="I361" s="4" t="s">
        <v>56</v>
      </c>
      <c r="J361" s="4">
        <v>4</v>
      </c>
      <c r="K361" s="4">
        <v>0</v>
      </c>
      <c r="L361" s="4">
        <f>J361+K361</f>
        <v>0</v>
      </c>
      <c r="M361" s="4"/>
      <c r="N361" s="4"/>
      <c r="O361" s="4">
        <v>0</v>
      </c>
      <c r="P361" s="4"/>
      <c r="Q361" s="4"/>
      <c r="R361" s="7">
        <v>0</v>
      </c>
      <c r="S361" s="7">
        <v>0</v>
      </c>
      <c r="T361" s="7">
        <f>R361-S361</f>
        <v>0</v>
      </c>
      <c r="U361" s="7">
        <f>T361*O361</f>
        <v>0</v>
      </c>
    </row>
    <row r="362" spans="1:21">
      <c r="A362" s="4" t="s">
        <v>545</v>
      </c>
      <c r="B362" s="4" t="s">
        <v>29</v>
      </c>
      <c r="C362" s="5">
        <v>45916.60175925926</v>
      </c>
      <c r="D362" s="5">
        <v>45961</v>
      </c>
      <c r="E362" s="6">
        <f>IF(AND(C362&lt;&gt;"",D362&lt;&gt;""),D362-C362,"")</f>
        <v>0</v>
      </c>
      <c r="F362" s="4" t="s">
        <v>547</v>
      </c>
      <c r="G362" s="4"/>
      <c r="H362" s="4"/>
      <c r="I362" s="4" t="s">
        <v>56</v>
      </c>
      <c r="J362" s="4">
        <v>1</v>
      </c>
      <c r="K362" s="4">
        <v>0</v>
      </c>
      <c r="L362" s="4">
        <f>J362+K362</f>
        <v>0</v>
      </c>
      <c r="M362" s="4"/>
      <c r="N362" s="4"/>
      <c r="O362" s="4">
        <v>0</v>
      </c>
      <c r="P362" s="4"/>
      <c r="Q362" s="4"/>
      <c r="R362" s="7">
        <v>0</v>
      </c>
      <c r="S362" s="7">
        <v>0</v>
      </c>
      <c r="T362" s="7">
        <f>R362-S362</f>
        <v>0</v>
      </c>
      <c r="U362" s="7">
        <f>T362*O362</f>
        <v>0</v>
      </c>
    </row>
    <row r="363" spans="1:21">
      <c r="A363" s="4" t="s">
        <v>548</v>
      </c>
      <c r="B363" s="4" t="s">
        <v>29</v>
      </c>
      <c r="C363" s="5">
        <v>45916.60179398148</v>
      </c>
      <c r="D363" s="5">
        <v>45961</v>
      </c>
      <c r="E363" s="6">
        <f>IF(AND(C363&lt;&gt;"",D363&lt;&gt;""),D363-C363,"")</f>
        <v>0</v>
      </c>
      <c r="F363" s="4" t="s">
        <v>549</v>
      </c>
      <c r="G363" s="4"/>
      <c r="H363" s="4"/>
      <c r="I363" s="4" t="s">
        <v>56</v>
      </c>
      <c r="J363" s="4">
        <v>1</v>
      </c>
      <c r="K363" s="4">
        <v>0</v>
      </c>
      <c r="L363" s="4">
        <f>J363+K363</f>
        <v>0</v>
      </c>
      <c r="M363" s="4"/>
      <c r="N363" s="4"/>
      <c r="O363" s="4">
        <v>0</v>
      </c>
      <c r="P363" s="4"/>
      <c r="Q363" s="4"/>
      <c r="R363" s="7">
        <v>0</v>
      </c>
      <c r="S363" s="7">
        <v>0</v>
      </c>
      <c r="T363" s="7">
        <f>R363-S363</f>
        <v>0</v>
      </c>
      <c r="U363" s="7">
        <f>T363*O363</f>
        <v>0</v>
      </c>
    </row>
    <row r="364" spans="1:21">
      <c r="A364" s="4" t="s">
        <v>550</v>
      </c>
      <c r="B364" s="4" t="s">
        <v>29</v>
      </c>
      <c r="C364" s="5">
        <v>45916.60181712963</v>
      </c>
      <c r="D364" s="5">
        <v>45961</v>
      </c>
      <c r="E364" s="6">
        <f>IF(AND(C364&lt;&gt;"",D364&lt;&gt;""),D364-C364,"")</f>
        <v>0</v>
      </c>
      <c r="F364" s="4" t="s">
        <v>551</v>
      </c>
      <c r="G364" s="4"/>
      <c r="H364" s="4"/>
      <c r="I364" s="4" t="s">
        <v>56</v>
      </c>
      <c r="J364" s="4">
        <v>3</v>
      </c>
      <c r="K364" s="4">
        <v>0</v>
      </c>
      <c r="L364" s="4">
        <f>J364+K364</f>
        <v>0</v>
      </c>
      <c r="M364" s="4"/>
      <c r="N364" s="4"/>
      <c r="O364" s="4">
        <v>0</v>
      </c>
      <c r="P364" s="4"/>
      <c r="Q364" s="4"/>
      <c r="R364" s="7">
        <v>0</v>
      </c>
      <c r="S364" s="7">
        <v>0</v>
      </c>
      <c r="T364" s="7">
        <f>R364-S364</f>
        <v>0</v>
      </c>
      <c r="U364" s="7">
        <f>T364*O364</f>
        <v>0</v>
      </c>
    </row>
    <row r="365" spans="1:21">
      <c r="A365" s="4" t="s">
        <v>550</v>
      </c>
      <c r="B365" s="4" t="s">
        <v>29</v>
      </c>
      <c r="C365" s="5">
        <v>45916.60185185185</v>
      </c>
      <c r="D365" s="5">
        <v>45961</v>
      </c>
      <c r="E365" s="6">
        <f>IF(AND(C365&lt;&gt;"",D365&lt;&gt;""),D365-C365,"")</f>
        <v>0</v>
      </c>
      <c r="F365" s="4" t="s">
        <v>552</v>
      </c>
      <c r="G365" s="4"/>
      <c r="H365" s="4"/>
      <c r="I365" s="4" t="s">
        <v>56</v>
      </c>
      <c r="J365" s="4">
        <v>2</v>
      </c>
      <c r="K365" s="4">
        <v>0</v>
      </c>
      <c r="L365" s="4">
        <f>J365+K365</f>
        <v>0</v>
      </c>
      <c r="M365" s="4"/>
      <c r="N365" s="4"/>
      <c r="O365" s="4">
        <v>0</v>
      </c>
      <c r="P365" s="4"/>
      <c r="Q365" s="4"/>
      <c r="R365" s="7">
        <v>0</v>
      </c>
      <c r="S365" s="7">
        <v>0</v>
      </c>
      <c r="T365" s="7">
        <f>R365-S365</f>
        <v>0</v>
      </c>
      <c r="U365" s="7">
        <f>T365*O365</f>
        <v>0</v>
      </c>
    </row>
    <row r="366" spans="1:21">
      <c r="A366" s="4" t="s">
        <v>553</v>
      </c>
      <c r="B366" s="4" t="s">
        <v>29</v>
      </c>
      <c r="C366" s="5">
        <v>45916.601875</v>
      </c>
      <c r="D366" s="5">
        <v>45961</v>
      </c>
      <c r="E366" s="6">
        <f>IF(AND(C366&lt;&gt;"",D366&lt;&gt;""),D366-C366,"")</f>
        <v>0</v>
      </c>
      <c r="F366" s="4" t="s">
        <v>554</v>
      </c>
      <c r="G366" s="4"/>
      <c r="H366" s="4"/>
      <c r="I366" s="4" t="s">
        <v>56</v>
      </c>
      <c r="J366" s="4">
        <v>5</v>
      </c>
      <c r="K366" s="4">
        <v>0</v>
      </c>
      <c r="L366" s="4">
        <f>J366+K366</f>
        <v>0</v>
      </c>
      <c r="M366" s="4"/>
      <c r="N366" s="4"/>
      <c r="O366" s="4">
        <v>0</v>
      </c>
      <c r="P366" s="4"/>
      <c r="Q366" s="4"/>
      <c r="R366" s="7">
        <v>0</v>
      </c>
      <c r="S366" s="7">
        <v>0</v>
      </c>
      <c r="T366" s="7">
        <f>R366-S366</f>
        <v>0</v>
      </c>
      <c r="U366" s="7">
        <f>T366*O366</f>
        <v>0</v>
      </c>
    </row>
    <row r="367" spans="1:21">
      <c r="A367" s="4" t="s">
        <v>555</v>
      </c>
      <c r="B367" s="4" t="s">
        <v>29</v>
      </c>
      <c r="C367" s="5">
        <v>45916.60190972222</v>
      </c>
      <c r="D367" s="5">
        <v>45961</v>
      </c>
      <c r="E367" s="6">
        <f>IF(AND(C367&lt;&gt;"",D367&lt;&gt;""),D367-C367,"")</f>
        <v>0</v>
      </c>
      <c r="F367" s="4" t="s">
        <v>556</v>
      </c>
      <c r="G367" s="4"/>
      <c r="H367" s="4"/>
      <c r="I367" s="4" t="s">
        <v>56</v>
      </c>
      <c r="J367" s="4">
        <v>3</v>
      </c>
      <c r="K367" s="4">
        <v>0</v>
      </c>
      <c r="L367" s="4">
        <f>J367+K367</f>
        <v>0</v>
      </c>
      <c r="M367" s="4"/>
      <c r="N367" s="4"/>
      <c r="O367" s="4">
        <v>0</v>
      </c>
      <c r="P367" s="4"/>
      <c r="Q367" s="4"/>
      <c r="R367" s="7">
        <v>0</v>
      </c>
      <c r="S367" s="7">
        <v>0</v>
      </c>
      <c r="T367" s="7">
        <f>R367-S367</f>
        <v>0</v>
      </c>
      <c r="U367" s="7">
        <f>T367*O367</f>
        <v>0</v>
      </c>
    </row>
    <row r="368" spans="1:21">
      <c r="A368" s="4" t="s">
        <v>557</v>
      </c>
      <c r="B368" s="4" t="s">
        <v>29</v>
      </c>
      <c r="C368" s="5">
        <v>45916.60193287037</v>
      </c>
      <c r="D368" s="5">
        <v>45961</v>
      </c>
      <c r="E368" s="6">
        <f>IF(AND(C368&lt;&gt;"",D368&lt;&gt;""),D368-C368,"")</f>
        <v>0</v>
      </c>
      <c r="F368" s="4" t="s">
        <v>558</v>
      </c>
      <c r="G368" s="4"/>
      <c r="H368" s="4"/>
      <c r="I368" s="4" t="s">
        <v>56</v>
      </c>
      <c r="J368" s="4">
        <v>2</v>
      </c>
      <c r="K368" s="4">
        <v>0</v>
      </c>
      <c r="L368" s="4">
        <f>J368+K368</f>
        <v>0</v>
      </c>
      <c r="M368" s="4"/>
      <c r="N368" s="4"/>
      <c r="O368" s="4">
        <v>0</v>
      </c>
      <c r="P368" s="4"/>
      <c r="Q368" s="4"/>
      <c r="R368" s="7">
        <v>0</v>
      </c>
      <c r="S368" s="7">
        <v>0</v>
      </c>
      <c r="T368" s="7">
        <f>R368-S368</f>
        <v>0</v>
      </c>
      <c r="U368" s="7">
        <f>T368*O368</f>
        <v>0</v>
      </c>
    </row>
    <row r="369" spans="1:21">
      <c r="A369" s="4" t="s">
        <v>557</v>
      </c>
      <c r="B369" s="4" t="s">
        <v>29</v>
      </c>
      <c r="C369" s="5">
        <v>45916.60196759259</v>
      </c>
      <c r="D369" s="5">
        <v>45961</v>
      </c>
      <c r="E369" s="6">
        <f>IF(AND(C369&lt;&gt;"",D369&lt;&gt;""),D369-C369,"")</f>
        <v>0</v>
      </c>
      <c r="F369" s="4" t="s">
        <v>559</v>
      </c>
      <c r="G369" s="4"/>
      <c r="H369" s="4"/>
      <c r="I369" s="4" t="s">
        <v>56</v>
      </c>
      <c r="J369" s="4">
        <v>4</v>
      </c>
      <c r="K369" s="4">
        <v>0</v>
      </c>
      <c r="L369" s="4">
        <f>J369+K369</f>
        <v>0</v>
      </c>
      <c r="M369" s="4"/>
      <c r="N369" s="4"/>
      <c r="O369" s="4">
        <v>0</v>
      </c>
      <c r="P369" s="4"/>
      <c r="Q369" s="4"/>
      <c r="R369" s="7">
        <v>0</v>
      </c>
      <c r="S369" s="7">
        <v>0</v>
      </c>
      <c r="T369" s="7">
        <f>R369-S369</f>
        <v>0</v>
      </c>
      <c r="U369" s="7">
        <f>T369*O369</f>
        <v>0</v>
      </c>
    </row>
    <row r="370" spans="1:21">
      <c r="A370" s="4" t="s">
        <v>560</v>
      </c>
      <c r="B370" s="4" t="s">
        <v>29</v>
      </c>
      <c r="C370" s="5">
        <v>45916.60199074074</v>
      </c>
      <c r="D370" s="5">
        <v>45961</v>
      </c>
      <c r="E370" s="6">
        <f>IF(AND(C370&lt;&gt;"",D370&lt;&gt;""),D370-C370,"")</f>
        <v>0</v>
      </c>
      <c r="F370" s="4" t="s">
        <v>561</v>
      </c>
      <c r="G370" s="4"/>
      <c r="H370" s="4"/>
      <c r="I370" s="4" t="s">
        <v>56</v>
      </c>
      <c r="J370" s="4">
        <v>3</v>
      </c>
      <c r="K370" s="4">
        <v>0</v>
      </c>
      <c r="L370" s="4">
        <f>J370+K370</f>
        <v>0</v>
      </c>
      <c r="M370" s="4"/>
      <c r="N370" s="4"/>
      <c r="O370" s="4">
        <v>0</v>
      </c>
      <c r="P370" s="4"/>
      <c r="Q370" s="4"/>
      <c r="R370" s="7">
        <v>0</v>
      </c>
      <c r="S370" s="7">
        <v>0</v>
      </c>
      <c r="T370" s="7">
        <f>R370-S370</f>
        <v>0</v>
      </c>
      <c r="U370" s="7">
        <f>T370*O370</f>
        <v>0</v>
      </c>
    </row>
    <row r="371" spans="1:21">
      <c r="A371" s="4" t="s">
        <v>562</v>
      </c>
      <c r="B371" s="4" t="s">
        <v>29</v>
      </c>
      <c r="C371" s="5">
        <v>45916.63148148148</v>
      </c>
      <c r="D371" s="5">
        <v>45961</v>
      </c>
      <c r="E371" s="6">
        <f>IF(AND(C371&lt;&gt;"",D371&lt;&gt;""),D371-C371,"")</f>
        <v>0</v>
      </c>
      <c r="F371" s="4" t="s">
        <v>563</v>
      </c>
      <c r="G371" s="4" t="s">
        <v>564</v>
      </c>
      <c r="H371" s="4" t="s">
        <v>190</v>
      </c>
      <c r="I371" s="4" t="s">
        <v>56</v>
      </c>
      <c r="J371" s="4">
        <v>2</v>
      </c>
      <c r="K371" s="4">
        <v>0</v>
      </c>
      <c r="L371" s="4">
        <f>J371+K371</f>
        <v>0</v>
      </c>
      <c r="M371" s="4"/>
      <c r="N371" s="4"/>
      <c r="O371" s="4">
        <v>0</v>
      </c>
      <c r="P371" s="4"/>
      <c r="Q371" s="4"/>
      <c r="R371" s="7">
        <v>0</v>
      </c>
      <c r="S371" s="7">
        <v>0</v>
      </c>
      <c r="T371" s="7">
        <f>R371-S371</f>
        <v>0</v>
      </c>
      <c r="U371" s="7">
        <f>T371*O371</f>
        <v>0</v>
      </c>
    </row>
    <row r="372" spans="1:21">
      <c r="A372" s="4" t="s">
        <v>565</v>
      </c>
      <c r="B372" s="4" t="s">
        <v>48</v>
      </c>
      <c r="C372" s="5">
        <v>45916.64215277778</v>
      </c>
      <c r="D372" s="5">
        <v>45961</v>
      </c>
      <c r="E372" s="6">
        <f>IF(AND(C372&lt;&gt;"",D372&lt;&gt;""),D372-C372,"")</f>
        <v>0</v>
      </c>
      <c r="F372" s="4" t="s">
        <v>498</v>
      </c>
      <c r="G372" s="4" t="s">
        <v>499</v>
      </c>
      <c r="H372" s="4" t="s">
        <v>32</v>
      </c>
      <c r="I372" s="4" t="s">
        <v>33</v>
      </c>
      <c r="J372" s="4">
        <v>2</v>
      </c>
      <c r="K372" s="4">
        <v>2</v>
      </c>
      <c r="L372" s="4">
        <f>J372+K372</f>
        <v>0</v>
      </c>
      <c r="M372" s="4"/>
      <c r="N372" s="4"/>
      <c r="O372" s="4">
        <v>0</v>
      </c>
      <c r="P372" s="4"/>
      <c r="Q372" s="4"/>
      <c r="R372" s="7">
        <v>0</v>
      </c>
      <c r="S372" s="7">
        <v>0</v>
      </c>
      <c r="T372" s="7">
        <f>R372-S372</f>
        <v>0</v>
      </c>
      <c r="U372" s="7">
        <f>T372*O372</f>
        <v>0</v>
      </c>
    </row>
    <row r="373" spans="1:21">
      <c r="A373" s="4" t="s">
        <v>566</v>
      </c>
      <c r="B373" s="4" t="s">
        <v>48</v>
      </c>
      <c r="C373" s="5">
        <v>45916.65310185185</v>
      </c>
      <c r="D373" s="5">
        <v>45961</v>
      </c>
      <c r="E373" s="6">
        <f>IF(AND(C373&lt;&gt;"",D373&lt;&gt;""),D373-C373,"")</f>
        <v>0</v>
      </c>
      <c r="F373" s="4" t="s">
        <v>292</v>
      </c>
      <c r="G373" s="4" t="s">
        <v>293</v>
      </c>
      <c r="H373" s="4" t="s">
        <v>32</v>
      </c>
      <c r="I373" s="4" t="s">
        <v>33</v>
      </c>
      <c r="J373" s="4">
        <v>2</v>
      </c>
      <c r="K373" s="4">
        <v>2</v>
      </c>
      <c r="L373" s="4">
        <f>J373+K373</f>
        <v>0</v>
      </c>
      <c r="M373" s="4"/>
      <c r="N373" s="4"/>
      <c r="O373" s="4">
        <v>0</v>
      </c>
      <c r="P373" s="4"/>
      <c r="Q373" s="4"/>
      <c r="R373" s="7">
        <v>0</v>
      </c>
      <c r="S373" s="7">
        <v>0</v>
      </c>
      <c r="T373" s="7">
        <f>R373-S373</f>
        <v>0</v>
      </c>
      <c r="U373" s="7">
        <f>T373*O373</f>
        <v>0</v>
      </c>
    </row>
    <row r="374" spans="1:21">
      <c r="A374" s="4" t="s">
        <v>567</v>
      </c>
      <c r="B374" s="4" t="s">
        <v>48</v>
      </c>
      <c r="C374" s="5">
        <v>45916.65748842592</v>
      </c>
      <c r="D374" s="5">
        <v>45961</v>
      </c>
      <c r="E374" s="6">
        <f>IF(AND(C374&lt;&gt;"",D374&lt;&gt;""),D374-C374,"")</f>
        <v>0</v>
      </c>
      <c r="F374" s="4" t="s">
        <v>64</v>
      </c>
      <c r="G374" s="4" t="s">
        <v>506</v>
      </c>
      <c r="H374" s="4" t="s">
        <v>32</v>
      </c>
      <c r="I374" s="4" t="s">
        <v>33</v>
      </c>
      <c r="J374" s="4">
        <v>2</v>
      </c>
      <c r="K374" s="4">
        <v>2</v>
      </c>
      <c r="L374" s="4">
        <f>J374+K374</f>
        <v>0</v>
      </c>
      <c r="M374" s="4"/>
      <c r="N374" s="4"/>
      <c r="O374" s="4">
        <v>0</v>
      </c>
      <c r="P374" s="4"/>
      <c r="Q374" s="4"/>
      <c r="R374" s="7">
        <v>0</v>
      </c>
      <c r="S374" s="7">
        <v>0</v>
      </c>
      <c r="T374" s="7">
        <f>R374-S374</f>
        <v>0</v>
      </c>
      <c r="U374" s="7">
        <f>T374*O374</f>
        <v>0</v>
      </c>
    </row>
    <row r="375" spans="1:21">
      <c r="A375" s="4" t="s">
        <v>568</v>
      </c>
      <c r="B375" s="4" t="s">
        <v>48</v>
      </c>
      <c r="C375" s="5">
        <v>45916.67909722222</v>
      </c>
      <c r="D375" s="5">
        <v>45961</v>
      </c>
      <c r="E375" s="6">
        <f>IF(AND(C375&lt;&gt;"",D375&lt;&gt;""),D375-C375,"")</f>
        <v>0</v>
      </c>
      <c r="F375" s="4" t="s">
        <v>64</v>
      </c>
      <c r="G375" s="4" t="s">
        <v>569</v>
      </c>
      <c r="H375" s="4" t="s">
        <v>32</v>
      </c>
      <c r="I375" s="4" t="s">
        <v>33</v>
      </c>
      <c r="J375" s="4">
        <v>3</v>
      </c>
      <c r="K375" s="4">
        <v>0</v>
      </c>
      <c r="L375" s="4">
        <f>J375+K375</f>
        <v>0</v>
      </c>
      <c r="M375" s="4"/>
      <c r="N375" s="4"/>
      <c r="O375" s="4">
        <v>0</v>
      </c>
      <c r="P375" s="4"/>
      <c r="Q375" s="4"/>
      <c r="R375" s="7">
        <v>0</v>
      </c>
      <c r="S375" s="7">
        <v>0</v>
      </c>
      <c r="T375" s="7">
        <f>R375-S375</f>
        <v>0</v>
      </c>
      <c r="U375" s="7">
        <f>T375*O375</f>
        <v>0</v>
      </c>
    </row>
    <row r="376" spans="1:21">
      <c r="A376" s="4" t="s">
        <v>570</v>
      </c>
      <c r="B376" s="4" t="s">
        <v>39</v>
      </c>
      <c r="C376" s="5">
        <v>45916.68540509259</v>
      </c>
      <c r="D376" s="5">
        <v>45916</v>
      </c>
      <c r="E376" s="6">
        <f>IF(AND(C376&lt;&gt;"",D376&lt;&gt;""),D376-C376,"")</f>
        <v>0</v>
      </c>
      <c r="F376" s="4" t="s">
        <v>162</v>
      </c>
      <c r="G376" s="4" t="s">
        <v>163</v>
      </c>
      <c r="H376" s="4" t="s">
        <v>32</v>
      </c>
      <c r="I376" s="4" t="s">
        <v>33</v>
      </c>
      <c r="J376" s="4">
        <v>0</v>
      </c>
      <c r="K376" s="4">
        <v>1</v>
      </c>
      <c r="L376" s="4">
        <f>J376+K376</f>
        <v>0</v>
      </c>
      <c r="M376" s="4" t="s">
        <v>81</v>
      </c>
      <c r="N376" s="4"/>
      <c r="O376" s="4">
        <v>1</v>
      </c>
      <c r="P376" s="4" t="s">
        <v>135</v>
      </c>
      <c r="Q376" s="4" t="s">
        <v>44</v>
      </c>
      <c r="R376" s="7">
        <v>495000</v>
      </c>
      <c r="S376" s="7">
        <v>99000</v>
      </c>
      <c r="T376" s="7">
        <f>R376-S376</f>
        <v>0</v>
      </c>
      <c r="U376" s="7">
        <f>T376*O376</f>
        <v>0</v>
      </c>
    </row>
    <row r="377" spans="1:21">
      <c r="A377" s="4" t="s">
        <v>570</v>
      </c>
      <c r="B377" s="4" t="s">
        <v>39</v>
      </c>
      <c r="C377" s="5">
        <v>45916.68540509259</v>
      </c>
      <c r="D377" s="5">
        <v>45916</v>
      </c>
      <c r="E377" s="6">
        <f>IF(AND(C377&lt;&gt;"",D377&lt;&gt;""),D377-C377,"")</f>
        <v>0</v>
      </c>
      <c r="F377" s="4" t="s">
        <v>162</v>
      </c>
      <c r="G377" s="4" t="s">
        <v>163</v>
      </c>
      <c r="H377" s="4" t="s">
        <v>32</v>
      </c>
      <c r="I377" s="4" t="s">
        <v>33</v>
      </c>
      <c r="J377" s="4">
        <v>1</v>
      </c>
      <c r="K377" s="4">
        <v>0</v>
      </c>
      <c r="L377" s="4">
        <f>J377+K377</f>
        <v>0</v>
      </c>
      <c r="M377" s="4" t="s">
        <v>42</v>
      </c>
      <c r="N377" s="4"/>
      <c r="O377" s="4">
        <v>1</v>
      </c>
      <c r="P377" s="4" t="s">
        <v>135</v>
      </c>
      <c r="Q377" s="4" t="s">
        <v>44</v>
      </c>
      <c r="R377" s="7">
        <v>370000</v>
      </c>
      <c r="S377" s="7">
        <v>0</v>
      </c>
      <c r="T377" s="7">
        <f>R377-S377</f>
        <v>0</v>
      </c>
      <c r="U377" s="7">
        <f>T377*O377</f>
        <v>0</v>
      </c>
    </row>
    <row r="378" spans="1:21">
      <c r="A378" s="4" t="s">
        <v>571</v>
      </c>
      <c r="B378" s="4" t="s">
        <v>48</v>
      </c>
      <c r="C378" s="5">
        <v>45916.68880787037</v>
      </c>
      <c r="D378" s="5">
        <v>45961</v>
      </c>
      <c r="E378" s="6">
        <f>IF(AND(C378&lt;&gt;"",D378&lt;&gt;""),D378-C378,"")</f>
        <v>0</v>
      </c>
      <c r="F378" s="4" t="s">
        <v>64</v>
      </c>
      <c r="G378" s="4" t="s">
        <v>572</v>
      </c>
      <c r="H378" s="4" t="s">
        <v>32</v>
      </c>
      <c r="I378" s="4" t="s">
        <v>33</v>
      </c>
      <c r="J378" s="4">
        <v>5</v>
      </c>
      <c r="K378" s="4">
        <v>0</v>
      </c>
      <c r="L378" s="4">
        <f>J378+K378</f>
        <v>0</v>
      </c>
      <c r="M378" s="4"/>
      <c r="N378" s="4"/>
      <c r="O378" s="4">
        <v>0</v>
      </c>
      <c r="P378" s="4"/>
      <c r="Q378" s="4"/>
      <c r="R378" s="7">
        <v>0</v>
      </c>
      <c r="S378" s="7">
        <v>0</v>
      </c>
      <c r="T378" s="7">
        <f>R378-S378</f>
        <v>0</v>
      </c>
      <c r="U378" s="7">
        <f>T378*O378</f>
        <v>0</v>
      </c>
    </row>
    <row r="379" spans="1:21">
      <c r="A379" s="4" t="s">
        <v>573</v>
      </c>
      <c r="B379" s="4" t="s">
        <v>48</v>
      </c>
      <c r="C379" s="5">
        <v>45916.70039351852</v>
      </c>
      <c r="D379" s="5">
        <v>45961</v>
      </c>
      <c r="E379" s="6">
        <f>IF(AND(C379&lt;&gt;"",D379&lt;&gt;""),D379-C379,"")</f>
        <v>0</v>
      </c>
      <c r="F379" s="4" t="s">
        <v>574</v>
      </c>
      <c r="G379" s="4" t="s">
        <v>575</v>
      </c>
      <c r="H379" s="4" t="s">
        <v>32</v>
      </c>
      <c r="I379" s="4" t="s">
        <v>33</v>
      </c>
      <c r="J379" s="4">
        <v>2</v>
      </c>
      <c r="K379" s="4">
        <v>2</v>
      </c>
      <c r="L379" s="4">
        <f>J379+K379</f>
        <v>0</v>
      </c>
      <c r="M379" s="4"/>
      <c r="N379" s="4"/>
      <c r="O379" s="4">
        <v>0</v>
      </c>
      <c r="P379" s="4"/>
      <c r="Q379" s="4"/>
      <c r="R379" s="7">
        <v>0</v>
      </c>
      <c r="S379" s="7">
        <v>0</v>
      </c>
      <c r="T379" s="7">
        <f>R379-S379</f>
        <v>0</v>
      </c>
      <c r="U379" s="7">
        <f>T379*O379</f>
        <v>0</v>
      </c>
    </row>
    <row r="380" spans="1:21">
      <c r="A380" s="4" t="s">
        <v>576</v>
      </c>
      <c r="B380" s="4" t="s">
        <v>48</v>
      </c>
      <c r="C380" s="5">
        <v>45916.84306712963</v>
      </c>
      <c r="D380" s="5">
        <v>45961</v>
      </c>
      <c r="E380" s="6">
        <f>IF(AND(C380&lt;&gt;"",D380&lt;&gt;""),D380-C380,"")</f>
        <v>0</v>
      </c>
      <c r="F380" s="4" t="s">
        <v>577</v>
      </c>
      <c r="G380" s="4" t="s">
        <v>578</v>
      </c>
      <c r="H380" s="4" t="s">
        <v>32</v>
      </c>
      <c r="I380" s="4" t="s">
        <v>33</v>
      </c>
      <c r="J380" s="4">
        <v>1</v>
      </c>
      <c r="K380" s="4">
        <v>1</v>
      </c>
      <c r="L380" s="4">
        <f>J380+K380</f>
        <v>0</v>
      </c>
      <c r="M380" s="4"/>
      <c r="N380" s="4"/>
      <c r="O380" s="4">
        <v>0</v>
      </c>
      <c r="P380" s="4"/>
      <c r="Q380" s="4"/>
      <c r="R380" s="7">
        <v>0</v>
      </c>
      <c r="S380" s="7">
        <v>0</v>
      </c>
      <c r="T380" s="7">
        <f>R380-S380</f>
        <v>0</v>
      </c>
      <c r="U380" s="7">
        <f>T380*O380</f>
        <v>0</v>
      </c>
    </row>
    <row r="381" spans="1:21">
      <c r="A381" s="4" t="s">
        <v>579</v>
      </c>
      <c r="B381" s="4" t="s">
        <v>48</v>
      </c>
      <c r="C381" s="5">
        <v>45916.85005787037</v>
      </c>
      <c r="D381" s="5">
        <v>45961</v>
      </c>
      <c r="E381" s="6">
        <f>IF(AND(C381&lt;&gt;"",D381&lt;&gt;""),D381-C381,"")</f>
        <v>0</v>
      </c>
      <c r="F381" s="4" t="s">
        <v>577</v>
      </c>
      <c r="G381" s="4" t="s">
        <v>578</v>
      </c>
      <c r="H381" s="4" t="s">
        <v>32</v>
      </c>
      <c r="I381" s="4" t="s">
        <v>33</v>
      </c>
      <c r="J381" s="4">
        <v>1</v>
      </c>
      <c r="K381" s="4">
        <v>1</v>
      </c>
      <c r="L381" s="4">
        <f>J381+K381</f>
        <v>0</v>
      </c>
      <c r="M381" s="4"/>
      <c r="N381" s="4"/>
      <c r="O381" s="4">
        <v>0</v>
      </c>
      <c r="P381" s="4"/>
      <c r="Q381" s="4"/>
      <c r="R381" s="7">
        <v>0</v>
      </c>
      <c r="S381" s="7">
        <v>0</v>
      </c>
      <c r="T381" s="7">
        <f>R381-S381</f>
        <v>0</v>
      </c>
      <c r="U381" s="7">
        <f>T381*O381</f>
        <v>0</v>
      </c>
    </row>
    <row r="382" spans="1:21">
      <c r="A382" s="4" t="s">
        <v>580</v>
      </c>
      <c r="B382" s="4" t="s">
        <v>122</v>
      </c>
      <c r="C382" s="5">
        <v>45916.91091435185</v>
      </c>
      <c r="D382" s="5">
        <v>45961</v>
      </c>
      <c r="E382" s="6">
        <f>IF(AND(C382&lt;&gt;"",D382&lt;&gt;""),D382-C382,"")</f>
        <v>0</v>
      </c>
      <c r="F382" s="4" t="s">
        <v>581</v>
      </c>
      <c r="G382" s="4" t="s">
        <v>154</v>
      </c>
      <c r="H382" s="4" t="s">
        <v>582</v>
      </c>
      <c r="I382" s="4" t="s">
        <v>56</v>
      </c>
      <c r="J382" s="4">
        <v>5</v>
      </c>
      <c r="K382" s="4">
        <v>0</v>
      </c>
      <c r="L382" s="4">
        <f>J382+K382</f>
        <v>0</v>
      </c>
      <c r="M382" s="4"/>
      <c r="N382" s="4"/>
      <c r="O382" s="4">
        <v>0</v>
      </c>
      <c r="P382" s="4"/>
      <c r="Q382" s="4"/>
      <c r="R382" s="7">
        <v>0</v>
      </c>
      <c r="S382" s="7">
        <v>0</v>
      </c>
      <c r="T382" s="7">
        <f>R382-S382</f>
        <v>0</v>
      </c>
      <c r="U382" s="7">
        <f>T382*O382</f>
        <v>0</v>
      </c>
    </row>
    <row r="383" spans="1:21">
      <c r="A383" s="4" t="s">
        <v>583</v>
      </c>
      <c r="B383" s="4"/>
      <c r="C383" s="5">
        <v>45917.00185185186</v>
      </c>
      <c r="D383" s="5">
        <v>45961</v>
      </c>
      <c r="E383" s="6">
        <f>IF(AND(C383&lt;&gt;"",D383&lt;&gt;""),D383-C383,"")</f>
        <v>0</v>
      </c>
      <c r="F383" s="4" t="s">
        <v>292</v>
      </c>
      <c r="G383" s="4" t="s">
        <v>293</v>
      </c>
      <c r="H383" s="4" t="s">
        <v>32</v>
      </c>
      <c r="I383" s="4" t="s">
        <v>33</v>
      </c>
      <c r="J383" s="4">
        <v>2</v>
      </c>
      <c r="K383" s="4">
        <v>0</v>
      </c>
      <c r="L383" s="4">
        <f>J383+K383</f>
        <v>0</v>
      </c>
      <c r="M383" s="4"/>
      <c r="N383" s="4"/>
      <c r="O383" s="4">
        <v>0</v>
      </c>
      <c r="P383" s="4"/>
      <c r="Q383" s="4"/>
      <c r="R383" s="7">
        <v>0</v>
      </c>
      <c r="S383" s="7">
        <v>0</v>
      </c>
      <c r="T383" s="7">
        <f>R383-S383</f>
        <v>0</v>
      </c>
      <c r="U383" s="7">
        <f>T383*O383</f>
        <v>0</v>
      </c>
    </row>
    <row r="384" spans="1:21">
      <c r="A384" s="4" t="s">
        <v>584</v>
      </c>
      <c r="B384" s="4"/>
      <c r="C384" s="5">
        <v>45917.04612268518</v>
      </c>
      <c r="D384" s="5">
        <v>45961</v>
      </c>
      <c r="E384" s="6">
        <f>IF(AND(C384&lt;&gt;"",D384&lt;&gt;""),D384-C384,"")</f>
        <v>0</v>
      </c>
      <c r="F384" s="4" t="s">
        <v>244</v>
      </c>
      <c r="G384" s="4" t="s">
        <v>245</v>
      </c>
      <c r="H384" s="4" t="s">
        <v>32</v>
      </c>
      <c r="I384" s="4" t="s">
        <v>33</v>
      </c>
      <c r="J384" s="4">
        <v>2</v>
      </c>
      <c r="K384" s="4">
        <v>0</v>
      </c>
      <c r="L384" s="4">
        <f>J384+K384</f>
        <v>0</v>
      </c>
      <c r="M384" s="4"/>
      <c r="N384" s="4"/>
      <c r="O384" s="4">
        <v>0</v>
      </c>
      <c r="P384" s="4"/>
      <c r="Q384" s="4"/>
      <c r="R384" s="7">
        <v>0</v>
      </c>
      <c r="S384" s="7">
        <v>0</v>
      </c>
      <c r="T384" s="7">
        <f>R384-S384</f>
        <v>0</v>
      </c>
      <c r="U384" s="7">
        <f>T384*O384</f>
        <v>0</v>
      </c>
    </row>
    <row r="385" spans="1:21">
      <c r="A385" s="4" t="s">
        <v>585</v>
      </c>
      <c r="B385" s="4"/>
      <c r="C385" s="5">
        <v>45917.04702546296</v>
      </c>
      <c r="D385" s="5">
        <v>45961</v>
      </c>
      <c r="E385" s="6">
        <f>IF(AND(C385&lt;&gt;"",D385&lt;&gt;""),D385-C385,"")</f>
        <v>0</v>
      </c>
      <c r="F385" s="4" t="s">
        <v>244</v>
      </c>
      <c r="G385" s="4" t="s">
        <v>245</v>
      </c>
      <c r="H385" s="4" t="s">
        <v>32</v>
      </c>
      <c r="I385" s="4" t="s">
        <v>33</v>
      </c>
      <c r="J385" s="4">
        <v>2</v>
      </c>
      <c r="K385" s="4">
        <v>0</v>
      </c>
      <c r="L385" s="4">
        <f>J385+K385</f>
        <v>0</v>
      </c>
      <c r="M385" s="4"/>
      <c r="N385" s="4"/>
      <c r="O385" s="4">
        <v>0</v>
      </c>
      <c r="P385" s="4"/>
      <c r="Q385" s="4"/>
      <c r="R385" s="7">
        <v>0</v>
      </c>
      <c r="S385" s="7">
        <v>0</v>
      </c>
      <c r="T385" s="7">
        <f>R385-S385</f>
        <v>0</v>
      </c>
      <c r="U385" s="7">
        <f>T385*O385</f>
        <v>0</v>
      </c>
    </row>
    <row r="386" spans="1:21">
      <c r="A386" s="4" t="s">
        <v>586</v>
      </c>
      <c r="B386" s="4" t="s">
        <v>39</v>
      </c>
      <c r="C386" s="5">
        <v>45917.05510416667</v>
      </c>
      <c r="D386" s="5">
        <v>45917</v>
      </c>
      <c r="E386" s="6">
        <f>IF(AND(C386&lt;&gt;"",D386&lt;&gt;""),D386-C386,"")</f>
        <v>0</v>
      </c>
      <c r="F386" s="4" t="s">
        <v>64</v>
      </c>
      <c r="G386" s="4" t="s">
        <v>587</v>
      </c>
      <c r="H386" s="4" t="s">
        <v>32</v>
      </c>
      <c r="I386" s="4" t="s">
        <v>33</v>
      </c>
      <c r="J386" s="4">
        <v>0</v>
      </c>
      <c r="K386" s="4">
        <v>1</v>
      </c>
      <c r="L386" s="4">
        <f>J386+K386</f>
        <v>0</v>
      </c>
      <c r="M386" s="4" t="s">
        <v>46</v>
      </c>
      <c r="N386" s="4"/>
      <c r="O386" s="4">
        <v>1</v>
      </c>
      <c r="P386" s="4" t="s">
        <v>135</v>
      </c>
      <c r="Q386" s="4"/>
      <c r="R386" s="7">
        <v>-225000</v>
      </c>
      <c r="S386" s="7">
        <v>0</v>
      </c>
      <c r="T386" s="7">
        <f>R386-S386</f>
        <v>0</v>
      </c>
      <c r="U386" s="7">
        <f>T386*O386</f>
        <v>0</v>
      </c>
    </row>
    <row r="387" spans="1:21">
      <c r="A387" s="4" t="s">
        <v>586</v>
      </c>
      <c r="B387" s="4" t="s">
        <v>39</v>
      </c>
      <c r="C387" s="5">
        <v>45917.05510416667</v>
      </c>
      <c r="D387" s="5">
        <v>45917</v>
      </c>
      <c r="E387" s="6">
        <f>IF(AND(C387&lt;&gt;"",D387&lt;&gt;""),D387-C387,"")</f>
        <v>0</v>
      </c>
      <c r="F387" s="4" t="s">
        <v>64</v>
      </c>
      <c r="G387" s="4" t="s">
        <v>587</v>
      </c>
      <c r="H387" s="4" t="s">
        <v>32</v>
      </c>
      <c r="I387" s="4" t="s">
        <v>33</v>
      </c>
      <c r="J387" s="4">
        <v>1</v>
      </c>
      <c r="K387" s="4">
        <v>0</v>
      </c>
      <c r="L387" s="4">
        <f>J387+K387</f>
        <v>0</v>
      </c>
      <c r="M387" s="4" t="s">
        <v>42</v>
      </c>
      <c r="N387" s="4"/>
      <c r="O387" s="4">
        <v>1</v>
      </c>
      <c r="P387" s="4" t="s">
        <v>135</v>
      </c>
      <c r="Q387" s="4"/>
      <c r="R387" s="7">
        <v>370000</v>
      </c>
      <c r="S387" s="7">
        <v>0</v>
      </c>
      <c r="T387" s="7">
        <f>R387-S387</f>
        <v>0</v>
      </c>
      <c r="U387" s="7">
        <f>T387*O387</f>
        <v>0</v>
      </c>
    </row>
    <row r="388" spans="1:21">
      <c r="A388" s="4" t="s">
        <v>588</v>
      </c>
      <c r="B388" s="4" t="s">
        <v>39</v>
      </c>
      <c r="C388" s="5">
        <v>45917.08013888889</v>
      </c>
      <c r="D388" s="5">
        <v>45917</v>
      </c>
      <c r="E388" s="6">
        <f>IF(AND(C388&lt;&gt;"",D388&lt;&gt;""),D388-C388,"")</f>
        <v>0</v>
      </c>
      <c r="F388" s="4" t="s">
        <v>589</v>
      </c>
      <c r="G388" s="4" t="s">
        <v>590</v>
      </c>
      <c r="H388" s="4" t="s">
        <v>32</v>
      </c>
      <c r="I388" s="4" t="s">
        <v>33</v>
      </c>
      <c r="J388" s="4">
        <v>0</v>
      </c>
      <c r="K388" s="4">
        <v>0</v>
      </c>
      <c r="L388" s="4">
        <f>J388+K388</f>
        <v>0</v>
      </c>
      <c r="M388" s="4" t="s">
        <v>370</v>
      </c>
      <c r="N388" s="4"/>
      <c r="O388" s="4">
        <v>1</v>
      </c>
      <c r="P388" s="4" t="s">
        <v>43</v>
      </c>
      <c r="Q388" s="4" t="s">
        <v>44</v>
      </c>
      <c r="R388" s="7">
        <v>-500000</v>
      </c>
      <c r="S388" s="7">
        <v>0</v>
      </c>
      <c r="T388" s="7">
        <f>R388-S388</f>
        <v>0</v>
      </c>
      <c r="U388" s="7">
        <f>T388*O388</f>
        <v>0</v>
      </c>
    </row>
    <row r="389" spans="1:21">
      <c r="A389" s="4" t="s">
        <v>588</v>
      </c>
      <c r="B389" s="4" t="s">
        <v>39</v>
      </c>
      <c r="C389" s="5">
        <v>45917.08013888889</v>
      </c>
      <c r="D389" s="5">
        <v>45917</v>
      </c>
      <c r="E389" s="6">
        <f>IF(AND(C389&lt;&gt;"",D389&lt;&gt;""),D389-C389,"")</f>
        <v>0</v>
      </c>
      <c r="F389" s="4" t="s">
        <v>589</v>
      </c>
      <c r="G389" s="4" t="s">
        <v>590</v>
      </c>
      <c r="H389" s="4" t="s">
        <v>32</v>
      </c>
      <c r="I389" s="4" t="s">
        <v>33</v>
      </c>
      <c r="J389" s="4">
        <v>1</v>
      </c>
      <c r="K389" s="4">
        <v>0</v>
      </c>
      <c r="L389" s="4">
        <f>J389+K389</f>
        <v>0</v>
      </c>
      <c r="M389" s="4" t="s">
        <v>80</v>
      </c>
      <c r="N389" s="4"/>
      <c r="O389" s="4">
        <v>1</v>
      </c>
      <c r="P389" s="4" t="s">
        <v>43</v>
      </c>
      <c r="Q389" s="4" t="s">
        <v>44</v>
      </c>
      <c r="R389" s="7">
        <v>610000</v>
      </c>
      <c r="S389" s="7">
        <v>0</v>
      </c>
      <c r="T389" s="7">
        <f>R389-S389</f>
        <v>0</v>
      </c>
      <c r="U389" s="7">
        <f>T389*O389</f>
        <v>0</v>
      </c>
    </row>
    <row r="390" spans="1:21">
      <c r="A390" s="4" t="s">
        <v>591</v>
      </c>
      <c r="B390" s="4" t="s">
        <v>39</v>
      </c>
      <c r="C390" s="5">
        <v>45917.08578703704</v>
      </c>
      <c r="D390" s="5">
        <v>45917</v>
      </c>
      <c r="E390" s="6">
        <f>IF(AND(C390&lt;&gt;"",D390&lt;&gt;""),D390-C390,"")</f>
        <v>0</v>
      </c>
      <c r="F390" s="4" t="s">
        <v>87</v>
      </c>
      <c r="G390" s="4"/>
      <c r="H390" s="4" t="s">
        <v>32</v>
      </c>
      <c r="I390" s="4" t="s">
        <v>33</v>
      </c>
      <c r="J390" s="4">
        <v>0</v>
      </c>
      <c r="K390" s="4">
        <v>0</v>
      </c>
      <c r="L390" s="4">
        <f>J390+K390</f>
        <v>0</v>
      </c>
      <c r="M390" s="4" t="s">
        <v>370</v>
      </c>
      <c r="N390" s="4"/>
      <c r="O390" s="4">
        <v>1</v>
      </c>
      <c r="P390" s="4" t="s">
        <v>135</v>
      </c>
      <c r="Q390" s="4" t="s">
        <v>44</v>
      </c>
      <c r="R390" s="7">
        <v>500000</v>
      </c>
      <c r="S390" s="7">
        <v>0</v>
      </c>
      <c r="T390" s="7">
        <f>R390-S390</f>
        <v>0</v>
      </c>
      <c r="U390" s="7">
        <f>T390*O390</f>
        <v>0</v>
      </c>
    </row>
    <row r="391" spans="1:21">
      <c r="A391" s="4" t="s">
        <v>591</v>
      </c>
      <c r="B391" s="4" t="s">
        <v>39</v>
      </c>
      <c r="C391" s="5">
        <v>45917.08578703704</v>
      </c>
      <c r="D391" s="5">
        <v>45917</v>
      </c>
      <c r="E391" s="6">
        <f>IF(AND(C391&lt;&gt;"",D391&lt;&gt;""),D391-C391,"")</f>
        <v>0</v>
      </c>
      <c r="F391" s="4" t="s">
        <v>87</v>
      </c>
      <c r="G391" s="4"/>
      <c r="H391" s="4" t="s">
        <v>32</v>
      </c>
      <c r="I391" s="4" t="s">
        <v>33</v>
      </c>
      <c r="J391" s="4">
        <v>1</v>
      </c>
      <c r="K391" s="4">
        <v>0</v>
      </c>
      <c r="L391" s="4">
        <f>J391+K391</f>
        <v>0</v>
      </c>
      <c r="M391" s="4" t="s">
        <v>42</v>
      </c>
      <c r="N391" s="4"/>
      <c r="O391" s="4">
        <v>1</v>
      </c>
      <c r="P391" s="4" t="s">
        <v>135</v>
      </c>
      <c r="Q391" s="4" t="s">
        <v>44</v>
      </c>
      <c r="R391" s="7">
        <v>370000</v>
      </c>
      <c r="S391" s="7">
        <v>0</v>
      </c>
      <c r="T391" s="7">
        <f>R391-S391</f>
        <v>0</v>
      </c>
      <c r="U391" s="7">
        <f>T391*O391</f>
        <v>0</v>
      </c>
    </row>
    <row r="392" spans="1:21">
      <c r="A392" s="4" t="s">
        <v>592</v>
      </c>
      <c r="B392" s="4" t="s">
        <v>103</v>
      </c>
      <c r="C392" s="5">
        <v>45917.11131944445</v>
      </c>
      <c r="D392" s="5">
        <v>45961</v>
      </c>
      <c r="E392" s="6">
        <f>IF(AND(C392&lt;&gt;"",D392&lt;&gt;""),D392-C392,"")</f>
        <v>0</v>
      </c>
      <c r="F392" s="4" t="s">
        <v>104</v>
      </c>
      <c r="G392" s="4" t="s">
        <v>105</v>
      </c>
      <c r="H392" s="4"/>
      <c r="I392" s="4" t="s">
        <v>56</v>
      </c>
      <c r="J392" s="4">
        <v>5</v>
      </c>
      <c r="K392" s="4">
        <v>0</v>
      </c>
      <c r="L392" s="4">
        <f>J392+K392</f>
        <v>0</v>
      </c>
      <c r="M392" s="4"/>
      <c r="N392" s="4"/>
      <c r="O392" s="4">
        <v>0</v>
      </c>
      <c r="P392" s="4"/>
      <c r="Q392" s="4"/>
      <c r="R392" s="7">
        <v>0</v>
      </c>
      <c r="S392" s="7">
        <v>0</v>
      </c>
      <c r="T392" s="7">
        <f>R392-S392</f>
        <v>0</v>
      </c>
      <c r="U392" s="7">
        <f>T392*O392</f>
        <v>0</v>
      </c>
    </row>
    <row r="393" spans="1:21">
      <c r="A393" s="4" t="s">
        <v>593</v>
      </c>
      <c r="B393" s="4" t="s">
        <v>103</v>
      </c>
      <c r="C393" s="5">
        <v>45917.13621527778</v>
      </c>
      <c r="D393" s="5">
        <v>45961</v>
      </c>
      <c r="E393" s="6">
        <f>IF(AND(C393&lt;&gt;"",D393&lt;&gt;""),D393-C393,"")</f>
        <v>0</v>
      </c>
      <c r="F393" s="4" t="s">
        <v>104</v>
      </c>
      <c r="G393" s="4" t="s">
        <v>105</v>
      </c>
      <c r="H393" s="4"/>
      <c r="I393" s="4" t="s">
        <v>56</v>
      </c>
      <c r="J393" s="4">
        <v>2</v>
      </c>
      <c r="K393" s="4">
        <v>2</v>
      </c>
      <c r="L393" s="4">
        <f>J393+K393</f>
        <v>0</v>
      </c>
      <c r="M393" s="4"/>
      <c r="N393" s="4"/>
      <c r="O393" s="4">
        <v>0</v>
      </c>
      <c r="P393" s="4"/>
      <c r="Q393" s="4"/>
      <c r="R393" s="7">
        <v>0</v>
      </c>
      <c r="S393" s="7">
        <v>0</v>
      </c>
      <c r="T393" s="7">
        <f>R393-S393</f>
        <v>0</v>
      </c>
      <c r="U393" s="7">
        <f>T393*O393</f>
        <v>0</v>
      </c>
    </row>
    <row r="394" spans="1:21">
      <c r="A394" s="4" t="s">
        <v>594</v>
      </c>
      <c r="B394" s="4" t="s">
        <v>103</v>
      </c>
      <c r="C394" s="5">
        <v>45917.1365162037</v>
      </c>
      <c r="D394" s="5">
        <v>45961</v>
      </c>
      <c r="E394" s="6">
        <f>IF(AND(C394&lt;&gt;"",D394&lt;&gt;""),D394-C394,"")</f>
        <v>0</v>
      </c>
      <c r="F394" s="4" t="s">
        <v>153</v>
      </c>
      <c r="G394" s="4" t="s">
        <v>154</v>
      </c>
      <c r="H394" s="4"/>
      <c r="I394" s="4" t="s">
        <v>56</v>
      </c>
      <c r="J394" s="4">
        <v>4</v>
      </c>
      <c r="K394" s="4">
        <v>0</v>
      </c>
      <c r="L394" s="4">
        <f>J394+K394</f>
        <v>0</v>
      </c>
      <c r="M394" s="4"/>
      <c r="N394" s="4"/>
      <c r="O394" s="4">
        <v>0</v>
      </c>
      <c r="P394" s="4"/>
      <c r="Q394" s="4"/>
      <c r="R394" s="7">
        <v>0</v>
      </c>
      <c r="S394" s="7">
        <v>0</v>
      </c>
      <c r="T394" s="7">
        <f>R394-S394</f>
        <v>0</v>
      </c>
      <c r="U394" s="7">
        <f>T394*O394</f>
        <v>0</v>
      </c>
    </row>
    <row r="395" spans="1:21">
      <c r="A395" s="4" t="s">
        <v>595</v>
      </c>
      <c r="B395" s="4" t="s">
        <v>48</v>
      </c>
      <c r="C395" s="5">
        <v>45917.15333333334</v>
      </c>
      <c r="D395" s="5">
        <v>45961</v>
      </c>
      <c r="E395" s="6">
        <f>IF(AND(C395&lt;&gt;"",D395&lt;&gt;""),D395-C395,"")</f>
        <v>0</v>
      </c>
      <c r="F395" s="4" t="s">
        <v>64</v>
      </c>
      <c r="G395" s="4" t="s">
        <v>596</v>
      </c>
      <c r="H395" s="4" t="s">
        <v>32</v>
      </c>
      <c r="I395" s="4" t="s">
        <v>33</v>
      </c>
      <c r="J395" s="4">
        <v>2</v>
      </c>
      <c r="K395" s="4">
        <v>2</v>
      </c>
      <c r="L395" s="4">
        <f>J395+K395</f>
        <v>0</v>
      </c>
      <c r="M395" s="4"/>
      <c r="N395" s="4"/>
      <c r="O395" s="4">
        <v>0</v>
      </c>
      <c r="P395" s="4"/>
      <c r="Q395" s="4"/>
      <c r="R395" s="7">
        <v>0</v>
      </c>
      <c r="S395" s="7">
        <v>0</v>
      </c>
      <c r="T395" s="7">
        <f>R395-S395</f>
        <v>0</v>
      </c>
      <c r="U395" s="7">
        <f>T395*O395</f>
        <v>0</v>
      </c>
    </row>
    <row r="396" spans="1:21">
      <c r="A396" s="4" t="s">
        <v>597</v>
      </c>
      <c r="B396" s="4" t="s">
        <v>39</v>
      </c>
      <c r="C396" s="5">
        <v>45917.15409722222</v>
      </c>
      <c r="D396" s="5">
        <v>45917</v>
      </c>
      <c r="E396" s="6">
        <f>IF(AND(C396&lt;&gt;"",D396&lt;&gt;""),D396-C396,"")</f>
        <v>0</v>
      </c>
      <c r="F396" s="4" t="s">
        <v>64</v>
      </c>
      <c r="G396" s="4" t="s">
        <v>596</v>
      </c>
      <c r="H396" s="4" t="s">
        <v>32</v>
      </c>
      <c r="I396" s="4" t="s">
        <v>33</v>
      </c>
      <c r="J396" s="4">
        <v>0</v>
      </c>
      <c r="K396" s="4">
        <v>1</v>
      </c>
      <c r="L396" s="4">
        <f>J396+K396</f>
        <v>0</v>
      </c>
      <c r="M396" s="4" t="s">
        <v>46</v>
      </c>
      <c r="N396" s="4"/>
      <c r="O396" s="4">
        <v>1</v>
      </c>
      <c r="P396" s="4" t="s">
        <v>135</v>
      </c>
      <c r="Q396" s="4"/>
      <c r="R396" s="7">
        <v>-292500</v>
      </c>
      <c r="S396" s="7">
        <v>0</v>
      </c>
      <c r="T396" s="7">
        <f>R396-S396</f>
        <v>0</v>
      </c>
      <c r="U396" s="7">
        <f>T396*O396</f>
        <v>0</v>
      </c>
    </row>
    <row r="397" spans="1:21">
      <c r="A397" s="4" t="s">
        <v>597</v>
      </c>
      <c r="B397" s="4" t="s">
        <v>39</v>
      </c>
      <c r="C397" s="5">
        <v>45917.15409722222</v>
      </c>
      <c r="D397" s="5">
        <v>45917</v>
      </c>
      <c r="E397" s="6">
        <f>IF(AND(C397&lt;&gt;"",D397&lt;&gt;""),D397-C397,"")</f>
        <v>0</v>
      </c>
      <c r="F397" s="4" t="s">
        <v>64</v>
      </c>
      <c r="G397" s="4" t="s">
        <v>596</v>
      </c>
      <c r="H397" s="4" t="s">
        <v>32</v>
      </c>
      <c r="I397" s="4" t="s">
        <v>33</v>
      </c>
      <c r="J397" s="4">
        <v>1</v>
      </c>
      <c r="K397" s="4">
        <v>0</v>
      </c>
      <c r="L397" s="4">
        <f>J397+K397</f>
        <v>0</v>
      </c>
      <c r="M397" s="4" t="s">
        <v>80</v>
      </c>
      <c r="N397" s="4"/>
      <c r="O397" s="4">
        <v>1</v>
      </c>
      <c r="P397" s="4" t="s">
        <v>135</v>
      </c>
      <c r="Q397" s="4"/>
      <c r="R397" s="7">
        <v>610000</v>
      </c>
      <c r="S397" s="7">
        <v>0</v>
      </c>
      <c r="T397" s="7">
        <f>R397-S397</f>
        <v>0</v>
      </c>
      <c r="U397" s="7">
        <f>T397*O397</f>
        <v>0</v>
      </c>
    </row>
    <row r="398" spans="1:21">
      <c r="A398" s="4" t="s">
        <v>598</v>
      </c>
      <c r="B398" s="4" t="s">
        <v>48</v>
      </c>
      <c r="C398" s="5">
        <v>45917.16133101852</v>
      </c>
      <c r="D398" s="5">
        <v>45961</v>
      </c>
      <c r="E398" s="6">
        <f>IF(AND(C398&lt;&gt;"",D398&lt;&gt;""),D398-C398,"")</f>
        <v>0</v>
      </c>
      <c r="F398" s="4" t="s">
        <v>599</v>
      </c>
      <c r="G398" s="4" t="s">
        <v>600</v>
      </c>
      <c r="H398" s="4" t="s">
        <v>32</v>
      </c>
      <c r="I398" s="4" t="s">
        <v>33</v>
      </c>
      <c r="J398" s="4">
        <v>2</v>
      </c>
      <c r="K398" s="4">
        <v>2</v>
      </c>
      <c r="L398" s="4">
        <f>J398+K398</f>
        <v>0</v>
      </c>
      <c r="M398" s="4"/>
      <c r="N398" s="4"/>
      <c r="O398" s="4">
        <v>0</v>
      </c>
      <c r="P398" s="4"/>
      <c r="Q398" s="4"/>
      <c r="R398" s="7">
        <v>0</v>
      </c>
      <c r="S398" s="7">
        <v>0</v>
      </c>
      <c r="T398" s="7">
        <f>R398-S398</f>
        <v>0</v>
      </c>
      <c r="U398" s="7">
        <f>T398*O398</f>
        <v>0</v>
      </c>
    </row>
    <row r="399" spans="1:21">
      <c r="A399" s="4" t="s">
        <v>601</v>
      </c>
      <c r="B399" s="4" t="s">
        <v>39</v>
      </c>
      <c r="C399" s="5">
        <v>45917.1625462963</v>
      </c>
      <c r="D399" s="5">
        <v>45917</v>
      </c>
      <c r="E399" s="6">
        <f>IF(AND(C399&lt;&gt;"",D399&lt;&gt;""),D399-C399,"")</f>
        <v>0</v>
      </c>
      <c r="F399" s="4" t="s">
        <v>599</v>
      </c>
      <c r="G399" s="4" t="s">
        <v>600</v>
      </c>
      <c r="H399" s="4" t="s">
        <v>32</v>
      </c>
      <c r="I399" s="4" t="s">
        <v>33</v>
      </c>
      <c r="J399" s="4">
        <v>1</v>
      </c>
      <c r="K399" s="4">
        <v>0</v>
      </c>
      <c r="L399" s="4">
        <f>J399+K399</f>
        <v>0</v>
      </c>
      <c r="M399" s="4" t="s">
        <v>42</v>
      </c>
      <c r="N399" s="4"/>
      <c r="O399" s="4">
        <v>1</v>
      </c>
      <c r="P399" s="4" t="s">
        <v>135</v>
      </c>
      <c r="Q399" s="4"/>
      <c r="R399" s="7">
        <v>-333000</v>
      </c>
      <c r="S399" s="7">
        <v>0</v>
      </c>
      <c r="T399" s="7">
        <f>R399-S399</f>
        <v>0</v>
      </c>
      <c r="U399" s="7">
        <f>T399*O399</f>
        <v>0</v>
      </c>
    </row>
    <row r="400" spans="1:21">
      <c r="A400" s="4" t="s">
        <v>601</v>
      </c>
      <c r="B400" s="4" t="s">
        <v>39</v>
      </c>
      <c r="C400" s="5">
        <v>45917.1625462963</v>
      </c>
      <c r="D400" s="5">
        <v>45917</v>
      </c>
      <c r="E400" s="6">
        <f>IF(AND(C400&lt;&gt;"",D400&lt;&gt;""),D400-C400,"")</f>
        <v>0</v>
      </c>
      <c r="F400" s="4" t="s">
        <v>599</v>
      </c>
      <c r="G400" s="4" t="s">
        <v>600</v>
      </c>
      <c r="H400" s="4" t="s">
        <v>32</v>
      </c>
      <c r="I400" s="4" t="s">
        <v>33</v>
      </c>
      <c r="J400" s="4">
        <v>0</v>
      </c>
      <c r="K400" s="4">
        <v>1</v>
      </c>
      <c r="L400" s="4">
        <f>J400+K400</f>
        <v>0</v>
      </c>
      <c r="M400" s="4" t="s">
        <v>46</v>
      </c>
      <c r="N400" s="4"/>
      <c r="O400" s="4">
        <v>1</v>
      </c>
      <c r="P400" s="4" t="s">
        <v>135</v>
      </c>
      <c r="Q400" s="4"/>
      <c r="R400" s="7">
        <v>325000</v>
      </c>
      <c r="S400" s="7">
        <v>0</v>
      </c>
      <c r="T400" s="7">
        <f>R400-S400</f>
        <v>0</v>
      </c>
      <c r="U400" s="7">
        <f>T400*O400</f>
        <v>0</v>
      </c>
    </row>
    <row r="401" spans="1:21">
      <c r="A401" s="4" t="s">
        <v>601</v>
      </c>
      <c r="B401" s="4" t="s">
        <v>39</v>
      </c>
      <c r="C401" s="5">
        <v>45917.1625462963</v>
      </c>
      <c r="D401" s="5">
        <v>45917</v>
      </c>
      <c r="E401" s="6">
        <f>IF(AND(C401&lt;&gt;"",D401&lt;&gt;""),D401-C401,"")</f>
        <v>0</v>
      </c>
      <c r="F401" s="4" t="s">
        <v>599</v>
      </c>
      <c r="G401" s="4" t="s">
        <v>600</v>
      </c>
      <c r="H401" s="4" t="s">
        <v>32</v>
      </c>
      <c r="I401" s="4" t="s">
        <v>33</v>
      </c>
      <c r="J401" s="4">
        <v>0</v>
      </c>
      <c r="K401" s="4">
        <v>0</v>
      </c>
      <c r="L401" s="4">
        <f>J401+K401</f>
        <v>0</v>
      </c>
      <c r="M401" s="4" t="s">
        <v>370</v>
      </c>
      <c r="N401" s="4"/>
      <c r="O401" s="4">
        <v>1</v>
      </c>
      <c r="P401" s="4" t="s">
        <v>135</v>
      </c>
      <c r="Q401" s="4"/>
      <c r="R401" s="7">
        <v>8000</v>
      </c>
      <c r="S401" s="7">
        <v>0</v>
      </c>
      <c r="T401" s="7">
        <f>R401-S401</f>
        <v>0</v>
      </c>
      <c r="U401" s="7">
        <f>T401*O401</f>
        <v>0</v>
      </c>
    </row>
    <row r="402" spans="1:21">
      <c r="A402" s="4" t="s">
        <v>602</v>
      </c>
      <c r="B402" s="4" t="s">
        <v>29</v>
      </c>
      <c r="C402" s="5">
        <v>45917.16710648148</v>
      </c>
      <c r="D402" s="5">
        <v>45961</v>
      </c>
      <c r="E402" s="6">
        <f>IF(AND(C402&lt;&gt;"",D402&lt;&gt;""),D402-C402,"")</f>
        <v>0</v>
      </c>
      <c r="F402" s="4" t="s">
        <v>307</v>
      </c>
      <c r="G402" s="4" t="s">
        <v>308</v>
      </c>
      <c r="H402" s="4" t="s">
        <v>190</v>
      </c>
      <c r="I402" s="4" t="s">
        <v>56</v>
      </c>
      <c r="J402" s="4">
        <v>1</v>
      </c>
      <c r="K402" s="4">
        <v>0</v>
      </c>
      <c r="L402" s="4">
        <f>J402+K402</f>
        <v>0</v>
      </c>
      <c r="M402" s="4"/>
      <c r="N402" s="4"/>
      <c r="O402" s="4">
        <v>0</v>
      </c>
      <c r="P402" s="4"/>
      <c r="Q402" s="4"/>
      <c r="R402" s="7">
        <v>0</v>
      </c>
      <c r="S402" s="7">
        <v>0</v>
      </c>
      <c r="T402" s="7">
        <f>R402-S402</f>
        <v>0</v>
      </c>
      <c r="U402" s="7">
        <f>T402*O402</f>
        <v>0</v>
      </c>
    </row>
    <row r="403" spans="1:21">
      <c r="A403" s="4" t="s">
        <v>603</v>
      </c>
      <c r="B403" s="4" t="s">
        <v>29</v>
      </c>
      <c r="C403" s="5">
        <v>45917.1671875</v>
      </c>
      <c r="D403" s="5">
        <v>45961</v>
      </c>
      <c r="E403" s="6">
        <f>IF(AND(C403&lt;&gt;"",D403&lt;&gt;""),D403-C403,"")</f>
        <v>0</v>
      </c>
      <c r="F403" s="4" t="s">
        <v>307</v>
      </c>
      <c r="G403" s="4" t="s">
        <v>308</v>
      </c>
      <c r="H403" s="4" t="s">
        <v>190</v>
      </c>
      <c r="I403" s="4" t="s">
        <v>56</v>
      </c>
      <c r="J403" s="4">
        <v>1</v>
      </c>
      <c r="K403" s="4">
        <v>0</v>
      </c>
      <c r="L403" s="4">
        <f>J403+K403</f>
        <v>0</v>
      </c>
      <c r="M403" s="4"/>
      <c r="N403" s="4"/>
      <c r="O403" s="4">
        <v>0</v>
      </c>
      <c r="P403" s="4"/>
      <c r="Q403" s="4"/>
      <c r="R403" s="7">
        <v>0</v>
      </c>
      <c r="S403" s="7">
        <v>0</v>
      </c>
      <c r="T403" s="7">
        <f>R403-S403</f>
        <v>0</v>
      </c>
      <c r="U403" s="7">
        <f>T403*O403</f>
        <v>0</v>
      </c>
    </row>
    <row r="404" spans="1:21">
      <c r="A404" s="4" t="s">
        <v>604</v>
      </c>
      <c r="B404" s="4" t="s">
        <v>48</v>
      </c>
      <c r="C404" s="5">
        <v>45917.18337962963</v>
      </c>
      <c r="D404" s="5">
        <v>45961</v>
      </c>
      <c r="E404" s="6">
        <f>IF(AND(C404&lt;&gt;"",D404&lt;&gt;""),D404-C404,"")</f>
        <v>0</v>
      </c>
      <c r="F404" s="4" t="s">
        <v>64</v>
      </c>
      <c r="G404" s="4" t="s">
        <v>605</v>
      </c>
      <c r="H404" s="4" t="s">
        <v>32</v>
      </c>
      <c r="I404" s="4" t="s">
        <v>33</v>
      </c>
      <c r="J404" s="4">
        <v>1</v>
      </c>
      <c r="K404" s="4">
        <v>1</v>
      </c>
      <c r="L404" s="4">
        <f>J404+K404</f>
        <v>0</v>
      </c>
      <c r="M404" s="4"/>
      <c r="N404" s="4"/>
      <c r="O404" s="4">
        <v>0</v>
      </c>
      <c r="P404" s="4"/>
      <c r="Q404" s="4"/>
      <c r="R404" s="7">
        <v>0</v>
      </c>
      <c r="S404" s="7">
        <v>0</v>
      </c>
      <c r="T404" s="7">
        <f>R404-S404</f>
        <v>0</v>
      </c>
      <c r="U404" s="7">
        <f>T404*O404</f>
        <v>0</v>
      </c>
    </row>
    <row r="405" spans="1:21">
      <c r="A405" s="4" t="s">
        <v>606</v>
      </c>
      <c r="B405" s="4" t="s">
        <v>39</v>
      </c>
      <c r="C405" s="5">
        <v>45917.19858796296</v>
      </c>
      <c r="D405" s="5">
        <v>45917</v>
      </c>
      <c r="E405" s="6">
        <f>IF(AND(C405&lt;&gt;"",D405&lt;&gt;""),D405-C405,"")</f>
        <v>0</v>
      </c>
      <c r="F405" s="4" t="s">
        <v>607</v>
      </c>
      <c r="G405" s="4" t="s">
        <v>608</v>
      </c>
      <c r="H405" s="4" t="s">
        <v>32</v>
      </c>
      <c r="I405" s="4" t="s">
        <v>33</v>
      </c>
      <c r="J405" s="4">
        <v>1</v>
      </c>
      <c r="K405" s="4">
        <v>0</v>
      </c>
      <c r="L405" s="4">
        <f>J405+K405</f>
        <v>0</v>
      </c>
      <c r="M405" s="4" t="s">
        <v>80</v>
      </c>
      <c r="N405" s="4"/>
      <c r="O405" s="4">
        <v>1</v>
      </c>
      <c r="P405" s="4" t="s">
        <v>43</v>
      </c>
      <c r="Q405" s="4"/>
      <c r="R405" s="7">
        <v>610000</v>
      </c>
      <c r="S405" s="7">
        <v>0</v>
      </c>
      <c r="T405" s="7">
        <f>R405-S405</f>
        <v>0</v>
      </c>
      <c r="U405" s="7">
        <f>T405*O405</f>
        <v>0</v>
      </c>
    </row>
    <row r="406" spans="1:21">
      <c r="A406" s="4" t="s">
        <v>606</v>
      </c>
      <c r="B406" s="4" t="s">
        <v>39</v>
      </c>
      <c r="C406" s="5">
        <v>45917.19858796296</v>
      </c>
      <c r="D406" s="5">
        <v>45917</v>
      </c>
      <c r="E406" s="6">
        <f>IF(AND(C406&lt;&gt;"",D406&lt;&gt;""),D406-C406,"")</f>
        <v>0</v>
      </c>
      <c r="F406" s="4" t="s">
        <v>607</v>
      </c>
      <c r="G406" s="4" t="s">
        <v>608</v>
      </c>
      <c r="H406" s="4" t="s">
        <v>32</v>
      </c>
      <c r="I406" s="4" t="s">
        <v>33</v>
      </c>
      <c r="J406" s="4">
        <v>0</v>
      </c>
      <c r="K406" s="4">
        <v>0</v>
      </c>
      <c r="L406" s="4">
        <f>J406+K406</f>
        <v>0</v>
      </c>
      <c r="M406" s="4" t="s">
        <v>609</v>
      </c>
      <c r="N406" s="4"/>
      <c r="O406" s="4">
        <v>1</v>
      </c>
      <c r="P406" s="4" t="s">
        <v>43</v>
      </c>
      <c r="Q406" s="4"/>
      <c r="R406" s="7">
        <v>60000</v>
      </c>
      <c r="S406" s="7">
        <v>0</v>
      </c>
      <c r="T406" s="7">
        <f>R406-S406</f>
        <v>0</v>
      </c>
      <c r="U406" s="7">
        <f>T406*O406</f>
        <v>0</v>
      </c>
    </row>
    <row r="407" spans="1:21">
      <c r="A407" s="4" t="s">
        <v>610</v>
      </c>
      <c r="B407" s="4" t="s">
        <v>29</v>
      </c>
      <c r="C407" s="5">
        <v>45917.20008101852</v>
      </c>
      <c r="D407" s="5">
        <v>45961</v>
      </c>
      <c r="E407" s="6">
        <f>IF(AND(C407&lt;&gt;"",D407&lt;&gt;""),D407-C407,"")</f>
        <v>0</v>
      </c>
      <c r="F407" s="4" t="s">
        <v>307</v>
      </c>
      <c r="G407" s="4" t="s">
        <v>308</v>
      </c>
      <c r="H407" s="4" t="s">
        <v>190</v>
      </c>
      <c r="I407" s="4" t="s">
        <v>56</v>
      </c>
      <c r="J407" s="4">
        <v>1</v>
      </c>
      <c r="K407" s="4">
        <v>0</v>
      </c>
      <c r="L407" s="4">
        <f>J407+K407</f>
        <v>0</v>
      </c>
      <c r="M407" s="4"/>
      <c r="N407" s="4"/>
      <c r="O407" s="4">
        <v>0</v>
      </c>
      <c r="P407" s="4"/>
      <c r="Q407" s="4"/>
      <c r="R407" s="7">
        <v>0</v>
      </c>
      <c r="S407" s="7">
        <v>0</v>
      </c>
      <c r="T407" s="7">
        <f>R407-S407</f>
        <v>0</v>
      </c>
      <c r="U407" s="7">
        <f>T407*O407</f>
        <v>0</v>
      </c>
    </row>
    <row r="408" spans="1:21">
      <c r="A408" s="4" t="s">
        <v>611</v>
      </c>
      <c r="B408" s="4" t="s">
        <v>48</v>
      </c>
      <c r="C408" s="5">
        <v>45917.20802083334</v>
      </c>
      <c r="D408" s="5">
        <v>45961</v>
      </c>
      <c r="E408" s="6">
        <f>IF(AND(C408&lt;&gt;"",D408&lt;&gt;""),D408-C408,"")</f>
        <v>0</v>
      </c>
      <c r="F408" s="4" t="s">
        <v>612</v>
      </c>
      <c r="G408" s="4" t="s">
        <v>613</v>
      </c>
      <c r="H408" s="4" t="s">
        <v>32</v>
      </c>
      <c r="I408" s="4" t="s">
        <v>33</v>
      </c>
      <c r="J408" s="4">
        <v>5</v>
      </c>
      <c r="K408" s="4">
        <v>0</v>
      </c>
      <c r="L408" s="4">
        <f>J408+K408</f>
        <v>0</v>
      </c>
      <c r="M408" s="4"/>
      <c r="N408" s="4"/>
      <c r="O408" s="4">
        <v>0</v>
      </c>
      <c r="P408" s="4"/>
      <c r="Q408" s="4"/>
      <c r="R408" s="7">
        <v>0</v>
      </c>
      <c r="S408" s="7">
        <v>0</v>
      </c>
      <c r="T408" s="7">
        <f>R408-S408</f>
        <v>0</v>
      </c>
      <c r="U408" s="7">
        <f>T408*O408</f>
        <v>0</v>
      </c>
    </row>
    <row r="409" spans="1:21">
      <c r="A409" s="4" t="s">
        <v>614</v>
      </c>
      <c r="B409" s="4" t="s">
        <v>48</v>
      </c>
      <c r="C409" s="5">
        <v>45917.23596064815</v>
      </c>
      <c r="D409" s="5">
        <v>45961</v>
      </c>
      <c r="E409" s="6">
        <f>IF(AND(C409&lt;&gt;"",D409&lt;&gt;""),D409-C409,"")</f>
        <v>0</v>
      </c>
      <c r="F409" s="4" t="s">
        <v>286</v>
      </c>
      <c r="G409" s="4" t="s">
        <v>287</v>
      </c>
      <c r="H409" s="4" t="s">
        <v>32</v>
      </c>
      <c r="I409" s="4" t="s">
        <v>33</v>
      </c>
      <c r="J409" s="4">
        <v>18</v>
      </c>
      <c r="K409" s="4">
        <v>0</v>
      </c>
      <c r="L409" s="4">
        <f>J409+K409</f>
        <v>0</v>
      </c>
      <c r="M409" s="4"/>
      <c r="N409" s="4"/>
      <c r="O409" s="4">
        <v>0</v>
      </c>
      <c r="P409" s="4"/>
      <c r="Q409" s="4"/>
      <c r="R409" s="7">
        <v>0</v>
      </c>
      <c r="S409" s="7">
        <v>0</v>
      </c>
      <c r="T409" s="7">
        <f>R409-S409</f>
        <v>0</v>
      </c>
      <c r="U409" s="7">
        <f>T409*O409</f>
        <v>0</v>
      </c>
    </row>
    <row r="410" spans="1:21">
      <c r="A410" s="4" t="s">
        <v>615</v>
      </c>
      <c r="B410" s="4" t="s">
        <v>39</v>
      </c>
      <c r="C410" s="5">
        <v>45917.26619212963</v>
      </c>
      <c r="D410" s="5">
        <v>45917</v>
      </c>
      <c r="E410" s="6">
        <f>IF(AND(C410&lt;&gt;"",D410&lt;&gt;""),D410-C410,"")</f>
        <v>0</v>
      </c>
      <c r="F410" s="4" t="s">
        <v>431</v>
      </c>
      <c r="G410" s="4" t="s">
        <v>432</v>
      </c>
      <c r="H410" s="4" t="s">
        <v>32</v>
      </c>
      <c r="I410" s="4" t="s">
        <v>33</v>
      </c>
      <c r="J410" s="4">
        <v>1</v>
      </c>
      <c r="K410" s="4">
        <v>0</v>
      </c>
      <c r="L410" s="4">
        <f>J410+K410</f>
        <v>0</v>
      </c>
      <c r="M410" s="4" t="s">
        <v>42</v>
      </c>
      <c r="N410" s="4"/>
      <c r="O410" s="4">
        <v>1</v>
      </c>
      <c r="P410" s="4" t="s">
        <v>43</v>
      </c>
      <c r="Q410" s="4" t="s">
        <v>44</v>
      </c>
      <c r="R410" s="7">
        <v>370000</v>
      </c>
      <c r="S410" s="7">
        <v>0</v>
      </c>
      <c r="T410" s="7">
        <f>R410-S410</f>
        <v>0</v>
      </c>
      <c r="U410" s="7">
        <f>T410*O410</f>
        <v>0</v>
      </c>
    </row>
    <row r="411" spans="1:21">
      <c r="A411" s="4" t="s">
        <v>615</v>
      </c>
      <c r="B411" s="4" t="s">
        <v>39</v>
      </c>
      <c r="C411" s="5">
        <v>45917.26619212963</v>
      </c>
      <c r="D411" s="5">
        <v>45917</v>
      </c>
      <c r="E411" s="6">
        <f>IF(AND(C411&lt;&gt;"",D411&lt;&gt;""),D411-C411,"")</f>
        <v>0</v>
      </c>
      <c r="F411" s="4" t="s">
        <v>431</v>
      </c>
      <c r="G411" s="4" t="s">
        <v>432</v>
      </c>
      <c r="H411" s="4" t="s">
        <v>32</v>
      </c>
      <c r="I411" s="4" t="s">
        <v>33</v>
      </c>
      <c r="J411" s="4">
        <v>0</v>
      </c>
      <c r="K411" s="4">
        <v>0</v>
      </c>
      <c r="L411" s="4">
        <f>J411+K411</f>
        <v>0</v>
      </c>
      <c r="M411" s="4" t="s">
        <v>370</v>
      </c>
      <c r="N411" s="4"/>
      <c r="O411" s="4">
        <v>1</v>
      </c>
      <c r="P411" s="4" t="s">
        <v>43</v>
      </c>
      <c r="Q411" s="4" t="s">
        <v>44</v>
      </c>
      <c r="R411" s="7">
        <v>500000</v>
      </c>
      <c r="S411" s="7">
        <v>0</v>
      </c>
      <c r="T411" s="7">
        <f>R411-S411</f>
        <v>0</v>
      </c>
      <c r="U411" s="7">
        <f>T411*O411</f>
        <v>0</v>
      </c>
    </row>
    <row r="412" spans="1:21">
      <c r="A412" s="4" t="s">
        <v>616</v>
      </c>
      <c r="B412" s="4" t="s">
        <v>39</v>
      </c>
      <c r="C412" s="5">
        <v>45917.2691550926</v>
      </c>
      <c r="D412" s="5">
        <v>45917</v>
      </c>
      <c r="E412" s="6">
        <f>IF(AND(C412&lt;&gt;"",D412&lt;&gt;""),D412-C412,"")</f>
        <v>0</v>
      </c>
      <c r="F412" s="4" t="s">
        <v>431</v>
      </c>
      <c r="G412" s="4" t="s">
        <v>432</v>
      </c>
      <c r="H412" s="4" t="s">
        <v>32</v>
      </c>
      <c r="I412" s="4" t="s">
        <v>33</v>
      </c>
      <c r="J412" s="4">
        <v>-1</v>
      </c>
      <c r="K412" s="4">
        <v>0</v>
      </c>
      <c r="L412" s="4">
        <f>J412+K412</f>
        <v>0</v>
      </c>
      <c r="M412" s="4" t="s">
        <v>42</v>
      </c>
      <c r="N412" s="4"/>
      <c r="O412" s="4">
        <v>-1</v>
      </c>
      <c r="P412" s="4" t="s">
        <v>135</v>
      </c>
      <c r="Q412" s="4" t="s">
        <v>44</v>
      </c>
      <c r="R412" s="7">
        <v>370000</v>
      </c>
      <c r="S412" s="7">
        <v>0</v>
      </c>
      <c r="T412" s="7">
        <f>R412-S412</f>
        <v>0</v>
      </c>
      <c r="U412" s="7">
        <f>T412*O412</f>
        <v>0</v>
      </c>
    </row>
    <row r="413" spans="1:21">
      <c r="A413" s="4" t="s">
        <v>616</v>
      </c>
      <c r="B413" s="4" t="s">
        <v>39</v>
      </c>
      <c r="C413" s="5">
        <v>45917.2691550926</v>
      </c>
      <c r="D413" s="5">
        <v>45917</v>
      </c>
      <c r="E413" s="6">
        <f>IF(AND(C413&lt;&gt;"",D413&lt;&gt;""),D413-C413,"")</f>
        <v>0</v>
      </c>
      <c r="F413" s="4" t="s">
        <v>431</v>
      </c>
      <c r="G413" s="4" t="s">
        <v>432</v>
      </c>
      <c r="H413" s="4" t="s">
        <v>32</v>
      </c>
      <c r="I413" s="4" t="s">
        <v>33</v>
      </c>
      <c r="J413" s="4">
        <v>1</v>
      </c>
      <c r="K413" s="4">
        <v>0</v>
      </c>
      <c r="L413" s="4">
        <f>J413+K413</f>
        <v>0</v>
      </c>
      <c r="M413" s="4" t="s">
        <v>80</v>
      </c>
      <c r="N413" s="4"/>
      <c r="O413" s="4">
        <v>1</v>
      </c>
      <c r="P413" s="4" t="s">
        <v>135</v>
      </c>
      <c r="Q413" s="4" t="s">
        <v>44</v>
      </c>
      <c r="R413" s="7">
        <v>610000</v>
      </c>
      <c r="S413" s="7">
        <v>0</v>
      </c>
      <c r="T413" s="7">
        <f>R413-S413</f>
        <v>0</v>
      </c>
      <c r="U413" s="7">
        <f>T413*O413</f>
        <v>0</v>
      </c>
    </row>
    <row r="414" spans="1:21">
      <c r="A414" s="4" t="s">
        <v>617</v>
      </c>
      <c r="B414" s="4" t="s">
        <v>39</v>
      </c>
      <c r="C414" s="5">
        <v>45917.27921296296</v>
      </c>
      <c r="D414" s="5">
        <v>45917</v>
      </c>
      <c r="E414" s="6">
        <f>IF(AND(C414&lt;&gt;"",D414&lt;&gt;""),D414-C414,"")</f>
        <v>0</v>
      </c>
      <c r="F414" s="4" t="s">
        <v>618</v>
      </c>
      <c r="G414" s="4" t="s">
        <v>619</v>
      </c>
      <c r="H414" s="4" t="s">
        <v>305</v>
      </c>
      <c r="I414" s="4" t="s">
        <v>56</v>
      </c>
      <c r="J414" s="4">
        <v>1</v>
      </c>
      <c r="K414" s="4">
        <v>0</v>
      </c>
      <c r="L414" s="4">
        <f>J414+K414</f>
        <v>0</v>
      </c>
      <c r="M414" s="4" t="s">
        <v>80</v>
      </c>
      <c r="N414" s="4"/>
      <c r="O414" s="4">
        <v>1</v>
      </c>
      <c r="P414" s="4" t="s">
        <v>135</v>
      </c>
      <c r="Q414" s="4"/>
      <c r="R414" s="7">
        <v>610000</v>
      </c>
      <c r="S414" s="7">
        <v>0</v>
      </c>
      <c r="T414" s="7">
        <f>R414-S414</f>
        <v>0</v>
      </c>
      <c r="U414" s="7">
        <f>T414*O414</f>
        <v>0</v>
      </c>
    </row>
    <row r="415" spans="1:21">
      <c r="A415" s="4" t="s">
        <v>617</v>
      </c>
      <c r="B415" s="4" t="s">
        <v>39</v>
      </c>
      <c r="C415" s="5">
        <v>45917.27921296296</v>
      </c>
      <c r="D415" s="5">
        <v>45917</v>
      </c>
      <c r="E415" s="6">
        <f>IF(AND(C415&lt;&gt;"",D415&lt;&gt;""),D415-C415,"")</f>
        <v>0</v>
      </c>
      <c r="F415" s="4" t="s">
        <v>618</v>
      </c>
      <c r="G415" s="4" t="s">
        <v>619</v>
      </c>
      <c r="H415" s="4" t="s">
        <v>305</v>
      </c>
      <c r="I415" s="4" t="s">
        <v>56</v>
      </c>
      <c r="J415" s="4">
        <v>0</v>
      </c>
      <c r="K415" s="4">
        <v>0</v>
      </c>
      <c r="L415" s="4">
        <f>J415+K415</f>
        <v>0</v>
      </c>
      <c r="M415" s="4" t="s">
        <v>370</v>
      </c>
      <c r="N415" s="4"/>
      <c r="O415" s="4">
        <v>1</v>
      </c>
      <c r="P415" s="4" t="s">
        <v>135</v>
      </c>
      <c r="Q415" s="4"/>
      <c r="R415" s="7">
        <v>4000000</v>
      </c>
      <c r="S415" s="7">
        <v>0</v>
      </c>
      <c r="T415" s="7">
        <f>R415-S415</f>
        <v>0</v>
      </c>
      <c r="U415" s="7">
        <f>T415*O415</f>
        <v>0</v>
      </c>
    </row>
    <row r="416" spans="1:21">
      <c r="A416" s="4" t="s">
        <v>620</v>
      </c>
      <c r="B416" s="4" t="s">
        <v>39</v>
      </c>
      <c r="C416" s="5">
        <v>45917.28174768519</v>
      </c>
      <c r="D416" s="5">
        <v>45917</v>
      </c>
      <c r="E416" s="6">
        <f>IF(AND(C416&lt;&gt;"",D416&lt;&gt;""),D416-C416,"")</f>
        <v>0</v>
      </c>
      <c r="F416" s="4" t="s">
        <v>621</v>
      </c>
      <c r="G416" s="4" t="s">
        <v>622</v>
      </c>
      <c r="H416" s="4" t="s">
        <v>177</v>
      </c>
      <c r="I416" s="4" t="s">
        <v>56</v>
      </c>
      <c r="J416" s="4">
        <v>0</v>
      </c>
      <c r="K416" s="4">
        <v>0</v>
      </c>
      <c r="L416" s="4">
        <f>J416+K416</f>
        <v>0</v>
      </c>
      <c r="M416" s="4" t="s">
        <v>370</v>
      </c>
      <c r="N416" s="4"/>
      <c r="O416" s="4">
        <v>1</v>
      </c>
      <c r="P416" s="4" t="s">
        <v>135</v>
      </c>
      <c r="Q416" s="4" t="s">
        <v>44</v>
      </c>
      <c r="R416" s="7">
        <v>1000000</v>
      </c>
      <c r="S416" s="7">
        <v>0</v>
      </c>
      <c r="T416" s="7">
        <f>R416-S416</f>
        <v>0</v>
      </c>
      <c r="U416" s="7">
        <f>T416*O416</f>
        <v>0</v>
      </c>
    </row>
    <row r="417" spans="1:21">
      <c r="A417" s="4" t="s">
        <v>623</v>
      </c>
      <c r="B417" s="4" t="s">
        <v>48</v>
      </c>
      <c r="C417" s="5">
        <v>45917.29466435185</v>
      </c>
      <c r="D417" s="5">
        <v>45961</v>
      </c>
      <c r="E417" s="6">
        <f>IF(AND(C417&lt;&gt;"",D417&lt;&gt;""),D417-C417,"")</f>
        <v>0</v>
      </c>
      <c r="F417" s="4" t="s">
        <v>624</v>
      </c>
      <c r="G417" s="4"/>
      <c r="H417" s="4"/>
      <c r="I417" s="4" t="s">
        <v>56</v>
      </c>
      <c r="J417" s="4">
        <v>4</v>
      </c>
      <c r="K417" s="4">
        <v>2</v>
      </c>
      <c r="L417" s="4">
        <f>J417+K417</f>
        <v>0</v>
      </c>
      <c r="M417" s="4"/>
      <c r="N417" s="4"/>
      <c r="O417" s="4">
        <v>0</v>
      </c>
      <c r="P417" s="4"/>
      <c r="Q417" s="4"/>
      <c r="R417" s="7">
        <v>0</v>
      </c>
      <c r="S417" s="7">
        <v>0</v>
      </c>
      <c r="T417" s="7">
        <f>R417-S417</f>
        <v>0</v>
      </c>
      <c r="U417" s="7">
        <f>T417*O417</f>
        <v>0</v>
      </c>
    </row>
    <row r="418" spans="1:21">
      <c r="A418" s="4" t="s">
        <v>625</v>
      </c>
      <c r="B418" s="4"/>
      <c r="C418" s="5">
        <v>45917.32234953704</v>
      </c>
      <c r="D418" s="5">
        <v>45917.29166666666</v>
      </c>
      <c r="E418" s="6">
        <f>IF(AND(C418&lt;&gt;"",D418&lt;&gt;""),D418-C418,"")</f>
        <v>0</v>
      </c>
      <c r="F418" s="4" t="s">
        <v>626</v>
      </c>
      <c r="G418" s="4" t="s">
        <v>627</v>
      </c>
      <c r="H418" s="4"/>
      <c r="I418" s="4" t="s">
        <v>56</v>
      </c>
      <c r="J418" s="4">
        <v>1</v>
      </c>
      <c r="K418" s="4">
        <v>0</v>
      </c>
      <c r="L418" s="4">
        <f>J418+K418</f>
        <v>0</v>
      </c>
      <c r="M418" s="4"/>
      <c r="N418" s="4"/>
      <c r="O418" s="4">
        <v>0</v>
      </c>
      <c r="P418" s="4"/>
      <c r="Q418" s="4"/>
      <c r="R418" s="7">
        <v>0</v>
      </c>
      <c r="S418" s="7">
        <v>0</v>
      </c>
      <c r="T418" s="7">
        <f>R418-S418</f>
        <v>0</v>
      </c>
      <c r="U418" s="7">
        <f>T418*O418</f>
        <v>0</v>
      </c>
    </row>
    <row r="419" spans="1:21">
      <c r="A419" s="4" t="s">
        <v>628</v>
      </c>
      <c r="B419" s="4" t="s">
        <v>48</v>
      </c>
      <c r="C419" s="5">
        <v>45917.32395833333</v>
      </c>
      <c r="D419" s="5">
        <v>45961</v>
      </c>
      <c r="E419" s="6">
        <f>IF(AND(C419&lt;&gt;"",D419&lt;&gt;""),D419-C419,"")</f>
        <v>0</v>
      </c>
      <c r="F419" s="4" t="s">
        <v>629</v>
      </c>
      <c r="G419" s="4" t="s">
        <v>630</v>
      </c>
      <c r="H419" s="4" t="s">
        <v>32</v>
      </c>
      <c r="I419" s="4" t="s">
        <v>33</v>
      </c>
      <c r="J419" s="4">
        <v>2</v>
      </c>
      <c r="K419" s="4">
        <v>1</v>
      </c>
      <c r="L419" s="4">
        <f>J419+K419</f>
        <v>0</v>
      </c>
      <c r="M419" s="4"/>
      <c r="N419" s="4"/>
      <c r="O419" s="4">
        <v>0</v>
      </c>
      <c r="P419" s="4"/>
      <c r="Q419" s="4"/>
      <c r="R419" s="7">
        <v>0</v>
      </c>
      <c r="S419" s="7">
        <v>0</v>
      </c>
      <c r="T419" s="7">
        <f>R419-S419</f>
        <v>0</v>
      </c>
      <c r="U419" s="7">
        <f>T419*O419</f>
        <v>0</v>
      </c>
    </row>
    <row r="420" spans="1:21">
      <c r="A420" s="4" t="s">
        <v>631</v>
      </c>
      <c r="B420" s="4" t="s">
        <v>48</v>
      </c>
      <c r="C420" s="5">
        <v>45917.32967592592</v>
      </c>
      <c r="D420" s="5">
        <v>45961</v>
      </c>
      <c r="E420" s="6">
        <f>IF(AND(C420&lt;&gt;"",D420&lt;&gt;""),D420-C420,"")</f>
        <v>0</v>
      </c>
      <c r="F420" s="4" t="s">
        <v>632</v>
      </c>
      <c r="G420" s="4" t="s">
        <v>633</v>
      </c>
      <c r="H420" s="4" t="s">
        <v>32</v>
      </c>
      <c r="I420" s="4" t="s">
        <v>33</v>
      </c>
      <c r="J420" s="4">
        <v>6</v>
      </c>
      <c r="K420" s="4">
        <v>1</v>
      </c>
      <c r="L420" s="4">
        <f>J420+K420</f>
        <v>0</v>
      </c>
      <c r="M420" s="4"/>
      <c r="N420" s="4"/>
      <c r="O420" s="4">
        <v>0</v>
      </c>
      <c r="P420" s="4"/>
      <c r="Q420" s="4"/>
      <c r="R420" s="7">
        <v>0</v>
      </c>
      <c r="S420" s="7">
        <v>0</v>
      </c>
      <c r="T420" s="7">
        <f>R420-S420</f>
        <v>0</v>
      </c>
      <c r="U420" s="7">
        <f>T420*O420</f>
        <v>0</v>
      </c>
    </row>
    <row r="421" spans="1:21">
      <c r="A421" s="4" t="s">
        <v>634</v>
      </c>
      <c r="B421" s="4" t="s">
        <v>48</v>
      </c>
      <c r="C421" s="5">
        <v>45917.33075231482</v>
      </c>
      <c r="D421" s="5">
        <v>45961</v>
      </c>
      <c r="E421" s="6">
        <f>IF(AND(C421&lt;&gt;"",D421&lt;&gt;""),D421-C421,"")</f>
        <v>0</v>
      </c>
      <c r="F421" s="4" t="s">
        <v>635</v>
      </c>
      <c r="G421" s="4" t="s">
        <v>636</v>
      </c>
      <c r="H421" s="4" t="s">
        <v>32</v>
      </c>
      <c r="I421" s="4" t="s">
        <v>33</v>
      </c>
      <c r="J421" s="4">
        <v>2</v>
      </c>
      <c r="K421" s="4">
        <v>1</v>
      </c>
      <c r="L421" s="4">
        <f>J421+K421</f>
        <v>0</v>
      </c>
      <c r="M421" s="4"/>
      <c r="N421" s="4"/>
      <c r="O421" s="4">
        <v>0</v>
      </c>
      <c r="P421" s="4"/>
      <c r="Q421" s="4"/>
      <c r="R421" s="7">
        <v>0</v>
      </c>
      <c r="S421" s="7">
        <v>0</v>
      </c>
      <c r="T421" s="7">
        <f>R421-S421</f>
        <v>0</v>
      </c>
      <c r="U421" s="7">
        <f>T421*O421</f>
        <v>0</v>
      </c>
    </row>
    <row r="422" spans="1:21">
      <c r="A422" s="4" t="s">
        <v>637</v>
      </c>
      <c r="B422" s="4" t="s">
        <v>48</v>
      </c>
      <c r="C422" s="5">
        <v>45917.33295138889</v>
      </c>
      <c r="D422" s="5">
        <v>45961</v>
      </c>
      <c r="E422" s="6">
        <f>IF(AND(C422&lt;&gt;"",D422&lt;&gt;""),D422-C422,"")</f>
        <v>0</v>
      </c>
      <c r="F422" s="4" t="s">
        <v>64</v>
      </c>
      <c r="G422" s="4" t="s">
        <v>638</v>
      </c>
      <c r="H422" s="4" t="s">
        <v>32</v>
      </c>
      <c r="I422" s="4" t="s">
        <v>33</v>
      </c>
      <c r="J422" s="4">
        <v>2</v>
      </c>
      <c r="K422" s="4">
        <v>1</v>
      </c>
      <c r="L422" s="4">
        <f>J422+K422</f>
        <v>0</v>
      </c>
      <c r="M422" s="4"/>
      <c r="N422" s="4"/>
      <c r="O422" s="4">
        <v>0</v>
      </c>
      <c r="P422" s="4"/>
      <c r="Q422" s="4"/>
      <c r="R422" s="7">
        <v>0</v>
      </c>
      <c r="S422" s="7">
        <v>0</v>
      </c>
      <c r="T422" s="7">
        <f>R422-S422</f>
        <v>0</v>
      </c>
      <c r="U422" s="7">
        <f>T422*O422</f>
        <v>0</v>
      </c>
    </row>
    <row r="423" spans="1:21">
      <c r="A423" s="4" t="s">
        <v>639</v>
      </c>
      <c r="B423" s="4" t="s">
        <v>103</v>
      </c>
      <c r="C423" s="5">
        <v>45917.33439814814</v>
      </c>
      <c r="D423" s="5">
        <v>45917.33333333334</v>
      </c>
      <c r="E423" s="6">
        <f>IF(AND(C423&lt;&gt;"",D423&lt;&gt;""),D423-C423,"")</f>
        <v>0</v>
      </c>
      <c r="F423" s="4" t="s">
        <v>640</v>
      </c>
      <c r="G423" s="4" t="s">
        <v>627</v>
      </c>
      <c r="H423" s="4" t="s">
        <v>32</v>
      </c>
      <c r="I423" s="4" t="s">
        <v>33</v>
      </c>
      <c r="J423" s="4">
        <v>1</v>
      </c>
      <c r="K423" s="4">
        <v>0</v>
      </c>
      <c r="L423" s="4">
        <f>J423+K423</f>
        <v>0</v>
      </c>
      <c r="M423" s="4"/>
      <c r="N423" s="4"/>
      <c r="O423" s="4">
        <v>0</v>
      </c>
      <c r="P423" s="4"/>
      <c r="Q423" s="4"/>
      <c r="R423" s="7">
        <v>0</v>
      </c>
      <c r="S423" s="7">
        <v>0</v>
      </c>
      <c r="T423" s="7">
        <f>R423-S423</f>
        <v>0</v>
      </c>
      <c r="U423" s="7">
        <f>T423*O423</f>
        <v>0</v>
      </c>
    </row>
    <row r="424" spans="1:21">
      <c r="A424" s="4" t="s">
        <v>641</v>
      </c>
      <c r="B424" s="4" t="s">
        <v>48</v>
      </c>
      <c r="C424" s="5">
        <v>45917.34458333333</v>
      </c>
      <c r="D424" s="5">
        <v>45961</v>
      </c>
      <c r="E424" s="6">
        <f>IF(AND(C424&lt;&gt;"",D424&lt;&gt;""),D424-C424,"")</f>
        <v>0</v>
      </c>
      <c r="F424" s="4" t="s">
        <v>64</v>
      </c>
      <c r="G424" s="4" t="s">
        <v>587</v>
      </c>
      <c r="H424" s="4" t="s">
        <v>32</v>
      </c>
      <c r="I424" s="4" t="s">
        <v>33</v>
      </c>
      <c r="J424" s="4">
        <v>2</v>
      </c>
      <c r="K424" s="4">
        <v>2</v>
      </c>
      <c r="L424" s="4">
        <f>J424+K424</f>
        <v>0</v>
      </c>
      <c r="M424" s="4"/>
      <c r="N424" s="4"/>
      <c r="O424" s="4">
        <v>0</v>
      </c>
      <c r="P424" s="4"/>
      <c r="Q424" s="4"/>
      <c r="R424" s="7">
        <v>0</v>
      </c>
      <c r="S424" s="7">
        <v>0</v>
      </c>
      <c r="T424" s="7">
        <f>R424-S424</f>
        <v>0</v>
      </c>
      <c r="U424" s="7">
        <f>T424*O424</f>
        <v>0</v>
      </c>
    </row>
    <row r="425" spans="1:21">
      <c r="A425" s="4" t="s">
        <v>642</v>
      </c>
      <c r="B425" s="4" t="s">
        <v>29</v>
      </c>
      <c r="C425" s="5">
        <v>45917.34643518519</v>
      </c>
      <c r="D425" s="5">
        <v>45961</v>
      </c>
      <c r="E425" s="6">
        <f>IF(AND(C425&lt;&gt;"",D425&lt;&gt;""),D425-C425,"")</f>
        <v>0</v>
      </c>
      <c r="F425" s="4" t="s">
        <v>36</v>
      </c>
      <c r="G425" s="4" t="s">
        <v>37</v>
      </c>
      <c r="H425" s="4" t="s">
        <v>32</v>
      </c>
      <c r="I425" s="4" t="s">
        <v>33</v>
      </c>
      <c r="J425" s="4">
        <v>1</v>
      </c>
      <c r="K425" s="4">
        <v>0</v>
      </c>
      <c r="L425" s="4">
        <f>J425+K425</f>
        <v>0</v>
      </c>
      <c r="M425" s="4"/>
      <c r="N425" s="4"/>
      <c r="O425" s="4">
        <v>0</v>
      </c>
      <c r="P425" s="4"/>
      <c r="Q425" s="4"/>
      <c r="R425" s="7">
        <v>0</v>
      </c>
      <c r="S425" s="7">
        <v>0</v>
      </c>
      <c r="T425" s="7">
        <f>R425-S425</f>
        <v>0</v>
      </c>
      <c r="U425" s="7">
        <f>T425*O425</f>
        <v>0</v>
      </c>
    </row>
    <row r="426" spans="1:21">
      <c r="A426" s="4" t="s">
        <v>643</v>
      </c>
      <c r="B426" s="4" t="s">
        <v>103</v>
      </c>
      <c r="C426" s="5">
        <v>45917.34886574074</v>
      </c>
      <c r="D426" s="5">
        <v>45961</v>
      </c>
      <c r="E426" s="6">
        <f>IF(AND(C426&lt;&gt;"",D426&lt;&gt;""),D426-C426,"")</f>
        <v>0</v>
      </c>
      <c r="F426" s="4" t="s">
        <v>644</v>
      </c>
      <c r="G426" s="4"/>
      <c r="H426" s="4"/>
      <c r="I426" s="4" t="s">
        <v>56</v>
      </c>
      <c r="J426" s="4">
        <v>5</v>
      </c>
      <c r="K426" s="4">
        <v>0</v>
      </c>
      <c r="L426" s="4">
        <f>J426+K426</f>
        <v>0</v>
      </c>
      <c r="M426" s="4"/>
      <c r="N426" s="4"/>
      <c r="O426" s="4">
        <v>0</v>
      </c>
      <c r="P426" s="4"/>
      <c r="Q426" s="4"/>
      <c r="R426" s="7">
        <v>0</v>
      </c>
      <c r="S426" s="7">
        <v>0</v>
      </c>
      <c r="T426" s="7">
        <f>R426-S426</f>
        <v>0</v>
      </c>
      <c r="U426" s="7">
        <f>T426*O426</f>
        <v>0</v>
      </c>
    </row>
    <row r="427" spans="1:21">
      <c r="A427" s="4" t="s">
        <v>645</v>
      </c>
      <c r="B427" s="4" t="s">
        <v>39</v>
      </c>
      <c r="C427" s="5">
        <v>45917.3624537037</v>
      </c>
      <c r="D427" s="5">
        <v>45917</v>
      </c>
      <c r="E427" s="6">
        <f>IF(AND(C427&lt;&gt;"",D427&lt;&gt;""),D427-C427,"")</f>
        <v>0</v>
      </c>
      <c r="F427" s="4" t="s">
        <v>646</v>
      </c>
      <c r="G427" s="4" t="s">
        <v>647</v>
      </c>
      <c r="H427" s="4" t="s">
        <v>32</v>
      </c>
      <c r="I427" s="4" t="s">
        <v>33</v>
      </c>
      <c r="J427" s="4">
        <v>0</v>
      </c>
      <c r="K427" s="4">
        <v>0</v>
      </c>
      <c r="L427" s="4">
        <f>J427+K427</f>
        <v>0</v>
      </c>
      <c r="M427" s="4" t="s">
        <v>370</v>
      </c>
      <c r="N427" s="4"/>
      <c r="O427" s="4">
        <v>1</v>
      </c>
      <c r="P427" s="4" t="s">
        <v>135</v>
      </c>
      <c r="Q427" s="4" t="s">
        <v>44</v>
      </c>
      <c r="R427" s="7">
        <v>2000000</v>
      </c>
      <c r="S427" s="7">
        <v>0</v>
      </c>
      <c r="T427" s="7">
        <f>R427-S427</f>
        <v>0</v>
      </c>
      <c r="U427" s="7">
        <f>T427*O427</f>
        <v>0</v>
      </c>
    </row>
    <row r="428" spans="1:21">
      <c r="A428" s="4" t="s">
        <v>648</v>
      </c>
      <c r="B428" s="4" t="s">
        <v>39</v>
      </c>
      <c r="C428" s="5">
        <v>45917.3759375</v>
      </c>
      <c r="D428" s="5">
        <v>45917</v>
      </c>
      <c r="E428" s="6">
        <f>IF(AND(C428&lt;&gt;"",D428&lt;&gt;""),D428-C428,"")</f>
        <v>0</v>
      </c>
      <c r="F428" s="4" t="s">
        <v>649</v>
      </c>
      <c r="G428" s="4" t="s">
        <v>650</v>
      </c>
      <c r="H428" s="4" t="s">
        <v>32</v>
      </c>
      <c r="I428" s="4" t="s">
        <v>33</v>
      </c>
      <c r="J428" s="4">
        <v>1</v>
      </c>
      <c r="K428" s="4">
        <v>0</v>
      </c>
      <c r="L428" s="4">
        <f>J428+K428</f>
        <v>0</v>
      </c>
      <c r="M428" s="4" t="s">
        <v>80</v>
      </c>
      <c r="N428" s="4"/>
      <c r="O428" s="4">
        <v>1</v>
      </c>
      <c r="P428" s="4" t="s">
        <v>135</v>
      </c>
      <c r="Q428" s="4" t="s">
        <v>44</v>
      </c>
      <c r="R428" s="7">
        <v>610000</v>
      </c>
      <c r="S428" s="7">
        <v>0</v>
      </c>
      <c r="T428" s="7">
        <f>R428-S428</f>
        <v>0</v>
      </c>
      <c r="U428" s="7">
        <f>T428*O428</f>
        <v>0</v>
      </c>
    </row>
    <row r="429" spans="1:21">
      <c r="A429" s="4" t="s">
        <v>648</v>
      </c>
      <c r="B429" s="4" t="s">
        <v>39</v>
      </c>
      <c r="C429" s="5">
        <v>45917.3759375</v>
      </c>
      <c r="D429" s="5">
        <v>45917</v>
      </c>
      <c r="E429" s="6">
        <f>IF(AND(C429&lt;&gt;"",D429&lt;&gt;""),D429-C429,"")</f>
        <v>0</v>
      </c>
      <c r="F429" s="4" t="s">
        <v>649</v>
      </c>
      <c r="G429" s="4" t="s">
        <v>650</v>
      </c>
      <c r="H429" s="4" t="s">
        <v>32</v>
      </c>
      <c r="I429" s="4" t="s">
        <v>33</v>
      </c>
      <c r="J429" s="4">
        <v>1</v>
      </c>
      <c r="K429" s="4">
        <v>0</v>
      </c>
      <c r="L429" s="4">
        <f>J429+K429</f>
        <v>0</v>
      </c>
      <c r="M429" s="4" t="s">
        <v>42</v>
      </c>
      <c r="N429" s="4"/>
      <c r="O429" s="4">
        <v>1</v>
      </c>
      <c r="P429" s="4" t="s">
        <v>135</v>
      </c>
      <c r="Q429" s="4" t="s">
        <v>44</v>
      </c>
      <c r="R429" s="7">
        <v>370000</v>
      </c>
      <c r="S429" s="7">
        <v>0</v>
      </c>
      <c r="T429" s="7">
        <f>R429-S429</f>
        <v>0</v>
      </c>
      <c r="U429" s="7">
        <f>T429*O429</f>
        <v>0</v>
      </c>
    </row>
    <row r="430" spans="1:21">
      <c r="A430" s="4" t="s">
        <v>648</v>
      </c>
      <c r="B430" s="4" t="s">
        <v>39</v>
      </c>
      <c r="C430" s="5">
        <v>45917.3759375</v>
      </c>
      <c r="D430" s="5">
        <v>45917</v>
      </c>
      <c r="E430" s="6">
        <f>IF(AND(C430&lt;&gt;"",D430&lt;&gt;""),D430-C430,"")</f>
        <v>0</v>
      </c>
      <c r="F430" s="4" t="s">
        <v>649</v>
      </c>
      <c r="G430" s="4" t="s">
        <v>650</v>
      </c>
      <c r="H430" s="4" t="s">
        <v>32</v>
      </c>
      <c r="I430" s="4" t="s">
        <v>33</v>
      </c>
      <c r="J430" s="4">
        <v>0</v>
      </c>
      <c r="K430" s="4">
        <v>1</v>
      </c>
      <c r="L430" s="4">
        <f>J430+K430</f>
        <v>0</v>
      </c>
      <c r="M430" s="4" t="s">
        <v>46</v>
      </c>
      <c r="N430" s="4"/>
      <c r="O430" s="4">
        <v>1</v>
      </c>
      <c r="P430" s="4" t="s">
        <v>135</v>
      </c>
      <c r="Q430" s="4" t="s">
        <v>44</v>
      </c>
      <c r="R430" s="7">
        <v>325000</v>
      </c>
      <c r="S430" s="7">
        <v>0</v>
      </c>
      <c r="T430" s="7">
        <f>R430-S430</f>
        <v>0</v>
      </c>
      <c r="U430" s="7">
        <f>T430*O430</f>
        <v>0</v>
      </c>
    </row>
    <row r="431" spans="1:21">
      <c r="A431" s="4" t="s">
        <v>648</v>
      </c>
      <c r="B431" s="4" t="s">
        <v>39</v>
      </c>
      <c r="C431" s="5">
        <v>45917.3759375</v>
      </c>
      <c r="D431" s="5">
        <v>45917</v>
      </c>
      <c r="E431" s="6">
        <f>IF(AND(C431&lt;&gt;"",D431&lt;&gt;""),D431-C431,"")</f>
        <v>0</v>
      </c>
      <c r="F431" s="4" t="s">
        <v>649</v>
      </c>
      <c r="G431" s="4" t="s">
        <v>650</v>
      </c>
      <c r="H431" s="4" t="s">
        <v>32</v>
      </c>
      <c r="I431" s="4" t="s">
        <v>33</v>
      </c>
      <c r="J431" s="4">
        <v>0</v>
      </c>
      <c r="K431" s="4">
        <v>1</v>
      </c>
      <c r="L431" s="4">
        <f>J431+K431</f>
        <v>0</v>
      </c>
      <c r="M431" s="4" t="s">
        <v>46</v>
      </c>
      <c r="N431" s="4"/>
      <c r="O431" s="4">
        <v>1</v>
      </c>
      <c r="P431" s="4" t="s">
        <v>135</v>
      </c>
      <c r="Q431" s="4" t="s">
        <v>44</v>
      </c>
      <c r="R431" s="7">
        <v>325000</v>
      </c>
      <c r="S431" s="7">
        <v>0</v>
      </c>
      <c r="T431" s="7">
        <f>R431-S431</f>
        <v>0</v>
      </c>
      <c r="U431" s="7">
        <f>T431*O431</f>
        <v>0</v>
      </c>
    </row>
    <row r="432" spans="1:21">
      <c r="A432" s="4" t="s">
        <v>648</v>
      </c>
      <c r="B432" s="4" t="s">
        <v>39</v>
      </c>
      <c r="C432" s="5">
        <v>45917.3759375</v>
      </c>
      <c r="D432" s="5">
        <v>45917</v>
      </c>
      <c r="E432" s="6">
        <f>IF(AND(C432&lt;&gt;"",D432&lt;&gt;""),D432-C432,"")</f>
        <v>0</v>
      </c>
      <c r="F432" s="4" t="s">
        <v>649</v>
      </c>
      <c r="G432" s="4" t="s">
        <v>650</v>
      </c>
      <c r="H432" s="4" t="s">
        <v>32</v>
      </c>
      <c r="I432" s="4" t="s">
        <v>33</v>
      </c>
      <c r="J432" s="4">
        <v>1</v>
      </c>
      <c r="K432" s="4">
        <v>0</v>
      </c>
      <c r="L432" s="4">
        <f>J432+K432</f>
        <v>0</v>
      </c>
      <c r="M432" s="4" t="s">
        <v>42</v>
      </c>
      <c r="N432" s="4"/>
      <c r="O432" s="4">
        <v>1</v>
      </c>
      <c r="P432" s="4" t="s">
        <v>135</v>
      </c>
      <c r="Q432" s="4" t="s">
        <v>44</v>
      </c>
      <c r="R432" s="7">
        <v>370000</v>
      </c>
      <c r="S432" s="7">
        <v>0</v>
      </c>
      <c r="T432" s="7">
        <f>R432-S432</f>
        <v>0</v>
      </c>
      <c r="U432" s="7">
        <f>T432*O432</f>
        <v>0</v>
      </c>
    </row>
    <row r="433" spans="1:21">
      <c r="A433" s="4" t="s">
        <v>648</v>
      </c>
      <c r="B433" s="4" t="s">
        <v>39</v>
      </c>
      <c r="C433" s="5">
        <v>45917.3759375</v>
      </c>
      <c r="D433" s="5">
        <v>45917</v>
      </c>
      <c r="E433" s="6">
        <f>IF(AND(C433&lt;&gt;"",D433&lt;&gt;""),D433-C433,"")</f>
        <v>0</v>
      </c>
      <c r="F433" s="4" t="s">
        <v>649</v>
      </c>
      <c r="G433" s="4" t="s">
        <v>650</v>
      </c>
      <c r="H433" s="4" t="s">
        <v>32</v>
      </c>
      <c r="I433" s="4" t="s">
        <v>33</v>
      </c>
      <c r="J433" s="4">
        <v>1</v>
      </c>
      <c r="K433" s="4">
        <v>0</v>
      </c>
      <c r="L433" s="4">
        <f>J433+K433</f>
        <v>0</v>
      </c>
      <c r="M433" s="4" t="s">
        <v>80</v>
      </c>
      <c r="N433" s="4"/>
      <c r="O433" s="4">
        <v>1</v>
      </c>
      <c r="P433" s="4" t="s">
        <v>135</v>
      </c>
      <c r="Q433" s="4" t="s">
        <v>44</v>
      </c>
      <c r="R433" s="7">
        <v>610000</v>
      </c>
      <c r="S433" s="7">
        <v>0</v>
      </c>
      <c r="T433" s="7">
        <f>R433-S433</f>
        <v>0</v>
      </c>
      <c r="U433" s="7">
        <f>T433*O433</f>
        <v>0</v>
      </c>
    </row>
    <row r="434" spans="1:21">
      <c r="A434" s="4" t="s">
        <v>648</v>
      </c>
      <c r="B434" s="4" t="s">
        <v>39</v>
      </c>
      <c r="C434" s="5">
        <v>45917.3759375</v>
      </c>
      <c r="D434" s="5">
        <v>45917</v>
      </c>
      <c r="E434" s="6">
        <f>IF(AND(C434&lt;&gt;"",D434&lt;&gt;""),D434-C434,"")</f>
        <v>0</v>
      </c>
      <c r="F434" s="4" t="s">
        <v>649</v>
      </c>
      <c r="G434" s="4" t="s">
        <v>650</v>
      </c>
      <c r="H434" s="4" t="s">
        <v>32</v>
      </c>
      <c r="I434" s="4" t="s">
        <v>33</v>
      </c>
      <c r="J434" s="4">
        <v>0</v>
      </c>
      <c r="K434" s="4">
        <v>1</v>
      </c>
      <c r="L434" s="4">
        <f>J434+K434</f>
        <v>0</v>
      </c>
      <c r="M434" s="4" t="s">
        <v>46</v>
      </c>
      <c r="N434" s="4"/>
      <c r="O434" s="4">
        <v>1</v>
      </c>
      <c r="P434" s="4" t="s">
        <v>135</v>
      </c>
      <c r="Q434" s="4" t="s">
        <v>44</v>
      </c>
      <c r="R434" s="7">
        <v>325000</v>
      </c>
      <c r="S434" s="7">
        <v>0</v>
      </c>
      <c r="T434" s="7">
        <f>R434-S434</f>
        <v>0</v>
      </c>
      <c r="U434" s="7">
        <f>T434*O434</f>
        <v>0</v>
      </c>
    </row>
    <row r="435" spans="1:21">
      <c r="A435" s="4" t="s">
        <v>651</v>
      </c>
      <c r="B435" s="4" t="s">
        <v>39</v>
      </c>
      <c r="C435" s="5">
        <v>45918.10412037037</v>
      </c>
      <c r="D435" s="5">
        <v>45918</v>
      </c>
      <c r="E435" s="6">
        <f>IF(AND(C435&lt;&gt;"",D435&lt;&gt;""),D435-C435,"")</f>
        <v>0</v>
      </c>
      <c r="F435" s="4" t="s">
        <v>130</v>
      </c>
      <c r="G435" s="4" t="s">
        <v>62</v>
      </c>
      <c r="H435" s="4" t="s">
        <v>32</v>
      </c>
      <c r="I435" s="4" t="s">
        <v>33</v>
      </c>
      <c r="J435" s="4">
        <v>1</v>
      </c>
      <c r="K435" s="4">
        <v>0</v>
      </c>
      <c r="L435" s="4">
        <f>J435+K435</f>
        <v>0</v>
      </c>
      <c r="M435" s="4" t="s">
        <v>42</v>
      </c>
      <c r="N435" s="4"/>
      <c r="O435" s="4">
        <v>1</v>
      </c>
      <c r="P435" s="4" t="s">
        <v>135</v>
      </c>
      <c r="Q435" s="4" t="s">
        <v>44</v>
      </c>
      <c r="R435" s="7">
        <v>370000</v>
      </c>
      <c r="S435" s="7">
        <v>0</v>
      </c>
      <c r="T435" s="7">
        <f>R435-S435</f>
        <v>0</v>
      </c>
      <c r="U435" s="7">
        <f>T435*O435</f>
        <v>0</v>
      </c>
    </row>
    <row r="436" spans="1:21">
      <c r="A436" s="4" t="s">
        <v>651</v>
      </c>
      <c r="B436" s="4" t="s">
        <v>39</v>
      </c>
      <c r="C436" s="5">
        <v>45918.10412037037</v>
      </c>
      <c r="D436" s="5">
        <v>45918</v>
      </c>
      <c r="E436" s="6">
        <f>IF(AND(C436&lt;&gt;"",D436&lt;&gt;""),D436-C436,"")</f>
        <v>0</v>
      </c>
      <c r="F436" s="4" t="s">
        <v>130</v>
      </c>
      <c r="G436" s="4" t="s">
        <v>62</v>
      </c>
      <c r="H436" s="4" t="s">
        <v>32</v>
      </c>
      <c r="I436" s="4" t="s">
        <v>33</v>
      </c>
      <c r="J436" s="4">
        <v>1</v>
      </c>
      <c r="K436" s="4">
        <v>0</v>
      </c>
      <c r="L436" s="4">
        <f>J436+K436</f>
        <v>0</v>
      </c>
      <c r="M436" s="4" t="s">
        <v>80</v>
      </c>
      <c r="N436" s="4"/>
      <c r="O436" s="4">
        <v>1</v>
      </c>
      <c r="P436" s="4" t="s">
        <v>135</v>
      </c>
      <c r="Q436" s="4" t="s">
        <v>44</v>
      </c>
      <c r="R436" s="7">
        <v>610000</v>
      </c>
      <c r="S436" s="7">
        <v>0</v>
      </c>
      <c r="T436" s="7">
        <f>R436-S436</f>
        <v>0</v>
      </c>
      <c r="U436" s="7">
        <f>T436*O436</f>
        <v>0</v>
      </c>
    </row>
    <row r="437" spans="1:21">
      <c r="A437" s="4" t="s">
        <v>651</v>
      </c>
      <c r="B437" s="4" t="s">
        <v>39</v>
      </c>
      <c r="C437" s="5">
        <v>45918.10412037037</v>
      </c>
      <c r="D437" s="5">
        <v>45918</v>
      </c>
      <c r="E437" s="6">
        <f>IF(AND(C437&lt;&gt;"",D437&lt;&gt;""),D437-C437,"")</f>
        <v>0</v>
      </c>
      <c r="F437" s="4" t="s">
        <v>130</v>
      </c>
      <c r="G437" s="4" t="s">
        <v>62</v>
      </c>
      <c r="H437" s="4" t="s">
        <v>32</v>
      </c>
      <c r="I437" s="4" t="s">
        <v>33</v>
      </c>
      <c r="J437" s="4">
        <v>1</v>
      </c>
      <c r="K437" s="4">
        <v>0</v>
      </c>
      <c r="L437" s="4">
        <f>J437+K437</f>
        <v>0</v>
      </c>
      <c r="M437" s="4" t="s">
        <v>42</v>
      </c>
      <c r="N437" s="4"/>
      <c r="O437" s="4">
        <v>1</v>
      </c>
      <c r="P437" s="4" t="s">
        <v>135</v>
      </c>
      <c r="Q437" s="4" t="s">
        <v>44</v>
      </c>
      <c r="R437" s="7">
        <v>370000</v>
      </c>
      <c r="S437" s="7">
        <v>0</v>
      </c>
      <c r="T437" s="7">
        <f>R437-S437</f>
        <v>0</v>
      </c>
      <c r="U437" s="7">
        <f>T437*O437</f>
        <v>0</v>
      </c>
    </row>
    <row r="438" spans="1:21">
      <c r="A438" s="4" t="s">
        <v>651</v>
      </c>
      <c r="B438" s="4" t="s">
        <v>39</v>
      </c>
      <c r="C438" s="5">
        <v>45918.10412037037</v>
      </c>
      <c r="D438" s="5">
        <v>45918</v>
      </c>
      <c r="E438" s="6">
        <f>IF(AND(C438&lt;&gt;"",D438&lt;&gt;""),D438-C438,"")</f>
        <v>0</v>
      </c>
      <c r="F438" s="4" t="s">
        <v>130</v>
      </c>
      <c r="G438" s="4" t="s">
        <v>62</v>
      </c>
      <c r="H438" s="4" t="s">
        <v>32</v>
      </c>
      <c r="I438" s="4" t="s">
        <v>33</v>
      </c>
      <c r="J438" s="4">
        <v>1</v>
      </c>
      <c r="K438" s="4">
        <v>0</v>
      </c>
      <c r="L438" s="4">
        <f>J438+K438</f>
        <v>0</v>
      </c>
      <c r="M438" s="4" t="s">
        <v>80</v>
      </c>
      <c r="N438" s="4"/>
      <c r="O438" s="4">
        <v>1</v>
      </c>
      <c r="P438" s="4" t="s">
        <v>135</v>
      </c>
      <c r="Q438" s="4" t="s">
        <v>44</v>
      </c>
      <c r="R438" s="7">
        <v>610000</v>
      </c>
      <c r="S438" s="7">
        <v>0</v>
      </c>
      <c r="T438" s="7">
        <f>R438-S438</f>
        <v>0</v>
      </c>
      <c r="U438" s="7">
        <f>T438*O438</f>
        <v>0</v>
      </c>
    </row>
    <row r="439" spans="1:21">
      <c r="A439" s="4" t="s">
        <v>652</v>
      </c>
      <c r="B439" s="4" t="s">
        <v>48</v>
      </c>
      <c r="C439" s="5">
        <v>45918.11777777778</v>
      </c>
      <c r="D439" s="5">
        <v>45961</v>
      </c>
      <c r="E439" s="6">
        <f>IF(AND(C439&lt;&gt;"",D439&lt;&gt;""),D439-C439,"")</f>
        <v>0</v>
      </c>
      <c r="F439" s="4" t="s">
        <v>653</v>
      </c>
      <c r="G439" s="4" t="s">
        <v>654</v>
      </c>
      <c r="H439" s="4" t="s">
        <v>32</v>
      </c>
      <c r="I439" s="4" t="s">
        <v>33</v>
      </c>
      <c r="J439" s="4">
        <v>5</v>
      </c>
      <c r="K439" s="4">
        <v>5</v>
      </c>
      <c r="L439" s="4">
        <f>J439+K439</f>
        <v>0</v>
      </c>
      <c r="M439" s="4"/>
      <c r="N439" s="4"/>
      <c r="O439" s="4">
        <v>0</v>
      </c>
      <c r="P439" s="4"/>
      <c r="Q439" s="4"/>
      <c r="R439" s="7">
        <v>0</v>
      </c>
      <c r="S439" s="7">
        <v>0</v>
      </c>
      <c r="T439" s="7">
        <f>R439-S439</f>
        <v>0</v>
      </c>
      <c r="U439" s="7">
        <f>T439*O439</f>
        <v>0</v>
      </c>
    </row>
    <row r="440" spans="1:21">
      <c r="A440" s="4" t="s">
        <v>655</v>
      </c>
      <c r="B440" s="4" t="s">
        <v>48</v>
      </c>
      <c r="C440" s="5">
        <v>45918.13236111111</v>
      </c>
      <c r="D440" s="5">
        <v>45961</v>
      </c>
      <c r="E440" s="6">
        <f>IF(AND(C440&lt;&gt;"",D440&lt;&gt;""),D440-C440,"")</f>
        <v>0</v>
      </c>
      <c r="F440" s="4" t="s">
        <v>656</v>
      </c>
      <c r="G440" s="4" t="s">
        <v>657</v>
      </c>
      <c r="H440" s="4" t="s">
        <v>32</v>
      </c>
      <c r="I440" s="4" t="s">
        <v>33</v>
      </c>
      <c r="J440" s="4">
        <v>1</v>
      </c>
      <c r="K440" s="4">
        <v>1</v>
      </c>
      <c r="L440" s="4">
        <f>J440+K440</f>
        <v>0</v>
      </c>
      <c r="M440" s="4"/>
      <c r="N440" s="4"/>
      <c r="O440" s="4">
        <v>0</v>
      </c>
      <c r="P440" s="4"/>
      <c r="Q440" s="4"/>
      <c r="R440" s="7">
        <v>0</v>
      </c>
      <c r="S440" s="7">
        <v>0</v>
      </c>
      <c r="T440" s="7">
        <f>R440-S440</f>
        <v>0</v>
      </c>
      <c r="U440" s="7">
        <f>T440*O440</f>
        <v>0</v>
      </c>
    </row>
    <row r="441" spans="1:21">
      <c r="A441" s="4" t="s">
        <v>658</v>
      </c>
      <c r="B441" s="4" t="s">
        <v>39</v>
      </c>
      <c r="C441" s="5">
        <v>45918.13351851852</v>
      </c>
      <c r="D441" s="5">
        <v>45918</v>
      </c>
      <c r="E441" s="6">
        <f>IF(AND(C441&lt;&gt;"",D441&lt;&gt;""),D441-C441,"")</f>
        <v>0</v>
      </c>
      <c r="F441" s="4" t="s">
        <v>656</v>
      </c>
      <c r="G441" s="4" t="s">
        <v>657</v>
      </c>
      <c r="H441" s="4" t="s">
        <v>32</v>
      </c>
      <c r="I441" s="4" t="s">
        <v>33</v>
      </c>
      <c r="J441" s="4">
        <v>1</v>
      </c>
      <c r="K441" s="4">
        <v>0</v>
      </c>
      <c r="L441" s="4">
        <f>J441+K441</f>
        <v>0</v>
      </c>
      <c r="M441" s="4" t="s">
        <v>80</v>
      </c>
      <c r="N441" s="4"/>
      <c r="O441" s="4">
        <v>1</v>
      </c>
      <c r="P441" s="4" t="s">
        <v>135</v>
      </c>
      <c r="Q441" s="4"/>
      <c r="R441" s="7">
        <v>610000</v>
      </c>
      <c r="S441" s="7">
        <v>0</v>
      </c>
      <c r="T441" s="7">
        <f>R441-S441</f>
        <v>0</v>
      </c>
      <c r="U441" s="7">
        <f>T441*O441</f>
        <v>0</v>
      </c>
    </row>
    <row r="442" spans="1:21">
      <c r="A442" s="4" t="s">
        <v>658</v>
      </c>
      <c r="B442" s="4" t="s">
        <v>39</v>
      </c>
      <c r="C442" s="5">
        <v>45918.13351851852</v>
      </c>
      <c r="D442" s="5">
        <v>45918</v>
      </c>
      <c r="E442" s="6">
        <f>IF(AND(C442&lt;&gt;"",D442&lt;&gt;""),D442-C442,"")</f>
        <v>0</v>
      </c>
      <c r="F442" s="4" t="s">
        <v>656</v>
      </c>
      <c r="G442" s="4" t="s">
        <v>657</v>
      </c>
      <c r="H442" s="4" t="s">
        <v>32</v>
      </c>
      <c r="I442" s="4" t="s">
        <v>33</v>
      </c>
      <c r="J442" s="4">
        <v>0</v>
      </c>
      <c r="K442" s="4">
        <v>1</v>
      </c>
      <c r="L442" s="4">
        <f>J442+K442</f>
        <v>0</v>
      </c>
      <c r="M442" s="4" t="s">
        <v>46</v>
      </c>
      <c r="N442" s="4"/>
      <c r="O442" s="4">
        <v>1</v>
      </c>
      <c r="P442" s="4" t="s">
        <v>135</v>
      </c>
      <c r="Q442" s="4"/>
      <c r="R442" s="7">
        <v>-292500</v>
      </c>
      <c r="S442" s="7">
        <v>0</v>
      </c>
      <c r="T442" s="7">
        <f>R442-S442</f>
        <v>0</v>
      </c>
      <c r="U442" s="7">
        <f>T442*O442</f>
        <v>0</v>
      </c>
    </row>
    <row r="443" spans="1:21">
      <c r="A443" s="4" t="s">
        <v>659</v>
      </c>
      <c r="B443" s="4" t="s">
        <v>39</v>
      </c>
      <c r="C443" s="5">
        <v>45918.14306712963</v>
      </c>
      <c r="D443" s="5">
        <v>45918</v>
      </c>
      <c r="E443" s="6">
        <f>IF(AND(C443&lt;&gt;"",D443&lt;&gt;""),D443-C443,"")</f>
        <v>0</v>
      </c>
      <c r="F443" s="4" t="s">
        <v>660</v>
      </c>
      <c r="G443" s="4" t="s">
        <v>661</v>
      </c>
      <c r="H443" s="4" t="s">
        <v>662</v>
      </c>
      <c r="I443" s="4" t="s">
        <v>56</v>
      </c>
      <c r="J443" s="4">
        <v>0</v>
      </c>
      <c r="K443" s="4">
        <v>0</v>
      </c>
      <c r="L443" s="4">
        <f>J443+K443</f>
        <v>0</v>
      </c>
      <c r="M443" s="4" t="s">
        <v>370</v>
      </c>
      <c r="N443" s="4"/>
      <c r="O443" s="4">
        <v>1</v>
      </c>
      <c r="P443" s="4" t="s">
        <v>135</v>
      </c>
      <c r="Q443" s="4" t="s">
        <v>44</v>
      </c>
      <c r="R443" s="7">
        <v>1000000</v>
      </c>
      <c r="S443" s="7">
        <v>0</v>
      </c>
      <c r="T443" s="7">
        <f>R443-S443</f>
        <v>0</v>
      </c>
      <c r="U443" s="7">
        <f>T443*O443</f>
        <v>0</v>
      </c>
    </row>
    <row r="444" spans="1:21">
      <c r="A444" s="4" t="s">
        <v>659</v>
      </c>
      <c r="B444" s="4" t="s">
        <v>39</v>
      </c>
      <c r="C444" s="5">
        <v>45918.14306712963</v>
      </c>
      <c r="D444" s="5">
        <v>45918</v>
      </c>
      <c r="E444" s="6">
        <f>IF(AND(C444&lt;&gt;"",D444&lt;&gt;""),D444-C444,"")</f>
        <v>0</v>
      </c>
      <c r="F444" s="4" t="s">
        <v>660</v>
      </c>
      <c r="G444" s="4" t="s">
        <v>661</v>
      </c>
      <c r="H444" s="4" t="s">
        <v>662</v>
      </c>
      <c r="I444" s="4" t="s">
        <v>56</v>
      </c>
      <c r="J444" s="4">
        <v>2</v>
      </c>
      <c r="K444" s="4">
        <v>0</v>
      </c>
      <c r="L444" s="4">
        <f>J444+K444</f>
        <v>0</v>
      </c>
      <c r="M444" s="4" t="s">
        <v>80</v>
      </c>
      <c r="N444" s="4"/>
      <c r="O444" s="4">
        <v>2</v>
      </c>
      <c r="P444" s="4" t="s">
        <v>135</v>
      </c>
      <c r="Q444" s="4" t="s">
        <v>44</v>
      </c>
      <c r="R444" s="7">
        <v>610000</v>
      </c>
      <c r="S444" s="7">
        <v>0</v>
      </c>
      <c r="T444" s="7">
        <f>R444-S444</f>
        <v>0</v>
      </c>
      <c r="U444" s="7">
        <f>T444*O444</f>
        <v>0</v>
      </c>
    </row>
    <row r="445" spans="1:21">
      <c r="A445" s="4" t="s">
        <v>659</v>
      </c>
      <c r="B445" s="4" t="s">
        <v>39</v>
      </c>
      <c r="C445" s="5">
        <v>45918.14306712963</v>
      </c>
      <c r="D445" s="5">
        <v>45918</v>
      </c>
      <c r="E445" s="6">
        <f>IF(AND(C445&lt;&gt;"",D445&lt;&gt;""),D445-C445,"")</f>
        <v>0</v>
      </c>
      <c r="F445" s="4" t="s">
        <v>660</v>
      </c>
      <c r="G445" s="4" t="s">
        <v>661</v>
      </c>
      <c r="H445" s="4" t="s">
        <v>662</v>
      </c>
      <c r="I445" s="4" t="s">
        <v>56</v>
      </c>
      <c r="J445" s="4">
        <v>0</v>
      </c>
      <c r="K445" s="4">
        <v>1</v>
      </c>
      <c r="L445" s="4">
        <f>J445+K445</f>
        <v>0</v>
      </c>
      <c r="M445" s="4" t="s">
        <v>81</v>
      </c>
      <c r="N445" s="4"/>
      <c r="O445" s="4">
        <v>1</v>
      </c>
      <c r="P445" s="4" t="s">
        <v>135</v>
      </c>
      <c r="Q445" s="4" t="s">
        <v>44</v>
      </c>
      <c r="R445" s="7">
        <v>495000</v>
      </c>
      <c r="S445" s="7">
        <v>0</v>
      </c>
      <c r="T445" s="7">
        <f>R445-S445</f>
        <v>0</v>
      </c>
      <c r="U445" s="7">
        <f>T445*O445</f>
        <v>0</v>
      </c>
    </row>
    <row r="446" spans="1:21">
      <c r="A446" s="4" t="s">
        <v>663</v>
      </c>
      <c r="B446" s="4" t="s">
        <v>48</v>
      </c>
      <c r="C446" s="5">
        <v>45918.14506944444</v>
      </c>
      <c r="D446" s="5">
        <v>45961</v>
      </c>
      <c r="E446" s="6">
        <f>IF(AND(C446&lt;&gt;"",D446&lt;&gt;""),D446-C446,"")</f>
        <v>0</v>
      </c>
      <c r="F446" s="4" t="s">
        <v>64</v>
      </c>
      <c r="G446" s="4" t="s">
        <v>664</v>
      </c>
      <c r="H446" s="4" t="s">
        <v>32</v>
      </c>
      <c r="I446" s="4" t="s">
        <v>33</v>
      </c>
      <c r="J446" s="4">
        <v>2</v>
      </c>
      <c r="K446" s="4">
        <v>2</v>
      </c>
      <c r="L446" s="4">
        <f>J446+K446</f>
        <v>0</v>
      </c>
      <c r="M446" s="4"/>
      <c r="N446" s="4"/>
      <c r="O446" s="4">
        <v>0</v>
      </c>
      <c r="P446" s="4"/>
      <c r="Q446" s="4"/>
      <c r="R446" s="7">
        <v>0</v>
      </c>
      <c r="S446" s="7">
        <v>0</v>
      </c>
      <c r="T446" s="7">
        <f>R446-S446</f>
        <v>0</v>
      </c>
      <c r="U446" s="7">
        <f>T446*O446</f>
        <v>0</v>
      </c>
    </row>
    <row r="447" spans="1:21">
      <c r="A447" s="4" t="s">
        <v>665</v>
      </c>
      <c r="B447" s="4" t="s">
        <v>39</v>
      </c>
      <c r="C447" s="5">
        <v>45918.14658564814</v>
      </c>
      <c r="D447" s="5">
        <v>45918</v>
      </c>
      <c r="E447" s="6">
        <f>IF(AND(C447&lt;&gt;"",D447&lt;&gt;""),D447-C447,"")</f>
        <v>0</v>
      </c>
      <c r="F447" s="4" t="s">
        <v>64</v>
      </c>
      <c r="G447" s="4" t="s">
        <v>664</v>
      </c>
      <c r="H447" s="4" t="s">
        <v>32</v>
      </c>
      <c r="I447" s="4" t="s">
        <v>33</v>
      </c>
      <c r="J447" s="4">
        <v>1</v>
      </c>
      <c r="K447" s="4">
        <v>0</v>
      </c>
      <c r="L447" s="4">
        <f>J447+K447</f>
        <v>0</v>
      </c>
      <c r="M447" s="4" t="s">
        <v>42</v>
      </c>
      <c r="N447" s="4"/>
      <c r="O447" s="4">
        <v>1</v>
      </c>
      <c r="P447" s="4" t="s">
        <v>135</v>
      </c>
      <c r="Q447" s="4"/>
      <c r="R447" s="7">
        <v>-333000</v>
      </c>
      <c r="S447" s="7">
        <v>0</v>
      </c>
      <c r="T447" s="7">
        <f>R447-S447</f>
        <v>0</v>
      </c>
      <c r="U447" s="7">
        <f>T447*O447</f>
        <v>0</v>
      </c>
    </row>
    <row r="448" spans="1:21">
      <c r="A448" s="4" t="s">
        <v>665</v>
      </c>
      <c r="B448" s="4" t="s">
        <v>39</v>
      </c>
      <c r="C448" s="5">
        <v>45918.14658564814</v>
      </c>
      <c r="D448" s="5">
        <v>45918</v>
      </c>
      <c r="E448" s="6">
        <f>IF(AND(C448&lt;&gt;"",D448&lt;&gt;""),D448-C448,"")</f>
        <v>0</v>
      </c>
      <c r="F448" s="4" t="s">
        <v>64</v>
      </c>
      <c r="G448" s="4" t="s">
        <v>664</v>
      </c>
      <c r="H448" s="4" t="s">
        <v>32</v>
      </c>
      <c r="I448" s="4" t="s">
        <v>33</v>
      </c>
      <c r="J448" s="4">
        <v>0</v>
      </c>
      <c r="K448" s="4">
        <v>0</v>
      </c>
      <c r="L448" s="4">
        <f>J448+K448</f>
        <v>0</v>
      </c>
      <c r="M448" s="4" t="s">
        <v>370</v>
      </c>
      <c r="N448" s="4"/>
      <c r="O448" s="4">
        <v>1</v>
      </c>
      <c r="P448" s="4" t="s">
        <v>135</v>
      </c>
      <c r="Q448" s="4"/>
      <c r="R448" s="7">
        <v>300000</v>
      </c>
      <c r="S448" s="7">
        <v>0</v>
      </c>
      <c r="T448" s="7">
        <f>R448-S448</f>
        <v>0</v>
      </c>
      <c r="U448" s="7">
        <f>T448*O448</f>
        <v>0</v>
      </c>
    </row>
    <row r="449" spans="1:21">
      <c r="A449" s="4" t="s">
        <v>665</v>
      </c>
      <c r="B449" s="4" t="s">
        <v>39</v>
      </c>
      <c r="C449" s="5">
        <v>45918.14658564814</v>
      </c>
      <c r="D449" s="5">
        <v>45918</v>
      </c>
      <c r="E449" s="6">
        <f>IF(AND(C449&lt;&gt;"",D449&lt;&gt;""),D449-C449,"")</f>
        <v>0</v>
      </c>
      <c r="F449" s="4" t="s">
        <v>64</v>
      </c>
      <c r="G449" s="4" t="s">
        <v>664</v>
      </c>
      <c r="H449" s="4" t="s">
        <v>32</v>
      </c>
      <c r="I449" s="4" t="s">
        <v>33</v>
      </c>
      <c r="J449" s="4">
        <v>0</v>
      </c>
      <c r="K449" s="4">
        <v>1</v>
      </c>
      <c r="L449" s="4">
        <f>J449+K449</f>
        <v>0</v>
      </c>
      <c r="M449" s="4" t="s">
        <v>46</v>
      </c>
      <c r="N449" s="4"/>
      <c r="O449" s="4">
        <v>1</v>
      </c>
      <c r="P449" s="4" t="s">
        <v>135</v>
      </c>
      <c r="Q449" s="4"/>
      <c r="R449" s="7">
        <v>325000</v>
      </c>
      <c r="S449" s="7">
        <v>0</v>
      </c>
      <c r="T449" s="7">
        <f>R449-S449</f>
        <v>0</v>
      </c>
      <c r="U449" s="7">
        <f>T449*O449</f>
        <v>0</v>
      </c>
    </row>
    <row r="450" spans="1:21">
      <c r="A450" s="4" t="s">
        <v>666</v>
      </c>
      <c r="B450" s="4" t="s">
        <v>48</v>
      </c>
      <c r="C450" s="5">
        <v>45918.15773148148</v>
      </c>
      <c r="D450" s="5">
        <v>45961</v>
      </c>
      <c r="E450" s="6">
        <f>IF(AND(C450&lt;&gt;"",D450&lt;&gt;""),D450-C450,"")</f>
        <v>0</v>
      </c>
      <c r="F450" s="4" t="s">
        <v>667</v>
      </c>
      <c r="G450" s="4" t="s">
        <v>668</v>
      </c>
      <c r="H450" s="4" t="s">
        <v>32</v>
      </c>
      <c r="I450" s="4" t="s">
        <v>33</v>
      </c>
      <c r="J450" s="4">
        <v>2</v>
      </c>
      <c r="K450" s="4">
        <v>2</v>
      </c>
      <c r="L450" s="4">
        <f>J450+K450</f>
        <v>0</v>
      </c>
      <c r="M450" s="4"/>
      <c r="N450" s="4"/>
      <c r="O450" s="4">
        <v>0</v>
      </c>
      <c r="P450" s="4"/>
      <c r="Q450" s="4"/>
      <c r="R450" s="7">
        <v>0</v>
      </c>
      <c r="S450" s="7">
        <v>0</v>
      </c>
      <c r="T450" s="7">
        <f>R450-S450</f>
        <v>0</v>
      </c>
      <c r="U450" s="7">
        <f>T450*O450</f>
        <v>0</v>
      </c>
    </row>
    <row r="451" spans="1:21">
      <c r="A451" s="4" t="s">
        <v>669</v>
      </c>
      <c r="B451" s="4" t="s">
        <v>48</v>
      </c>
      <c r="C451" s="5">
        <v>45918.16050925926</v>
      </c>
      <c r="D451" s="5">
        <v>45961</v>
      </c>
      <c r="E451" s="6">
        <f>IF(AND(C451&lt;&gt;"",D451&lt;&gt;""),D451-C451,"")</f>
        <v>0</v>
      </c>
      <c r="F451" s="4" t="s">
        <v>64</v>
      </c>
      <c r="G451" s="4" t="s">
        <v>670</v>
      </c>
      <c r="H451" s="4" t="s">
        <v>32</v>
      </c>
      <c r="I451" s="4" t="s">
        <v>33</v>
      </c>
      <c r="J451" s="4">
        <v>2</v>
      </c>
      <c r="K451" s="4">
        <v>2</v>
      </c>
      <c r="L451" s="4">
        <f>J451+K451</f>
        <v>0</v>
      </c>
      <c r="M451" s="4"/>
      <c r="N451" s="4"/>
      <c r="O451" s="4">
        <v>0</v>
      </c>
      <c r="P451" s="4"/>
      <c r="Q451" s="4"/>
      <c r="R451" s="7">
        <v>0</v>
      </c>
      <c r="S451" s="7">
        <v>0</v>
      </c>
      <c r="T451" s="7">
        <f>R451-S451</f>
        <v>0</v>
      </c>
      <c r="U451" s="7">
        <f>T451*O451</f>
        <v>0</v>
      </c>
    </row>
    <row r="452" spans="1:21">
      <c r="A452" s="4" t="s">
        <v>671</v>
      </c>
      <c r="B452" s="4" t="s">
        <v>29</v>
      </c>
      <c r="C452" s="5">
        <v>45918.16065972222</v>
      </c>
      <c r="D452" s="5">
        <v>45961</v>
      </c>
      <c r="E452" s="6">
        <f>IF(AND(C452&lt;&gt;"",D452&lt;&gt;""),D452-C452,"")</f>
        <v>0</v>
      </c>
      <c r="F452" s="4" t="s">
        <v>672</v>
      </c>
      <c r="G452" s="4" t="s">
        <v>673</v>
      </c>
      <c r="H452" s="4"/>
      <c r="I452" s="4" t="s">
        <v>56</v>
      </c>
      <c r="J452" s="4">
        <v>1</v>
      </c>
      <c r="K452" s="4">
        <v>0</v>
      </c>
      <c r="L452" s="4">
        <f>J452+K452</f>
        <v>0</v>
      </c>
      <c r="M452" s="4"/>
      <c r="N452" s="4"/>
      <c r="O452" s="4">
        <v>0</v>
      </c>
      <c r="P452" s="4"/>
      <c r="Q452" s="4"/>
      <c r="R452" s="7">
        <v>0</v>
      </c>
      <c r="S452" s="7">
        <v>0</v>
      </c>
      <c r="T452" s="7">
        <f>R452-S452</f>
        <v>0</v>
      </c>
      <c r="U452" s="7">
        <f>T452*O452</f>
        <v>0</v>
      </c>
    </row>
    <row r="453" spans="1:21">
      <c r="A453" s="4" t="s">
        <v>674</v>
      </c>
      <c r="B453" s="4" t="s">
        <v>29</v>
      </c>
      <c r="C453" s="5">
        <v>45918.16069444444</v>
      </c>
      <c r="D453" s="5">
        <v>45961</v>
      </c>
      <c r="E453" s="6">
        <f>IF(AND(C453&lt;&gt;"",D453&lt;&gt;""),D453-C453,"")</f>
        <v>0</v>
      </c>
      <c r="F453" s="4" t="s">
        <v>672</v>
      </c>
      <c r="G453" s="4" t="s">
        <v>673</v>
      </c>
      <c r="H453" s="4"/>
      <c r="I453" s="4" t="s">
        <v>56</v>
      </c>
      <c r="J453" s="4">
        <v>2</v>
      </c>
      <c r="K453" s="4">
        <v>0</v>
      </c>
      <c r="L453" s="4">
        <f>J453+K453</f>
        <v>0</v>
      </c>
      <c r="M453" s="4"/>
      <c r="N453" s="4"/>
      <c r="O453" s="4">
        <v>0</v>
      </c>
      <c r="P453" s="4"/>
      <c r="Q453" s="4"/>
      <c r="R453" s="7">
        <v>0</v>
      </c>
      <c r="S453" s="7">
        <v>0</v>
      </c>
      <c r="T453" s="7">
        <f>R453-S453</f>
        <v>0</v>
      </c>
      <c r="U453" s="7">
        <f>T453*O453</f>
        <v>0</v>
      </c>
    </row>
    <row r="454" spans="1:21">
      <c r="A454" s="4" t="s">
        <v>675</v>
      </c>
      <c r="B454" s="4" t="s">
        <v>29</v>
      </c>
      <c r="C454" s="5">
        <v>45918.16072916667</v>
      </c>
      <c r="D454" s="5">
        <v>45961</v>
      </c>
      <c r="E454" s="6">
        <f>IF(AND(C454&lt;&gt;"",D454&lt;&gt;""),D454-C454,"")</f>
        <v>0</v>
      </c>
      <c r="F454" s="4" t="s">
        <v>672</v>
      </c>
      <c r="G454" s="4" t="s">
        <v>673</v>
      </c>
      <c r="H454" s="4"/>
      <c r="I454" s="4" t="s">
        <v>56</v>
      </c>
      <c r="J454" s="4">
        <v>1</v>
      </c>
      <c r="K454" s="4">
        <v>0</v>
      </c>
      <c r="L454" s="4">
        <f>J454+K454</f>
        <v>0</v>
      </c>
      <c r="M454" s="4"/>
      <c r="N454" s="4"/>
      <c r="O454" s="4">
        <v>0</v>
      </c>
      <c r="P454" s="4"/>
      <c r="Q454" s="4"/>
      <c r="R454" s="7">
        <v>0</v>
      </c>
      <c r="S454" s="7">
        <v>0</v>
      </c>
      <c r="T454" s="7">
        <f>R454-S454</f>
        <v>0</v>
      </c>
      <c r="U454" s="7">
        <f>T454*O454</f>
        <v>0</v>
      </c>
    </row>
    <row r="455" spans="1:21">
      <c r="A455" s="4" t="s">
        <v>676</v>
      </c>
      <c r="B455" s="4" t="s">
        <v>29</v>
      </c>
      <c r="C455" s="5">
        <v>45918.16077546297</v>
      </c>
      <c r="D455" s="5">
        <v>45961</v>
      </c>
      <c r="E455" s="6">
        <f>IF(AND(C455&lt;&gt;"",D455&lt;&gt;""),D455-C455,"")</f>
        <v>0</v>
      </c>
      <c r="F455" s="4" t="s">
        <v>672</v>
      </c>
      <c r="G455" s="4" t="s">
        <v>673</v>
      </c>
      <c r="H455" s="4"/>
      <c r="I455" s="4" t="s">
        <v>56</v>
      </c>
      <c r="J455" s="4">
        <v>6</v>
      </c>
      <c r="K455" s="4">
        <v>0</v>
      </c>
      <c r="L455" s="4">
        <f>J455+K455</f>
        <v>0</v>
      </c>
      <c r="M455" s="4"/>
      <c r="N455" s="4"/>
      <c r="O455" s="4">
        <v>0</v>
      </c>
      <c r="P455" s="4"/>
      <c r="Q455" s="4"/>
      <c r="R455" s="7">
        <v>0</v>
      </c>
      <c r="S455" s="7">
        <v>0</v>
      </c>
      <c r="T455" s="7">
        <f>R455-S455</f>
        <v>0</v>
      </c>
      <c r="U455" s="7">
        <f>T455*O455</f>
        <v>0</v>
      </c>
    </row>
    <row r="456" spans="1:21">
      <c r="A456" s="4" t="s">
        <v>677</v>
      </c>
      <c r="B456" s="4" t="s">
        <v>29</v>
      </c>
      <c r="C456" s="5">
        <v>45918.16083333334</v>
      </c>
      <c r="D456" s="5">
        <v>45961</v>
      </c>
      <c r="E456" s="6">
        <f>IF(AND(C456&lt;&gt;"",D456&lt;&gt;""),D456-C456,"")</f>
        <v>0</v>
      </c>
      <c r="F456" s="4" t="s">
        <v>672</v>
      </c>
      <c r="G456" s="4" t="s">
        <v>673</v>
      </c>
      <c r="H456" s="4"/>
      <c r="I456" s="4" t="s">
        <v>56</v>
      </c>
      <c r="J456" s="4">
        <v>1</v>
      </c>
      <c r="K456" s="4">
        <v>0</v>
      </c>
      <c r="L456" s="4">
        <f>J456+K456</f>
        <v>0</v>
      </c>
      <c r="M456" s="4"/>
      <c r="N456" s="4"/>
      <c r="O456" s="4">
        <v>0</v>
      </c>
      <c r="P456" s="4"/>
      <c r="Q456" s="4"/>
      <c r="R456" s="7">
        <v>0</v>
      </c>
      <c r="S456" s="7">
        <v>0</v>
      </c>
      <c r="T456" s="7">
        <f>R456-S456</f>
        <v>0</v>
      </c>
      <c r="U456" s="7">
        <f>T456*O456</f>
        <v>0</v>
      </c>
    </row>
    <row r="457" spans="1:21">
      <c r="A457" s="4" t="s">
        <v>678</v>
      </c>
      <c r="B457" s="4" t="s">
        <v>48</v>
      </c>
      <c r="C457" s="5">
        <v>45918.18729166667</v>
      </c>
      <c r="D457" s="5">
        <v>45961</v>
      </c>
      <c r="E457" s="6">
        <f>IF(AND(C457&lt;&gt;"",D457&lt;&gt;""),D457-C457,"")</f>
        <v>0</v>
      </c>
      <c r="F457" s="4" t="s">
        <v>679</v>
      </c>
      <c r="G457" s="4" t="s">
        <v>680</v>
      </c>
      <c r="H457" s="4" t="s">
        <v>32</v>
      </c>
      <c r="I457" s="4" t="s">
        <v>33</v>
      </c>
      <c r="J457" s="4">
        <v>1</v>
      </c>
      <c r="K457" s="4">
        <v>0</v>
      </c>
      <c r="L457" s="4">
        <f>J457+K457</f>
        <v>0</v>
      </c>
      <c r="M457" s="4"/>
      <c r="N457" s="4"/>
      <c r="O457" s="4">
        <v>0</v>
      </c>
      <c r="P457" s="4"/>
      <c r="Q457" s="4"/>
      <c r="R457" s="7">
        <v>0</v>
      </c>
      <c r="S457" s="7">
        <v>0</v>
      </c>
      <c r="T457" s="7">
        <f>R457-S457</f>
        <v>0</v>
      </c>
      <c r="U457" s="7">
        <f>T457*O457</f>
        <v>0</v>
      </c>
    </row>
    <row r="458" spans="1:21">
      <c r="A458" s="4" t="s">
        <v>681</v>
      </c>
      <c r="B458" s="4" t="s">
        <v>29</v>
      </c>
      <c r="C458" s="5">
        <v>45918.18924768519</v>
      </c>
      <c r="D458" s="5">
        <v>45961</v>
      </c>
      <c r="E458" s="6">
        <f>IF(AND(C458&lt;&gt;"",D458&lt;&gt;""),D458-C458,"")</f>
        <v>0</v>
      </c>
      <c r="F458" s="4" t="s">
        <v>672</v>
      </c>
      <c r="G458" s="4" t="s">
        <v>673</v>
      </c>
      <c r="H458" s="4"/>
      <c r="I458" s="4" t="s">
        <v>56</v>
      </c>
      <c r="J458" s="4">
        <v>0</v>
      </c>
      <c r="K458" s="4">
        <v>3</v>
      </c>
      <c r="L458" s="4">
        <f>J458+K458</f>
        <v>0</v>
      </c>
      <c r="M458" s="4"/>
      <c r="N458" s="4"/>
      <c r="O458" s="4">
        <v>0</v>
      </c>
      <c r="P458" s="4"/>
      <c r="Q458" s="4"/>
      <c r="R458" s="7">
        <v>0</v>
      </c>
      <c r="S458" s="7">
        <v>0</v>
      </c>
      <c r="T458" s="7">
        <f>R458-S458</f>
        <v>0</v>
      </c>
      <c r="U458" s="7">
        <f>T458*O458</f>
        <v>0</v>
      </c>
    </row>
    <row r="459" spans="1:21">
      <c r="A459" s="4" t="s">
        <v>682</v>
      </c>
      <c r="B459" s="4" t="s">
        <v>48</v>
      </c>
      <c r="C459" s="5">
        <v>45918.19414351852</v>
      </c>
      <c r="D459" s="5">
        <v>45961</v>
      </c>
      <c r="E459" s="6">
        <f>IF(AND(C459&lt;&gt;"",D459&lt;&gt;""),D459-C459,"")</f>
        <v>0</v>
      </c>
      <c r="F459" s="4" t="s">
        <v>64</v>
      </c>
      <c r="G459" s="4" t="s">
        <v>683</v>
      </c>
      <c r="H459" s="4" t="s">
        <v>32</v>
      </c>
      <c r="I459" s="4" t="s">
        <v>33</v>
      </c>
      <c r="J459" s="4">
        <v>1</v>
      </c>
      <c r="K459" s="4">
        <v>0</v>
      </c>
      <c r="L459" s="4">
        <f>J459+K459</f>
        <v>0</v>
      </c>
      <c r="M459" s="4"/>
      <c r="N459" s="4"/>
      <c r="O459" s="4">
        <v>0</v>
      </c>
      <c r="P459" s="4"/>
      <c r="Q459" s="4"/>
      <c r="R459" s="7">
        <v>0</v>
      </c>
      <c r="S459" s="7">
        <v>0</v>
      </c>
      <c r="T459" s="7">
        <f>R459-S459</f>
        <v>0</v>
      </c>
      <c r="U459" s="7">
        <f>T459*O459</f>
        <v>0</v>
      </c>
    </row>
    <row r="460" spans="1:21">
      <c r="A460" s="4" t="s">
        <v>684</v>
      </c>
      <c r="B460" s="4"/>
      <c r="C460" s="5">
        <v>45918.20081018518</v>
      </c>
      <c r="D460" s="5">
        <v>45961</v>
      </c>
      <c r="E460" s="6">
        <f>IF(AND(C460&lt;&gt;"",D460&lt;&gt;""),D460-C460,"")</f>
        <v>0</v>
      </c>
      <c r="F460" s="4" t="s">
        <v>581</v>
      </c>
      <c r="G460" s="4" t="s">
        <v>154</v>
      </c>
      <c r="H460" s="4" t="s">
        <v>582</v>
      </c>
      <c r="I460" s="4" t="s">
        <v>56</v>
      </c>
      <c r="J460" s="4">
        <v>2</v>
      </c>
      <c r="K460" s="4">
        <v>0</v>
      </c>
      <c r="L460" s="4">
        <f>J460+K460</f>
        <v>0</v>
      </c>
      <c r="M460" s="4"/>
      <c r="N460" s="4"/>
      <c r="O460" s="4">
        <v>0</v>
      </c>
      <c r="P460" s="4"/>
      <c r="Q460" s="4"/>
      <c r="R460" s="7">
        <v>0</v>
      </c>
      <c r="S460" s="7">
        <v>0</v>
      </c>
      <c r="T460" s="7">
        <f>R460-S460</f>
        <v>0</v>
      </c>
      <c r="U460" s="7">
        <f>T460*O460</f>
        <v>0</v>
      </c>
    </row>
    <row r="461" spans="1:21">
      <c r="A461" s="4" t="s">
        <v>685</v>
      </c>
      <c r="B461" s="4" t="s">
        <v>29</v>
      </c>
      <c r="C461" s="5">
        <v>45918.20259259259</v>
      </c>
      <c r="D461" s="5">
        <v>45961</v>
      </c>
      <c r="E461" s="6">
        <f>IF(AND(C461&lt;&gt;"",D461&lt;&gt;""),D461-C461,"")</f>
        <v>0</v>
      </c>
      <c r="F461" s="4" t="s">
        <v>672</v>
      </c>
      <c r="G461" s="4" t="s">
        <v>673</v>
      </c>
      <c r="H461" s="4"/>
      <c r="I461" s="4" t="s">
        <v>56</v>
      </c>
      <c r="J461" s="4">
        <v>1</v>
      </c>
      <c r="K461" s="4">
        <v>1</v>
      </c>
      <c r="L461" s="4">
        <f>J461+K461</f>
        <v>0</v>
      </c>
      <c r="M461" s="4"/>
      <c r="N461" s="4"/>
      <c r="O461" s="4">
        <v>0</v>
      </c>
      <c r="P461" s="4"/>
      <c r="Q461" s="4"/>
      <c r="R461" s="7">
        <v>0</v>
      </c>
      <c r="S461" s="7">
        <v>0</v>
      </c>
      <c r="T461" s="7">
        <f>R461-S461</f>
        <v>0</v>
      </c>
      <c r="U461" s="7">
        <f>T461*O461</f>
        <v>0</v>
      </c>
    </row>
    <row r="462" spans="1:21">
      <c r="A462" s="4" t="s">
        <v>686</v>
      </c>
      <c r="B462" s="4" t="s">
        <v>29</v>
      </c>
      <c r="C462" s="5">
        <v>45918.25027777778</v>
      </c>
      <c r="D462" s="5">
        <v>45961</v>
      </c>
      <c r="E462" s="6">
        <f>IF(AND(C462&lt;&gt;"",D462&lt;&gt;""),D462-C462,"")</f>
        <v>0</v>
      </c>
      <c r="F462" s="4" t="s">
        <v>307</v>
      </c>
      <c r="G462" s="4" t="s">
        <v>308</v>
      </c>
      <c r="H462" s="4" t="s">
        <v>190</v>
      </c>
      <c r="I462" s="4" t="s">
        <v>56</v>
      </c>
      <c r="J462" s="4">
        <v>1</v>
      </c>
      <c r="K462" s="4">
        <v>0</v>
      </c>
      <c r="L462" s="4">
        <f>J462+K462</f>
        <v>0</v>
      </c>
      <c r="M462" s="4"/>
      <c r="N462" s="4"/>
      <c r="O462" s="4">
        <v>0</v>
      </c>
      <c r="P462" s="4"/>
      <c r="Q462" s="4"/>
      <c r="R462" s="7">
        <v>0</v>
      </c>
      <c r="S462" s="7">
        <v>0</v>
      </c>
      <c r="T462" s="7">
        <f>R462-S462</f>
        <v>0</v>
      </c>
      <c r="U462" s="7">
        <f>T462*O462</f>
        <v>0</v>
      </c>
    </row>
    <row r="463" spans="1:21">
      <c r="A463" s="4" t="s">
        <v>687</v>
      </c>
      <c r="B463" s="4" t="s">
        <v>48</v>
      </c>
      <c r="C463" s="5">
        <v>45918.27800925926</v>
      </c>
      <c r="D463" s="5">
        <v>45961</v>
      </c>
      <c r="E463" s="6">
        <f>IF(AND(C463&lt;&gt;"",D463&lt;&gt;""),D463-C463,"")</f>
        <v>0</v>
      </c>
      <c r="F463" s="4" t="s">
        <v>64</v>
      </c>
      <c r="G463" s="4" t="s">
        <v>688</v>
      </c>
      <c r="H463" s="4" t="s">
        <v>32</v>
      </c>
      <c r="I463" s="4" t="s">
        <v>33</v>
      </c>
      <c r="J463" s="4">
        <v>1</v>
      </c>
      <c r="K463" s="4">
        <v>1</v>
      </c>
      <c r="L463" s="4">
        <f>J463+K463</f>
        <v>0</v>
      </c>
      <c r="M463" s="4"/>
      <c r="N463" s="4"/>
      <c r="O463" s="4">
        <v>0</v>
      </c>
      <c r="P463" s="4"/>
      <c r="Q463" s="4"/>
      <c r="R463" s="7">
        <v>0</v>
      </c>
      <c r="S463" s="7">
        <v>0</v>
      </c>
      <c r="T463" s="7">
        <f>R463-S463</f>
        <v>0</v>
      </c>
      <c r="U463" s="7">
        <f>T463*O463</f>
        <v>0</v>
      </c>
    </row>
    <row r="464" spans="1:21">
      <c r="A464" s="4" t="s">
        <v>689</v>
      </c>
      <c r="B464" s="4" t="s">
        <v>39</v>
      </c>
      <c r="C464" s="5">
        <v>45918.28076388889</v>
      </c>
      <c r="D464" s="5">
        <v>45918</v>
      </c>
      <c r="E464" s="6">
        <f>IF(AND(C464&lt;&gt;"",D464&lt;&gt;""),D464-C464,"")</f>
        <v>0</v>
      </c>
      <c r="F464" s="4" t="s">
        <v>690</v>
      </c>
      <c r="G464" s="4" t="s">
        <v>691</v>
      </c>
      <c r="H464" s="4" t="s">
        <v>32</v>
      </c>
      <c r="I464" s="4" t="s">
        <v>33</v>
      </c>
      <c r="J464" s="4">
        <v>0</v>
      </c>
      <c r="K464" s="4">
        <v>0</v>
      </c>
      <c r="L464" s="4">
        <f>J464+K464</f>
        <v>0</v>
      </c>
      <c r="M464" s="4" t="s">
        <v>370</v>
      </c>
      <c r="N464" s="4"/>
      <c r="O464" s="4">
        <v>1</v>
      </c>
      <c r="P464" s="4" t="s">
        <v>135</v>
      </c>
      <c r="Q464" s="4" t="s">
        <v>44</v>
      </c>
      <c r="R464" s="7">
        <v>5000000</v>
      </c>
      <c r="S464" s="7">
        <v>0</v>
      </c>
      <c r="T464" s="7">
        <f>R464-S464</f>
        <v>0</v>
      </c>
      <c r="U464" s="7">
        <f>T464*O464</f>
        <v>0</v>
      </c>
    </row>
    <row r="465" spans="1:21">
      <c r="A465" s="4" t="s">
        <v>692</v>
      </c>
      <c r="B465" s="4" t="s">
        <v>39</v>
      </c>
      <c r="C465" s="5">
        <v>45918.28165509259</v>
      </c>
      <c r="D465" s="5">
        <v>45918</v>
      </c>
      <c r="E465" s="6">
        <f>IF(AND(C465&lt;&gt;"",D465&lt;&gt;""),D465-C465,"")</f>
        <v>0</v>
      </c>
      <c r="F465" s="4" t="s">
        <v>693</v>
      </c>
      <c r="G465" s="4" t="s">
        <v>694</v>
      </c>
      <c r="H465" s="4" t="s">
        <v>32</v>
      </c>
      <c r="I465" s="4" t="s">
        <v>33</v>
      </c>
      <c r="J465" s="4">
        <v>0</v>
      </c>
      <c r="K465" s="4">
        <v>0</v>
      </c>
      <c r="L465" s="4">
        <f>J465+K465</f>
        <v>0</v>
      </c>
      <c r="M465" s="4" t="s">
        <v>370</v>
      </c>
      <c r="N465" s="4"/>
      <c r="O465" s="4">
        <v>1</v>
      </c>
      <c r="P465" s="4" t="s">
        <v>43</v>
      </c>
      <c r="Q465" s="4" t="s">
        <v>44</v>
      </c>
      <c r="R465" s="7">
        <v>5000000</v>
      </c>
      <c r="S465" s="7">
        <v>0</v>
      </c>
      <c r="T465" s="7">
        <f>R465-S465</f>
        <v>0</v>
      </c>
      <c r="U465" s="7">
        <f>T465*O465</f>
        <v>0</v>
      </c>
    </row>
    <row r="466" spans="1:21">
      <c r="A466" s="4" t="s">
        <v>695</v>
      </c>
      <c r="B466" s="4" t="s">
        <v>48</v>
      </c>
      <c r="C466" s="5">
        <v>45918.29991898148</v>
      </c>
      <c r="D466" s="5">
        <v>45961</v>
      </c>
      <c r="E466" s="6">
        <f>IF(AND(C466&lt;&gt;"",D466&lt;&gt;""),D466-C466,"")</f>
        <v>0</v>
      </c>
      <c r="F466" s="4" t="s">
        <v>286</v>
      </c>
      <c r="G466" s="4" t="s">
        <v>287</v>
      </c>
      <c r="H466" s="4" t="s">
        <v>32</v>
      </c>
      <c r="I466" s="4" t="s">
        <v>33</v>
      </c>
      <c r="J466" s="4">
        <v>12</v>
      </c>
      <c r="K466" s="4">
        <v>0</v>
      </c>
      <c r="L466" s="4">
        <f>J466+K466</f>
        <v>0</v>
      </c>
      <c r="M466" s="4"/>
      <c r="N466" s="4"/>
      <c r="O466" s="4">
        <v>0</v>
      </c>
      <c r="P466" s="4"/>
      <c r="Q466" s="4"/>
      <c r="R466" s="7">
        <v>0</v>
      </c>
      <c r="S466" s="7">
        <v>0</v>
      </c>
      <c r="T466" s="7">
        <f>R466-S466</f>
        <v>0</v>
      </c>
      <c r="U466" s="7">
        <f>T466*O466</f>
        <v>0</v>
      </c>
    </row>
    <row r="467" spans="1:21">
      <c r="A467" s="4" t="s">
        <v>696</v>
      </c>
      <c r="B467" s="4"/>
      <c r="C467" s="5">
        <v>45918.34037037037</v>
      </c>
      <c r="D467" s="5">
        <v>45961</v>
      </c>
      <c r="E467" s="6">
        <f>IF(AND(C467&lt;&gt;"",D467&lt;&gt;""),D467-C467,"")</f>
        <v>0</v>
      </c>
      <c r="F467" s="4" t="s">
        <v>697</v>
      </c>
      <c r="G467" s="4" t="s">
        <v>698</v>
      </c>
      <c r="H467" s="4" t="s">
        <v>699</v>
      </c>
      <c r="I467" s="4" t="s">
        <v>56</v>
      </c>
      <c r="J467" s="4">
        <v>3</v>
      </c>
      <c r="K467" s="4">
        <v>0</v>
      </c>
      <c r="L467" s="4">
        <f>J467+K467</f>
        <v>0</v>
      </c>
      <c r="M467" s="4"/>
      <c r="N467" s="4"/>
      <c r="O467" s="4">
        <v>0</v>
      </c>
      <c r="P467" s="4"/>
      <c r="Q467" s="4"/>
      <c r="R467" s="7">
        <v>0</v>
      </c>
      <c r="S467" s="7">
        <v>0</v>
      </c>
      <c r="T467" s="7">
        <f>R467-S467</f>
        <v>0</v>
      </c>
      <c r="U467" s="7">
        <f>T467*O467</f>
        <v>0</v>
      </c>
    </row>
    <row r="468" spans="1:21">
      <c r="A468" s="4" t="s">
        <v>700</v>
      </c>
      <c r="B468" s="4" t="s">
        <v>29</v>
      </c>
      <c r="C468" s="5">
        <v>45918.57236111111</v>
      </c>
      <c r="D468" s="5">
        <v>45961</v>
      </c>
      <c r="E468" s="6">
        <f>IF(AND(C468&lt;&gt;"",D468&lt;&gt;""),D468-C468,"")</f>
        <v>0</v>
      </c>
      <c r="F468" s="4" t="s">
        <v>307</v>
      </c>
      <c r="G468" s="4" t="s">
        <v>308</v>
      </c>
      <c r="H468" s="4" t="s">
        <v>190</v>
      </c>
      <c r="I468" s="4" t="s">
        <v>56</v>
      </c>
      <c r="J468" s="4">
        <v>1</v>
      </c>
      <c r="K468" s="4">
        <v>0</v>
      </c>
      <c r="L468" s="4">
        <f>J468+K468</f>
        <v>0</v>
      </c>
      <c r="M468" s="4"/>
      <c r="N468" s="4"/>
      <c r="O468" s="4">
        <v>0</v>
      </c>
      <c r="P468" s="4"/>
      <c r="Q468" s="4"/>
      <c r="R468" s="7">
        <v>0</v>
      </c>
      <c r="S468" s="7">
        <v>0</v>
      </c>
      <c r="T468" s="7">
        <f>R468-S468</f>
        <v>0</v>
      </c>
      <c r="U468" s="7">
        <f>T468*O468</f>
        <v>0</v>
      </c>
    </row>
    <row r="469" spans="1:21">
      <c r="A469" s="4" t="s">
        <v>701</v>
      </c>
      <c r="B469" s="4" t="s">
        <v>29</v>
      </c>
      <c r="C469" s="5">
        <v>45918.64657407408</v>
      </c>
      <c r="D469" s="5">
        <v>45961</v>
      </c>
      <c r="E469" s="6">
        <f>IF(AND(C469&lt;&gt;"",D469&lt;&gt;""),D469-C469,"")</f>
        <v>0</v>
      </c>
      <c r="F469" s="4" t="s">
        <v>307</v>
      </c>
      <c r="G469" s="4" t="s">
        <v>308</v>
      </c>
      <c r="H469" s="4" t="s">
        <v>190</v>
      </c>
      <c r="I469" s="4" t="s">
        <v>56</v>
      </c>
      <c r="J469" s="4">
        <v>1</v>
      </c>
      <c r="K469" s="4">
        <v>0</v>
      </c>
      <c r="L469" s="4">
        <f>J469+K469</f>
        <v>0</v>
      </c>
      <c r="M469" s="4"/>
      <c r="N469" s="4"/>
      <c r="O469" s="4">
        <v>0</v>
      </c>
      <c r="P469" s="4"/>
      <c r="Q469" s="4"/>
      <c r="R469" s="7">
        <v>0</v>
      </c>
      <c r="S469" s="7">
        <v>0</v>
      </c>
      <c r="T469" s="7">
        <f>R469-S469</f>
        <v>0</v>
      </c>
      <c r="U469" s="7">
        <f>T469*O469</f>
        <v>0</v>
      </c>
    </row>
    <row r="470" spans="1:21">
      <c r="A470" s="4" t="s">
        <v>702</v>
      </c>
      <c r="B470" s="4"/>
      <c r="C470" s="5">
        <v>45919</v>
      </c>
      <c r="D470" s="5">
        <v>45919</v>
      </c>
      <c r="E470" s="6">
        <f>IF(AND(C470&lt;&gt;"",D470&lt;&gt;""),D470-C470,"")</f>
        <v>0</v>
      </c>
      <c r="F470" s="4"/>
      <c r="G470" s="4"/>
      <c r="H470" s="4"/>
      <c r="I470" s="4" t="s">
        <v>56</v>
      </c>
      <c r="J470" s="4">
        <v>0</v>
      </c>
      <c r="K470" s="4">
        <v>0</v>
      </c>
      <c r="L470" s="4">
        <f>J470+K470</f>
        <v>0</v>
      </c>
      <c r="M470" s="4"/>
      <c r="N470" s="4"/>
      <c r="O470" s="4">
        <v>0</v>
      </c>
      <c r="P470" s="4" t="s">
        <v>703</v>
      </c>
      <c r="Q470" s="4"/>
      <c r="R470" s="7">
        <v>0</v>
      </c>
      <c r="S470" s="7">
        <v>0</v>
      </c>
      <c r="T470" s="7">
        <f>R470-S470</f>
        <v>0</v>
      </c>
      <c r="U470" s="7">
        <f>T470*O470</f>
        <v>0</v>
      </c>
    </row>
    <row r="471" spans="1:21">
      <c r="A471" s="4" t="s">
        <v>704</v>
      </c>
      <c r="B471" s="4" t="s">
        <v>39</v>
      </c>
      <c r="C471" s="5">
        <v>45919.11792824074</v>
      </c>
      <c r="D471" s="5">
        <v>45919</v>
      </c>
      <c r="E471" s="6">
        <f>IF(AND(C471&lt;&gt;"",D471&lt;&gt;""),D471-C471,"")</f>
        <v>0</v>
      </c>
      <c r="F471" s="4" t="s">
        <v>705</v>
      </c>
      <c r="G471" s="4" t="s">
        <v>706</v>
      </c>
      <c r="H471" s="4" t="s">
        <v>190</v>
      </c>
      <c r="I471" s="4" t="s">
        <v>56</v>
      </c>
      <c r="J471" s="4">
        <v>0</v>
      </c>
      <c r="K471" s="4">
        <v>1</v>
      </c>
      <c r="L471" s="4">
        <f>J471+K471</f>
        <v>0</v>
      </c>
      <c r="M471" s="4" t="s">
        <v>81</v>
      </c>
      <c r="N471" s="4"/>
      <c r="O471" s="4">
        <v>1</v>
      </c>
      <c r="P471" s="4" t="s">
        <v>43</v>
      </c>
      <c r="Q471" s="4" t="s">
        <v>44</v>
      </c>
      <c r="R471" s="7">
        <v>495000</v>
      </c>
      <c r="S471" s="7">
        <v>0</v>
      </c>
      <c r="T471" s="7">
        <f>R471-S471</f>
        <v>0</v>
      </c>
      <c r="U471" s="7">
        <f>T471*O471</f>
        <v>0</v>
      </c>
    </row>
    <row r="472" spans="1:21">
      <c r="A472" s="4" t="s">
        <v>704</v>
      </c>
      <c r="B472" s="4" t="s">
        <v>39</v>
      </c>
      <c r="C472" s="5">
        <v>45919.11792824074</v>
      </c>
      <c r="D472" s="5">
        <v>45919</v>
      </c>
      <c r="E472" s="6">
        <f>IF(AND(C472&lt;&gt;"",D472&lt;&gt;""),D472-C472,"")</f>
        <v>0</v>
      </c>
      <c r="F472" s="4" t="s">
        <v>705</v>
      </c>
      <c r="G472" s="4" t="s">
        <v>706</v>
      </c>
      <c r="H472" s="4" t="s">
        <v>190</v>
      </c>
      <c r="I472" s="4" t="s">
        <v>56</v>
      </c>
      <c r="J472" s="4">
        <v>1</v>
      </c>
      <c r="K472" s="4">
        <v>0</v>
      </c>
      <c r="L472" s="4">
        <f>J472+K472</f>
        <v>0</v>
      </c>
      <c r="M472" s="4" t="s">
        <v>80</v>
      </c>
      <c r="N472" s="4"/>
      <c r="O472" s="4">
        <v>1</v>
      </c>
      <c r="P472" s="4" t="s">
        <v>43</v>
      </c>
      <c r="Q472" s="4" t="s">
        <v>44</v>
      </c>
      <c r="R472" s="7">
        <v>610000</v>
      </c>
      <c r="S472" s="7">
        <v>0</v>
      </c>
      <c r="T472" s="7">
        <f>R472-S472</f>
        <v>0</v>
      </c>
      <c r="U472" s="7">
        <f>T472*O472</f>
        <v>0</v>
      </c>
    </row>
    <row r="473" spans="1:21">
      <c r="A473" s="4" t="s">
        <v>707</v>
      </c>
      <c r="B473" s="4" t="s">
        <v>39</v>
      </c>
      <c r="C473" s="5">
        <v>45919.1196875</v>
      </c>
      <c r="D473" s="5">
        <v>45919</v>
      </c>
      <c r="E473" s="6">
        <f>IF(AND(C473&lt;&gt;"",D473&lt;&gt;""),D473-C473,"")</f>
        <v>0</v>
      </c>
      <c r="F473" s="4" t="s">
        <v>708</v>
      </c>
      <c r="G473" s="4" t="s">
        <v>709</v>
      </c>
      <c r="H473" s="4" t="s">
        <v>32</v>
      </c>
      <c r="I473" s="4" t="s">
        <v>33</v>
      </c>
      <c r="J473" s="4">
        <v>2</v>
      </c>
      <c r="K473" s="4">
        <v>0</v>
      </c>
      <c r="L473" s="4">
        <f>J473+K473</f>
        <v>0</v>
      </c>
      <c r="M473" s="4" t="s">
        <v>42</v>
      </c>
      <c r="N473" s="4"/>
      <c r="O473" s="4">
        <v>2</v>
      </c>
      <c r="P473" s="4" t="s">
        <v>135</v>
      </c>
      <c r="Q473" s="4" t="s">
        <v>44</v>
      </c>
      <c r="R473" s="7">
        <v>370000</v>
      </c>
      <c r="S473" s="7">
        <v>0</v>
      </c>
      <c r="T473" s="7">
        <f>R473-S473</f>
        <v>0</v>
      </c>
      <c r="U473" s="7">
        <f>T473*O473</f>
        <v>0</v>
      </c>
    </row>
    <row r="474" spans="1:21">
      <c r="A474" s="4" t="s">
        <v>707</v>
      </c>
      <c r="B474" s="4" t="s">
        <v>39</v>
      </c>
      <c r="C474" s="5">
        <v>45919.1196875</v>
      </c>
      <c r="D474" s="5">
        <v>45919</v>
      </c>
      <c r="E474" s="6">
        <f>IF(AND(C474&lt;&gt;"",D474&lt;&gt;""),D474-C474,"")</f>
        <v>0</v>
      </c>
      <c r="F474" s="4" t="s">
        <v>708</v>
      </c>
      <c r="G474" s="4" t="s">
        <v>709</v>
      </c>
      <c r="H474" s="4" t="s">
        <v>32</v>
      </c>
      <c r="I474" s="4" t="s">
        <v>33</v>
      </c>
      <c r="J474" s="4">
        <v>0</v>
      </c>
      <c r="K474" s="4">
        <v>0</v>
      </c>
      <c r="L474" s="4">
        <f>J474+K474</f>
        <v>0</v>
      </c>
      <c r="M474" s="4" t="s">
        <v>370</v>
      </c>
      <c r="N474" s="4"/>
      <c r="O474" s="4">
        <v>1</v>
      </c>
      <c r="P474" s="4" t="s">
        <v>135</v>
      </c>
      <c r="Q474" s="4" t="s">
        <v>44</v>
      </c>
      <c r="R474" s="7">
        <v>500000</v>
      </c>
      <c r="S474" s="7">
        <v>0</v>
      </c>
      <c r="T474" s="7">
        <f>R474-S474</f>
        <v>0</v>
      </c>
      <c r="U474" s="7">
        <f>T474*O474</f>
        <v>0</v>
      </c>
    </row>
    <row r="475" spans="1:21">
      <c r="A475" s="4" t="s">
        <v>710</v>
      </c>
      <c r="B475" s="4" t="s">
        <v>39</v>
      </c>
      <c r="C475" s="5">
        <v>45919.14803240741</v>
      </c>
      <c r="D475" s="5">
        <v>45919</v>
      </c>
      <c r="E475" s="6">
        <f>IF(AND(C475&lt;&gt;"",D475&lt;&gt;""),D475-C475,"")</f>
        <v>0</v>
      </c>
      <c r="F475" s="4" t="s">
        <v>172</v>
      </c>
      <c r="G475" s="4" t="s">
        <v>173</v>
      </c>
      <c r="H475" s="4" t="s">
        <v>32</v>
      </c>
      <c r="I475" s="4" t="s">
        <v>33</v>
      </c>
      <c r="J475" s="4">
        <v>2</v>
      </c>
      <c r="K475" s="4">
        <v>0</v>
      </c>
      <c r="L475" s="4">
        <f>J475+K475</f>
        <v>0</v>
      </c>
      <c r="M475" s="4" t="s">
        <v>42</v>
      </c>
      <c r="N475" s="4"/>
      <c r="O475" s="4">
        <v>2</v>
      </c>
      <c r="P475" s="4" t="s">
        <v>43</v>
      </c>
      <c r="Q475" s="4" t="s">
        <v>44</v>
      </c>
      <c r="R475" s="7">
        <v>370000</v>
      </c>
      <c r="S475" s="7">
        <v>370000</v>
      </c>
      <c r="T475" s="7">
        <f>R475-S475</f>
        <v>0</v>
      </c>
      <c r="U475" s="7">
        <f>T475*O475</f>
        <v>0</v>
      </c>
    </row>
    <row r="476" spans="1:21">
      <c r="A476" s="4" t="s">
        <v>710</v>
      </c>
      <c r="B476" s="4" t="s">
        <v>39</v>
      </c>
      <c r="C476" s="5">
        <v>45919.14803240741</v>
      </c>
      <c r="D476" s="5">
        <v>45919</v>
      </c>
      <c r="E476" s="6">
        <f>IF(AND(C476&lt;&gt;"",D476&lt;&gt;""),D476-C476,"")</f>
        <v>0</v>
      </c>
      <c r="F476" s="4" t="s">
        <v>172</v>
      </c>
      <c r="G476" s="4" t="s">
        <v>173</v>
      </c>
      <c r="H476" s="4" t="s">
        <v>32</v>
      </c>
      <c r="I476" s="4" t="s">
        <v>33</v>
      </c>
      <c r="J476" s="4">
        <v>0</v>
      </c>
      <c r="K476" s="4">
        <v>2</v>
      </c>
      <c r="L476" s="4">
        <f>J476+K476</f>
        <v>0</v>
      </c>
      <c r="M476" s="4" t="s">
        <v>46</v>
      </c>
      <c r="N476" s="4"/>
      <c r="O476" s="4">
        <v>2</v>
      </c>
      <c r="P476" s="4" t="s">
        <v>43</v>
      </c>
      <c r="Q476" s="4" t="s">
        <v>44</v>
      </c>
      <c r="R476" s="7">
        <v>325000</v>
      </c>
      <c r="S476" s="7">
        <v>325000</v>
      </c>
      <c r="T476" s="7">
        <f>R476-S476</f>
        <v>0</v>
      </c>
      <c r="U476" s="7">
        <f>T476*O476</f>
        <v>0</v>
      </c>
    </row>
    <row r="477" spans="1:21">
      <c r="A477" s="4" t="s">
        <v>710</v>
      </c>
      <c r="B477" s="4" t="s">
        <v>39</v>
      </c>
      <c r="C477" s="5">
        <v>45919.14803240741</v>
      </c>
      <c r="D477" s="5">
        <v>45919</v>
      </c>
      <c r="E477" s="6">
        <f>IF(AND(C477&lt;&gt;"",D477&lt;&gt;""),D477-C477,"")</f>
        <v>0</v>
      </c>
      <c r="F477" s="4" t="s">
        <v>172</v>
      </c>
      <c r="G477" s="4" t="s">
        <v>173</v>
      </c>
      <c r="H477" s="4" t="s">
        <v>32</v>
      </c>
      <c r="I477" s="4" t="s">
        <v>33</v>
      </c>
      <c r="J477" s="4">
        <v>0</v>
      </c>
      <c r="K477" s="4">
        <v>0</v>
      </c>
      <c r="L477" s="4">
        <f>J477+K477</f>
        <v>0</v>
      </c>
      <c r="M477" s="4" t="s">
        <v>370</v>
      </c>
      <c r="N477" s="4"/>
      <c r="O477" s="4">
        <v>1</v>
      </c>
      <c r="P477" s="4" t="s">
        <v>43</v>
      </c>
      <c r="Q477" s="4" t="s">
        <v>44</v>
      </c>
      <c r="R477" s="7">
        <v>500000</v>
      </c>
      <c r="S477" s="7">
        <v>0</v>
      </c>
      <c r="T477" s="7">
        <f>R477-S477</f>
        <v>0</v>
      </c>
      <c r="U477" s="7">
        <f>T477*O477</f>
        <v>0</v>
      </c>
    </row>
    <row r="478" spans="1:21">
      <c r="A478" s="4" t="s">
        <v>711</v>
      </c>
      <c r="B478" s="4" t="s">
        <v>48</v>
      </c>
      <c r="C478" s="5">
        <v>45919.14976851852</v>
      </c>
      <c r="D478" s="5">
        <v>45961</v>
      </c>
      <c r="E478" s="6">
        <f>IF(AND(C478&lt;&gt;"",D478&lt;&gt;""),D478-C478,"")</f>
        <v>0</v>
      </c>
      <c r="F478" s="4" t="s">
        <v>64</v>
      </c>
      <c r="G478" s="4" t="s">
        <v>712</v>
      </c>
      <c r="H478" s="4" t="s">
        <v>32</v>
      </c>
      <c r="I478" s="4" t="s">
        <v>33</v>
      </c>
      <c r="J478" s="4">
        <v>2</v>
      </c>
      <c r="K478" s="4">
        <v>2</v>
      </c>
      <c r="L478" s="4">
        <f>J478+K478</f>
        <v>0</v>
      </c>
      <c r="M478" s="4"/>
      <c r="N478" s="4"/>
      <c r="O478" s="4">
        <v>0</v>
      </c>
      <c r="P478" s="4"/>
      <c r="Q478" s="4"/>
      <c r="R478" s="7">
        <v>0</v>
      </c>
      <c r="S478" s="7">
        <v>0</v>
      </c>
      <c r="T478" s="7">
        <f>R478-S478</f>
        <v>0</v>
      </c>
      <c r="U478" s="7">
        <f>T478*O478</f>
        <v>0</v>
      </c>
    </row>
    <row r="479" spans="1:21">
      <c r="A479" s="4" t="s">
        <v>713</v>
      </c>
      <c r="B479" s="4" t="s">
        <v>39</v>
      </c>
      <c r="C479" s="5">
        <v>45919.15055555556</v>
      </c>
      <c r="D479" s="5">
        <v>45919</v>
      </c>
      <c r="E479" s="6">
        <f>IF(AND(C479&lt;&gt;"",D479&lt;&gt;""),D479-C479,"")</f>
        <v>0</v>
      </c>
      <c r="F479" s="4" t="s">
        <v>64</v>
      </c>
      <c r="G479" s="4" t="s">
        <v>712</v>
      </c>
      <c r="H479" s="4" t="s">
        <v>32</v>
      </c>
      <c r="I479" s="4" t="s">
        <v>33</v>
      </c>
      <c r="J479" s="4">
        <v>0</v>
      </c>
      <c r="K479" s="4">
        <v>1</v>
      </c>
      <c r="L479" s="4">
        <f>J479+K479</f>
        <v>0</v>
      </c>
      <c r="M479" s="4" t="s">
        <v>81</v>
      </c>
      <c r="N479" s="4"/>
      <c r="O479" s="4">
        <v>1</v>
      </c>
      <c r="P479" s="4" t="s">
        <v>135</v>
      </c>
      <c r="Q479" s="4"/>
      <c r="R479" s="7">
        <v>-445500</v>
      </c>
      <c r="S479" s="7">
        <v>0</v>
      </c>
      <c r="T479" s="7">
        <f>R479-S479</f>
        <v>0</v>
      </c>
      <c r="U479" s="7">
        <f>T479*O479</f>
        <v>0</v>
      </c>
    </row>
    <row r="480" spans="1:21">
      <c r="A480" s="4" t="s">
        <v>713</v>
      </c>
      <c r="B480" s="4" t="s">
        <v>39</v>
      </c>
      <c r="C480" s="5">
        <v>45919.15055555556</v>
      </c>
      <c r="D480" s="5">
        <v>45919</v>
      </c>
      <c r="E480" s="6">
        <f>IF(AND(C480&lt;&gt;"",D480&lt;&gt;""),D480-C480,"")</f>
        <v>0</v>
      </c>
      <c r="F480" s="4" t="s">
        <v>64</v>
      </c>
      <c r="G480" s="4" t="s">
        <v>712</v>
      </c>
      <c r="H480" s="4" t="s">
        <v>32</v>
      </c>
      <c r="I480" s="4" t="s">
        <v>33</v>
      </c>
      <c r="J480" s="4">
        <v>1</v>
      </c>
      <c r="K480" s="4">
        <v>0</v>
      </c>
      <c r="L480" s="4">
        <f>J480+K480</f>
        <v>0</v>
      </c>
      <c r="M480" s="4" t="s">
        <v>80</v>
      </c>
      <c r="N480" s="4"/>
      <c r="O480" s="4">
        <v>1</v>
      </c>
      <c r="P480" s="4" t="s">
        <v>135</v>
      </c>
      <c r="Q480" s="4"/>
      <c r="R480" s="7">
        <v>610000</v>
      </c>
      <c r="S480" s="7">
        <v>0</v>
      </c>
      <c r="T480" s="7">
        <f>R480-S480</f>
        <v>0</v>
      </c>
      <c r="U480" s="7">
        <f>T480*O480</f>
        <v>0</v>
      </c>
    </row>
    <row r="481" spans="1:21">
      <c r="A481" s="4" t="s">
        <v>714</v>
      </c>
      <c r="B481" s="4"/>
      <c r="C481" s="5">
        <v>45919.16480324074</v>
      </c>
      <c r="D481" s="5">
        <v>45961</v>
      </c>
      <c r="E481" s="6">
        <f>IF(AND(C481&lt;&gt;"",D481&lt;&gt;""),D481-C481,"")</f>
        <v>0</v>
      </c>
      <c r="F481" s="4" t="s">
        <v>715</v>
      </c>
      <c r="G481" s="4" t="s">
        <v>716</v>
      </c>
      <c r="H481" s="4" t="s">
        <v>32</v>
      </c>
      <c r="I481" s="4" t="s">
        <v>33</v>
      </c>
      <c r="J481" s="4">
        <v>3</v>
      </c>
      <c r="K481" s="4">
        <v>0</v>
      </c>
      <c r="L481" s="4">
        <f>J481+K481</f>
        <v>0</v>
      </c>
      <c r="M481" s="4"/>
      <c r="N481" s="4"/>
      <c r="O481" s="4">
        <v>0</v>
      </c>
      <c r="P481" s="4"/>
      <c r="Q481" s="4"/>
      <c r="R481" s="7">
        <v>0</v>
      </c>
      <c r="S481" s="7">
        <v>0</v>
      </c>
      <c r="T481" s="7">
        <f>R481-S481</f>
        <v>0</v>
      </c>
      <c r="U481" s="7">
        <f>T481*O481</f>
        <v>0</v>
      </c>
    </row>
    <row r="482" spans="1:21">
      <c r="A482" s="4" t="s">
        <v>717</v>
      </c>
      <c r="B482" s="4"/>
      <c r="C482" s="5">
        <v>45919.16586805556</v>
      </c>
      <c r="D482" s="5">
        <v>45961</v>
      </c>
      <c r="E482" s="6">
        <f>IF(AND(C482&lt;&gt;"",D482&lt;&gt;""),D482-C482,"")</f>
        <v>0</v>
      </c>
      <c r="F482" s="4" t="s">
        <v>718</v>
      </c>
      <c r="G482" s="4" t="s">
        <v>716</v>
      </c>
      <c r="H482" s="4" t="s">
        <v>190</v>
      </c>
      <c r="I482" s="4" t="s">
        <v>56</v>
      </c>
      <c r="J482" s="4">
        <v>3</v>
      </c>
      <c r="K482" s="4">
        <v>0</v>
      </c>
      <c r="L482" s="4">
        <f>J482+K482</f>
        <v>0</v>
      </c>
      <c r="M482" s="4"/>
      <c r="N482" s="4"/>
      <c r="O482" s="4">
        <v>0</v>
      </c>
      <c r="P482" s="4"/>
      <c r="Q482" s="4"/>
      <c r="R482" s="7">
        <v>0</v>
      </c>
      <c r="S482" s="7">
        <v>0</v>
      </c>
      <c r="T482" s="7">
        <f>R482-S482</f>
        <v>0</v>
      </c>
      <c r="U482" s="7">
        <f>T482*O482</f>
        <v>0</v>
      </c>
    </row>
    <row r="483" spans="1:21">
      <c r="A483" s="4" t="s">
        <v>719</v>
      </c>
      <c r="B483" s="4" t="s">
        <v>39</v>
      </c>
      <c r="C483" s="5">
        <v>45919.23260416667</v>
      </c>
      <c r="D483" s="5">
        <v>45919</v>
      </c>
      <c r="E483" s="6">
        <f>IF(AND(C483&lt;&gt;"",D483&lt;&gt;""),D483-C483,"")</f>
        <v>0</v>
      </c>
      <c r="F483" s="4" t="s">
        <v>720</v>
      </c>
      <c r="G483" s="4" t="s">
        <v>721</v>
      </c>
      <c r="H483" s="4" t="s">
        <v>32</v>
      </c>
      <c r="I483" s="4" t="s">
        <v>33</v>
      </c>
      <c r="J483" s="4">
        <v>0</v>
      </c>
      <c r="K483" s="4">
        <v>0</v>
      </c>
      <c r="L483" s="4">
        <f>J483+K483</f>
        <v>0</v>
      </c>
      <c r="M483" s="4" t="s">
        <v>370</v>
      </c>
      <c r="N483" s="4"/>
      <c r="O483" s="4">
        <v>1</v>
      </c>
      <c r="P483" s="4" t="s">
        <v>135</v>
      </c>
      <c r="Q483" s="4" t="s">
        <v>44</v>
      </c>
      <c r="R483" s="7">
        <v>5000000</v>
      </c>
      <c r="S483" s="7">
        <v>0</v>
      </c>
      <c r="T483" s="7">
        <f>R483-S483</f>
        <v>0</v>
      </c>
      <c r="U483" s="7">
        <f>T483*O483</f>
        <v>0</v>
      </c>
    </row>
    <row r="484" spans="1:21">
      <c r="A484" s="4" t="s">
        <v>722</v>
      </c>
      <c r="B484" s="4" t="s">
        <v>39</v>
      </c>
      <c r="C484" s="5">
        <v>45919.23979166667</v>
      </c>
      <c r="D484" s="5">
        <v>45919</v>
      </c>
      <c r="E484" s="6">
        <f>IF(AND(C484&lt;&gt;"",D484&lt;&gt;""),D484-C484,"")</f>
        <v>0</v>
      </c>
      <c r="F484" s="4" t="s">
        <v>723</v>
      </c>
      <c r="G484" s="4" t="s">
        <v>724</v>
      </c>
      <c r="H484" s="4" t="s">
        <v>177</v>
      </c>
      <c r="I484" s="4" t="s">
        <v>56</v>
      </c>
      <c r="J484" s="4">
        <v>0</v>
      </c>
      <c r="K484" s="4">
        <v>0</v>
      </c>
      <c r="L484" s="4">
        <f>J484+K484</f>
        <v>0</v>
      </c>
      <c r="M484" s="4" t="s">
        <v>370</v>
      </c>
      <c r="N484" s="4"/>
      <c r="O484" s="4">
        <v>1</v>
      </c>
      <c r="P484" s="4" t="s">
        <v>135</v>
      </c>
      <c r="Q484" s="4" t="s">
        <v>44</v>
      </c>
      <c r="R484" s="7">
        <v>500000</v>
      </c>
      <c r="S484" s="7">
        <v>0</v>
      </c>
      <c r="T484" s="7">
        <f>R484-S484</f>
        <v>0</v>
      </c>
      <c r="U484" s="7">
        <f>T484*O484</f>
        <v>0</v>
      </c>
    </row>
    <row r="485" spans="1:21">
      <c r="A485" s="4" t="s">
        <v>725</v>
      </c>
      <c r="B485" s="4" t="s">
        <v>48</v>
      </c>
      <c r="C485" s="5">
        <v>45919.25008101852</v>
      </c>
      <c r="D485" s="5">
        <v>45961</v>
      </c>
      <c r="E485" s="6">
        <f>IF(AND(C485&lt;&gt;"",D485&lt;&gt;""),D485-C485,"")</f>
        <v>0</v>
      </c>
      <c r="F485" s="4" t="s">
        <v>599</v>
      </c>
      <c r="G485" s="4" t="s">
        <v>726</v>
      </c>
      <c r="H485" s="4" t="s">
        <v>32</v>
      </c>
      <c r="I485" s="4" t="s">
        <v>33</v>
      </c>
      <c r="J485" s="4">
        <v>2</v>
      </c>
      <c r="K485" s="4">
        <v>2</v>
      </c>
      <c r="L485" s="4">
        <f>J485+K485</f>
        <v>0</v>
      </c>
      <c r="M485" s="4"/>
      <c r="N485" s="4"/>
      <c r="O485" s="4">
        <v>0</v>
      </c>
      <c r="P485" s="4"/>
      <c r="Q485" s="4"/>
      <c r="R485" s="7">
        <v>0</v>
      </c>
      <c r="S485" s="7">
        <v>0</v>
      </c>
      <c r="T485" s="7">
        <f>R485-S485</f>
        <v>0</v>
      </c>
      <c r="U485" s="7">
        <f>T485*O485</f>
        <v>0</v>
      </c>
    </row>
    <row r="486" spans="1:21">
      <c r="A486" s="4" t="s">
        <v>727</v>
      </c>
      <c r="B486" s="4" t="s">
        <v>39</v>
      </c>
      <c r="C486" s="5">
        <v>45919.25105324074</v>
      </c>
      <c r="D486" s="5">
        <v>45919</v>
      </c>
      <c r="E486" s="6">
        <f>IF(AND(C486&lt;&gt;"",D486&lt;&gt;""),D486-C486,"")</f>
        <v>0</v>
      </c>
      <c r="F486" s="4" t="s">
        <v>599</v>
      </c>
      <c r="G486" s="4" t="s">
        <v>726</v>
      </c>
      <c r="H486" s="4" t="s">
        <v>32</v>
      </c>
      <c r="I486" s="4" t="s">
        <v>33</v>
      </c>
      <c r="J486" s="4">
        <v>1</v>
      </c>
      <c r="K486" s="4">
        <v>0</v>
      </c>
      <c r="L486" s="4">
        <f>J486+K486</f>
        <v>0</v>
      </c>
      <c r="M486" s="4" t="s">
        <v>42</v>
      </c>
      <c r="N486" s="4"/>
      <c r="O486" s="4">
        <v>1</v>
      </c>
      <c r="P486" s="4" t="s">
        <v>135</v>
      </c>
      <c r="Q486" s="4"/>
      <c r="R486" s="7">
        <v>370000</v>
      </c>
      <c r="S486" s="7">
        <v>0</v>
      </c>
      <c r="T486" s="7">
        <f>R486-S486</f>
        <v>0</v>
      </c>
      <c r="U486" s="7">
        <f>T486*O486</f>
        <v>0</v>
      </c>
    </row>
    <row r="487" spans="1:21">
      <c r="A487" s="4" t="s">
        <v>727</v>
      </c>
      <c r="B487" s="4" t="s">
        <v>39</v>
      </c>
      <c r="C487" s="5">
        <v>45919.25105324074</v>
      </c>
      <c r="D487" s="5">
        <v>45919</v>
      </c>
      <c r="E487" s="6">
        <f>IF(AND(C487&lt;&gt;"",D487&lt;&gt;""),D487-C487,"")</f>
        <v>0</v>
      </c>
      <c r="F487" s="4" t="s">
        <v>599</v>
      </c>
      <c r="G487" s="4" t="s">
        <v>726</v>
      </c>
      <c r="H487" s="4" t="s">
        <v>32</v>
      </c>
      <c r="I487" s="4" t="s">
        <v>33</v>
      </c>
      <c r="J487" s="4">
        <v>0</v>
      </c>
      <c r="K487" s="4">
        <v>1</v>
      </c>
      <c r="L487" s="4">
        <f>J487+K487</f>
        <v>0</v>
      </c>
      <c r="M487" s="4" t="s">
        <v>46</v>
      </c>
      <c r="N487" s="4"/>
      <c r="O487" s="4">
        <v>1</v>
      </c>
      <c r="P487" s="4" t="s">
        <v>135</v>
      </c>
      <c r="Q487" s="4"/>
      <c r="R487" s="7">
        <v>-292500</v>
      </c>
      <c r="S487" s="7">
        <v>0</v>
      </c>
      <c r="T487" s="7">
        <f>R487-S487</f>
        <v>0</v>
      </c>
      <c r="U487" s="7">
        <f>T487*O487</f>
        <v>0</v>
      </c>
    </row>
    <row r="488" spans="1:21">
      <c r="A488" s="4" t="s">
        <v>728</v>
      </c>
      <c r="B488" s="4" t="s">
        <v>39</v>
      </c>
      <c r="C488" s="5">
        <v>45919.25746527778</v>
      </c>
      <c r="D488" s="5">
        <v>45919</v>
      </c>
      <c r="E488" s="6">
        <f>IF(AND(C488&lt;&gt;"",D488&lt;&gt;""),D488-C488,"")</f>
        <v>0</v>
      </c>
      <c r="F488" s="4" t="s">
        <v>729</v>
      </c>
      <c r="G488" s="4" t="s">
        <v>730</v>
      </c>
      <c r="H488" s="4" t="s">
        <v>32</v>
      </c>
      <c r="I488" s="4" t="s">
        <v>33</v>
      </c>
      <c r="J488" s="4">
        <v>0</v>
      </c>
      <c r="K488" s="4">
        <v>0</v>
      </c>
      <c r="L488" s="4">
        <f>J488+K488</f>
        <v>0</v>
      </c>
      <c r="M488" s="4" t="s">
        <v>731</v>
      </c>
      <c r="N488" s="4"/>
      <c r="O488" s="4">
        <v>1</v>
      </c>
      <c r="P488" s="4" t="s">
        <v>135</v>
      </c>
      <c r="Q488" s="4"/>
      <c r="R488" s="7">
        <v>420000</v>
      </c>
      <c r="S488" s="7">
        <v>168000</v>
      </c>
      <c r="T488" s="7">
        <f>R488-S488</f>
        <v>0</v>
      </c>
      <c r="U488" s="7">
        <f>T488*O488</f>
        <v>0</v>
      </c>
    </row>
    <row r="489" spans="1:21">
      <c r="A489" s="4" t="s">
        <v>728</v>
      </c>
      <c r="B489" s="4" t="s">
        <v>39</v>
      </c>
      <c r="C489" s="5">
        <v>45919.25746527778</v>
      </c>
      <c r="D489" s="5">
        <v>45919</v>
      </c>
      <c r="E489" s="6">
        <f>IF(AND(C489&lt;&gt;"",D489&lt;&gt;""),D489-C489,"")</f>
        <v>0</v>
      </c>
      <c r="F489" s="4" t="s">
        <v>729</v>
      </c>
      <c r="G489" s="4" t="s">
        <v>730</v>
      </c>
      <c r="H489" s="4" t="s">
        <v>32</v>
      </c>
      <c r="I489" s="4" t="s">
        <v>33</v>
      </c>
      <c r="J489" s="4">
        <v>0</v>
      </c>
      <c r="K489" s="4">
        <v>0</v>
      </c>
      <c r="L489" s="4">
        <f>J489+K489</f>
        <v>0</v>
      </c>
      <c r="M489" s="4" t="s">
        <v>731</v>
      </c>
      <c r="N489" s="4"/>
      <c r="O489" s="4">
        <v>1</v>
      </c>
      <c r="P489" s="4" t="s">
        <v>135</v>
      </c>
      <c r="Q489" s="4"/>
      <c r="R489" s="7">
        <v>420000</v>
      </c>
      <c r="S489" s="7">
        <v>168000</v>
      </c>
      <c r="T489" s="7">
        <f>R489-S489</f>
        <v>0</v>
      </c>
      <c r="U489" s="7">
        <f>T489*O489</f>
        <v>0</v>
      </c>
    </row>
    <row r="490" spans="1:21">
      <c r="A490" s="4" t="s">
        <v>732</v>
      </c>
      <c r="B490" s="4"/>
      <c r="C490" s="5">
        <v>45919.27767361111</v>
      </c>
      <c r="D490" s="5">
        <v>45961</v>
      </c>
      <c r="E490" s="6">
        <f>IF(AND(C490&lt;&gt;"",D490&lt;&gt;""),D490-C490,"")</f>
        <v>0</v>
      </c>
      <c r="F490" s="4" t="s">
        <v>733</v>
      </c>
      <c r="G490" s="4"/>
      <c r="H490" s="4"/>
      <c r="I490" s="4" t="s">
        <v>56</v>
      </c>
      <c r="J490" s="4">
        <v>10</v>
      </c>
      <c r="K490" s="4">
        <v>0</v>
      </c>
      <c r="L490" s="4">
        <f>J490+K490</f>
        <v>0</v>
      </c>
      <c r="M490" s="4"/>
      <c r="N490" s="4"/>
      <c r="O490" s="4">
        <v>0</v>
      </c>
      <c r="P490" s="4"/>
      <c r="Q490" s="4"/>
      <c r="R490" s="7">
        <v>0</v>
      </c>
      <c r="S490" s="7">
        <v>0</v>
      </c>
      <c r="T490" s="7">
        <f>R490-S490</f>
        <v>0</v>
      </c>
      <c r="U490" s="7">
        <f>T490*O490</f>
        <v>0</v>
      </c>
    </row>
    <row r="491" spans="1:21">
      <c r="A491" s="4" t="s">
        <v>734</v>
      </c>
      <c r="B491" s="4"/>
      <c r="C491" s="5">
        <v>45919.30070601852</v>
      </c>
      <c r="D491" s="5">
        <v>45961</v>
      </c>
      <c r="E491" s="6">
        <f>IF(AND(C491&lt;&gt;"",D491&lt;&gt;""),D491-C491,"")</f>
        <v>0</v>
      </c>
      <c r="F491" s="4" t="s">
        <v>735</v>
      </c>
      <c r="G491" s="4" t="s">
        <v>235</v>
      </c>
      <c r="H491" s="4"/>
      <c r="I491" s="4" t="s">
        <v>56</v>
      </c>
      <c r="J491" s="4">
        <v>120</v>
      </c>
      <c r="K491" s="4">
        <v>0</v>
      </c>
      <c r="L491" s="4">
        <f>J491+K491</f>
        <v>0</v>
      </c>
      <c r="M491" s="4"/>
      <c r="N491" s="4"/>
      <c r="O491" s="4">
        <v>0</v>
      </c>
      <c r="P491" s="4"/>
      <c r="Q491" s="4"/>
      <c r="R491" s="7">
        <v>0</v>
      </c>
      <c r="S491" s="7">
        <v>0</v>
      </c>
      <c r="T491" s="7">
        <f>R491-S491</f>
        <v>0</v>
      </c>
      <c r="U491" s="7">
        <f>T491*O491</f>
        <v>0</v>
      </c>
    </row>
    <row r="492" spans="1:21">
      <c r="A492" s="4" t="s">
        <v>736</v>
      </c>
      <c r="B492" s="4"/>
      <c r="C492" s="5">
        <v>45919.30424768518</v>
      </c>
      <c r="D492" s="5">
        <v>45961</v>
      </c>
      <c r="E492" s="6">
        <f>IF(AND(C492&lt;&gt;"",D492&lt;&gt;""),D492-C492,"")</f>
        <v>0</v>
      </c>
      <c r="F492" s="4" t="s">
        <v>735</v>
      </c>
      <c r="G492" s="4" t="s">
        <v>235</v>
      </c>
      <c r="H492" s="4"/>
      <c r="I492" s="4" t="s">
        <v>56</v>
      </c>
      <c r="J492" s="4">
        <v>10</v>
      </c>
      <c r="K492" s="4">
        <v>0</v>
      </c>
      <c r="L492" s="4">
        <f>J492+K492</f>
        <v>0</v>
      </c>
      <c r="M492" s="4"/>
      <c r="N492" s="4"/>
      <c r="O492" s="4">
        <v>0</v>
      </c>
      <c r="P492" s="4"/>
      <c r="Q492" s="4"/>
      <c r="R492" s="7">
        <v>0</v>
      </c>
      <c r="S492" s="7">
        <v>0</v>
      </c>
      <c r="T492" s="7">
        <f>R492-S492</f>
        <v>0</v>
      </c>
      <c r="U492" s="7">
        <f>T492*O492</f>
        <v>0</v>
      </c>
    </row>
    <row r="493" spans="1:21">
      <c r="A493" s="4" t="s">
        <v>737</v>
      </c>
      <c r="B493" s="4"/>
      <c r="C493" s="5">
        <v>45919.30487268518</v>
      </c>
      <c r="D493" s="5">
        <v>45961</v>
      </c>
      <c r="E493" s="6">
        <f>IF(AND(C493&lt;&gt;"",D493&lt;&gt;""),D493-C493,"")</f>
        <v>0</v>
      </c>
      <c r="F493" s="4" t="s">
        <v>735</v>
      </c>
      <c r="G493" s="4" t="s">
        <v>235</v>
      </c>
      <c r="H493" s="4"/>
      <c r="I493" s="4" t="s">
        <v>56</v>
      </c>
      <c r="J493" s="4">
        <v>10</v>
      </c>
      <c r="K493" s="4">
        <v>0</v>
      </c>
      <c r="L493" s="4">
        <f>J493+K493</f>
        <v>0</v>
      </c>
      <c r="M493" s="4"/>
      <c r="N493" s="4"/>
      <c r="O493" s="4">
        <v>0</v>
      </c>
      <c r="P493" s="4"/>
      <c r="Q493" s="4"/>
      <c r="R493" s="7">
        <v>0</v>
      </c>
      <c r="S493" s="7">
        <v>0</v>
      </c>
      <c r="T493" s="7">
        <f>R493-S493</f>
        <v>0</v>
      </c>
      <c r="U493" s="7">
        <f>T493*O493</f>
        <v>0</v>
      </c>
    </row>
    <row r="494" spans="1:21">
      <c r="A494" s="4" t="s">
        <v>738</v>
      </c>
      <c r="B494" s="4"/>
      <c r="C494" s="5">
        <v>45919.31998842592</v>
      </c>
      <c r="D494" s="5">
        <v>45961</v>
      </c>
      <c r="E494" s="6">
        <f>IF(AND(C494&lt;&gt;"",D494&lt;&gt;""),D494-C494,"")</f>
        <v>0</v>
      </c>
      <c r="F494" s="4" t="s">
        <v>735</v>
      </c>
      <c r="G494" s="4" t="s">
        <v>235</v>
      </c>
      <c r="H494" s="4"/>
      <c r="I494" s="4" t="s">
        <v>56</v>
      </c>
      <c r="J494" s="4">
        <v>15</v>
      </c>
      <c r="K494" s="4">
        <v>0</v>
      </c>
      <c r="L494" s="4">
        <f>J494+K494</f>
        <v>0</v>
      </c>
      <c r="M494" s="4"/>
      <c r="N494" s="4"/>
      <c r="O494" s="4">
        <v>0</v>
      </c>
      <c r="P494" s="4"/>
      <c r="Q494" s="4"/>
      <c r="R494" s="7">
        <v>0</v>
      </c>
      <c r="S494" s="7">
        <v>0</v>
      </c>
      <c r="T494" s="7">
        <f>R494-S494</f>
        <v>0</v>
      </c>
      <c r="U494" s="7">
        <f>T494*O494</f>
        <v>0</v>
      </c>
    </row>
    <row r="495" spans="1:21">
      <c r="A495" s="4" t="s">
        <v>739</v>
      </c>
      <c r="B495" s="4" t="s">
        <v>39</v>
      </c>
      <c r="C495" s="5">
        <v>45919.34893518518</v>
      </c>
      <c r="D495" s="5">
        <v>45919</v>
      </c>
      <c r="E495" s="6">
        <f>IF(AND(C495&lt;&gt;"",D495&lt;&gt;""),D495-C495,"")</f>
        <v>0</v>
      </c>
      <c r="F495" s="4" t="s">
        <v>446</v>
      </c>
      <c r="G495" s="4" t="s">
        <v>41</v>
      </c>
      <c r="H495" s="4" t="s">
        <v>32</v>
      </c>
      <c r="I495" s="4" t="s">
        <v>33</v>
      </c>
      <c r="J495" s="4">
        <v>1</v>
      </c>
      <c r="K495" s="4">
        <v>0</v>
      </c>
      <c r="L495" s="4">
        <f>J495+K495</f>
        <v>0</v>
      </c>
      <c r="M495" s="4" t="s">
        <v>42</v>
      </c>
      <c r="N495" s="4"/>
      <c r="O495" s="4">
        <v>1</v>
      </c>
      <c r="P495" s="4" t="s">
        <v>135</v>
      </c>
      <c r="Q495" s="4"/>
      <c r="R495" s="7">
        <v>370000</v>
      </c>
      <c r="S495" s="7">
        <v>0</v>
      </c>
      <c r="T495" s="7">
        <f>R495-S495</f>
        <v>0</v>
      </c>
      <c r="U495" s="7">
        <f>T495*O495</f>
        <v>0</v>
      </c>
    </row>
    <row r="496" spans="1:21">
      <c r="A496" s="4" t="s">
        <v>739</v>
      </c>
      <c r="B496" s="4" t="s">
        <v>39</v>
      </c>
      <c r="C496" s="5">
        <v>45919.34893518518</v>
      </c>
      <c r="D496" s="5">
        <v>45919</v>
      </c>
      <c r="E496" s="6">
        <f>IF(AND(C496&lt;&gt;"",D496&lt;&gt;""),D496-C496,"")</f>
        <v>0</v>
      </c>
      <c r="F496" s="4" t="s">
        <v>446</v>
      </c>
      <c r="G496" s="4" t="s">
        <v>41</v>
      </c>
      <c r="H496" s="4" t="s">
        <v>32</v>
      </c>
      <c r="I496" s="4" t="s">
        <v>33</v>
      </c>
      <c r="J496" s="4">
        <v>1</v>
      </c>
      <c r="K496" s="4">
        <v>0</v>
      </c>
      <c r="L496" s="4">
        <f>J496+K496</f>
        <v>0</v>
      </c>
      <c r="M496" s="4" t="s">
        <v>42</v>
      </c>
      <c r="N496" s="4"/>
      <c r="O496" s="4">
        <v>1</v>
      </c>
      <c r="P496" s="4" t="s">
        <v>135</v>
      </c>
      <c r="Q496" s="4"/>
      <c r="R496" s="7">
        <v>370000</v>
      </c>
      <c r="S496" s="7">
        <v>0</v>
      </c>
      <c r="T496" s="7">
        <f>R496-S496</f>
        <v>0</v>
      </c>
      <c r="U496" s="7">
        <f>T496*O496</f>
        <v>0</v>
      </c>
    </row>
    <row r="497" spans="1:21">
      <c r="A497" s="4" t="s">
        <v>740</v>
      </c>
      <c r="B497" s="4" t="s">
        <v>39</v>
      </c>
      <c r="C497" s="5">
        <v>45919.35016203704</v>
      </c>
      <c r="D497" s="5">
        <v>45919</v>
      </c>
      <c r="E497" s="6">
        <f>IF(AND(C497&lt;&gt;"",D497&lt;&gt;""),D497-C497,"")</f>
        <v>0</v>
      </c>
      <c r="F497" s="4" t="s">
        <v>64</v>
      </c>
      <c r="G497" s="4" t="s">
        <v>587</v>
      </c>
      <c r="H497" s="4" t="s">
        <v>32</v>
      </c>
      <c r="I497" s="4" t="s">
        <v>33</v>
      </c>
      <c r="J497" s="4">
        <v>1</v>
      </c>
      <c r="K497" s="4">
        <v>0</v>
      </c>
      <c r="L497" s="4">
        <f>J497+K497</f>
        <v>0</v>
      </c>
      <c r="M497" s="4" t="s">
        <v>80</v>
      </c>
      <c r="N497" s="4"/>
      <c r="O497" s="4">
        <v>1</v>
      </c>
      <c r="P497" s="4" t="s">
        <v>135</v>
      </c>
      <c r="Q497" s="4"/>
      <c r="R497" s="7">
        <v>610000</v>
      </c>
      <c r="S497" s="7">
        <v>0</v>
      </c>
      <c r="T497" s="7">
        <f>R497-S497</f>
        <v>0</v>
      </c>
      <c r="U497" s="7">
        <f>T497*O497</f>
        <v>0</v>
      </c>
    </row>
    <row r="498" spans="1:21">
      <c r="A498" s="4" t="s">
        <v>740</v>
      </c>
      <c r="B498" s="4" t="s">
        <v>39</v>
      </c>
      <c r="C498" s="5">
        <v>45919.35016203704</v>
      </c>
      <c r="D498" s="5">
        <v>45919</v>
      </c>
      <c r="E498" s="6">
        <f>IF(AND(C498&lt;&gt;"",D498&lt;&gt;""),D498-C498,"")</f>
        <v>0</v>
      </c>
      <c r="F498" s="4" t="s">
        <v>64</v>
      </c>
      <c r="G498" s="4" t="s">
        <v>587</v>
      </c>
      <c r="H498" s="4" t="s">
        <v>32</v>
      </c>
      <c r="I498" s="4" t="s">
        <v>33</v>
      </c>
      <c r="J498" s="4">
        <v>1</v>
      </c>
      <c r="K498" s="4">
        <v>0</v>
      </c>
      <c r="L498" s="4">
        <f>J498+K498</f>
        <v>0</v>
      </c>
      <c r="M498" s="4" t="s">
        <v>80</v>
      </c>
      <c r="N498" s="4"/>
      <c r="O498" s="4">
        <v>1</v>
      </c>
      <c r="P498" s="4" t="s">
        <v>135</v>
      </c>
      <c r="Q498" s="4"/>
      <c r="R498" s="7">
        <v>610000</v>
      </c>
      <c r="S498" s="7">
        <v>0</v>
      </c>
      <c r="T498" s="7">
        <f>R498-S498</f>
        <v>0</v>
      </c>
      <c r="U498" s="7">
        <f>T498*O498</f>
        <v>0</v>
      </c>
    </row>
    <row r="499" spans="1:21">
      <c r="A499" s="4" t="s">
        <v>741</v>
      </c>
      <c r="B499" s="4" t="s">
        <v>48</v>
      </c>
      <c r="C499" s="5">
        <v>45919.3518287037</v>
      </c>
      <c r="D499" s="5">
        <v>45961</v>
      </c>
      <c r="E499" s="6">
        <f>IF(AND(C499&lt;&gt;"",D499&lt;&gt;""),D499-C499,"")</f>
        <v>0</v>
      </c>
      <c r="F499" s="4" t="s">
        <v>64</v>
      </c>
      <c r="G499" s="4" t="s">
        <v>742</v>
      </c>
      <c r="H499" s="4" t="s">
        <v>32</v>
      </c>
      <c r="I499" s="4" t="s">
        <v>33</v>
      </c>
      <c r="J499" s="4">
        <v>1</v>
      </c>
      <c r="K499" s="4">
        <v>1</v>
      </c>
      <c r="L499" s="4">
        <f>J499+K499</f>
        <v>0</v>
      </c>
      <c r="M499" s="4"/>
      <c r="N499" s="4"/>
      <c r="O499" s="4">
        <v>0</v>
      </c>
      <c r="P499" s="4"/>
      <c r="Q499" s="4"/>
      <c r="R499" s="7">
        <v>0</v>
      </c>
      <c r="S499" s="7">
        <v>0</v>
      </c>
      <c r="T499" s="7">
        <f>R499-S499</f>
        <v>0</v>
      </c>
      <c r="U499" s="7">
        <f>T499*O499</f>
        <v>0</v>
      </c>
    </row>
    <row r="500" spans="1:21">
      <c r="A500" s="4" t="s">
        <v>743</v>
      </c>
      <c r="B500" s="4" t="s">
        <v>39</v>
      </c>
      <c r="C500" s="5">
        <v>45919.354375</v>
      </c>
      <c r="D500" s="5">
        <v>45919</v>
      </c>
      <c r="E500" s="6">
        <f>IF(AND(C500&lt;&gt;"",D500&lt;&gt;""),D500-C500,"")</f>
        <v>0</v>
      </c>
      <c r="F500" s="4" t="s">
        <v>64</v>
      </c>
      <c r="G500" s="4" t="s">
        <v>742</v>
      </c>
      <c r="H500" s="4" t="s">
        <v>32</v>
      </c>
      <c r="I500" s="4" t="s">
        <v>33</v>
      </c>
      <c r="J500" s="4">
        <v>1</v>
      </c>
      <c r="K500" s="4">
        <v>0</v>
      </c>
      <c r="L500" s="4">
        <f>J500+K500</f>
        <v>0</v>
      </c>
      <c r="M500" s="4" t="s">
        <v>42</v>
      </c>
      <c r="N500" s="4"/>
      <c r="O500" s="4">
        <v>1</v>
      </c>
      <c r="P500" s="4" t="s">
        <v>135</v>
      </c>
      <c r="Q500" s="4"/>
      <c r="R500" s="7">
        <v>370000</v>
      </c>
      <c r="S500" s="7">
        <v>0</v>
      </c>
      <c r="T500" s="7">
        <f>R500-S500</f>
        <v>0</v>
      </c>
      <c r="U500" s="7">
        <f>T500*O500</f>
        <v>0</v>
      </c>
    </row>
    <row r="501" spans="1:21">
      <c r="A501" s="4" t="s">
        <v>743</v>
      </c>
      <c r="B501" s="4" t="s">
        <v>39</v>
      </c>
      <c r="C501" s="5">
        <v>45919.354375</v>
      </c>
      <c r="D501" s="5">
        <v>45919</v>
      </c>
      <c r="E501" s="6">
        <f>IF(AND(C501&lt;&gt;"",D501&lt;&gt;""),D501-C501,"")</f>
        <v>0</v>
      </c>
      <c r="F501" s="4" t="s">
        <v>64</v>
      </c>
      <c r="G501" s="4" t="s">
        <v>742</v>
      </c>
      <c r="H501" s="4" t="s">
        <v>32</v>
      </c>
      <c r="I501" s="4" t="s">
        <v>33</v>
      </c>
      <c r="J501" s="4">
        <v>0</v>
      </c>
      <c r="K501" s="4">
        <v>1</v>
      </c>
      <c r="L501" s="4">
        <f>J501+K501</f>
        <v>0</v>
      </c>
      <c r="M501" s="4" t="s">
        <v>46</v>
      </c>
      <c r="N501" s="4"/>
      <c r="O501" s="4">
        <v>1</v>
      </c>
      <c r="P501" s="4" t="s">
        <v>135</v>
      </c>
      <c r="Q501" s="4"/>
      <c r="R501" s="7">
        <v>-292500</v>
      </c>
      <c r="S501" s="7">
        <v>0</v>
      </c>
      <c r="T501" s="7">
        <f>R501-S501</f>
        <v>0</v>
      </c>
      <c r="U501" s="7">
        <f>T501*O501</f>
        <v>0</v>
      </c>
    </row>
    <row r="502" spans="1:21">
      <c r="A502" s="4" t="s">
        <v>744</v>
      </c>
      <c r="B502" s="4" t="s">
        <v>48</v>
      </c>
      <c r="C502" s="5">
        <v>45919.3594212963</v>
      </c>
      <c r="D502" s="5">
        <v>45961</v>
      </c>
      <c r="E502" s="6">
        <f>IF(AND(C502&lt;&gt;"",D502&lt;&gt;""),D502-C502,"")</f>
        <v>0</v>
      </c>
      <c r="F502" s="4" t="s">
        <v>64</v>
      </c>
      <c r="G502" s="4" t="s">
        <v>745</v>
      </c>
      <c r="H502" s="4" t="s">
        <v>32</v>
      </c>
      <c r="I502" s="4" t="s">
        <v>33</v>
      </c>
      <c r="J502" s="4">
        <v>1</v>
      </c>
      <c r="K502" s="4">
        <v>1</v>
      </c>
      <c r="L502" s="4">
        <f>J502+K502</f>
        <v>0</v>
      </c>
      <c r="M502" s="4"/>
      <c r="N502" s="4"/>
      <c r="O502" s="4">
        <v>0</v>
      </c>
      <c r="P502" s="4"/>
      <c r="Q502" s="4"/>
      <c r="R502" s="7">
        <v>0</v>
      </c>
      <c r="S502" s="7">
        <v>0</v>
      </c>
      <c r="T502" s="7">
        <f>R502-S502</f>
        <v>0</v>
      </c>
      <c r="U502" s="7">
        <f>T502*O502</f>
        <v>0</v>
      </c>
    </row>
    <row r="503" spans="1:21">
      <c r="A503" s="4" t="s">
        <v>746</v>
      </c>
      <c r="B503" s="4" t="s">
        <v>48</v>
      </c>
      <c r="C503" s="5">
        <v>45919.36200231482</v>
      </c>
      <c r="D503" s="5">
        <v>45961</v>
      </c>
      <c r="E503" s="6">
        <f>IF(AND(C503&lt;&gt;"",D503&lt;&gt;""),D503-C503,"")</f>
        <v>0</v>
      </c>
      <c r="F503" s="4" t="s">
        <v>64</v>
      </c>
      <c r="G503" s="4" t="s">
        <v>747</v>
      </c>
      <c r="H503" s="4" t="s">
        <v>32</v>
      </c>
      <c r="I503" s="4" t="s">
        <v>33</v>
      </c>
      <c r="J503" s="4">
        <v>2</v>
      </c>
      <c r="K503" s="4">
        <v>2</v>
      </c>
      <c r="L503" s="4">
        <f>J503+K503</f>
        <v>0</v>
      </c>
      <c r="M503" s="4"/>
      <c r="N503" s="4"/>
      <c r="O503" s="4">
        <v>0</v>
      </c>
      <c r="P503" s="4"/>
      <c r="Q503" s="4"/>
      <c r="R503" s="7">
        <v>0</v>
      </c>
      <c r="S503" s="7">
        <v>0</v>
      </c>
      <c r="T503" s="7">
        <f>R503-S503</f>
        <v>0</v>
      </c>
      <c r="U503" s="7">
        <f>T503*O503</f>
        <v>0</v>
      </c>
    </row>
    <row r="504" spans="1:21">
      <c r="A504" s="4" t="s">
        <v>748</v>
      </c>
      <c r="B504" s="4" t="s">
        <v>39</v>
      </c>
      <c r="C504" s="5">
        <v>45919.36398148148</v>
      </c>
      <c r="D504" s="5">
        <v>45919</v>
      </c>
      <c r="E504" s="6">
        <f>IF(AND(C504&lt;&gt;"",D504&lt;&gt;""),D504-C504,"")</f>
        <v>0</v>
      </c>
      <c r="F504" s="4" t="s">
        <v>64</v>
      </c>
      <c r="G504" s="4" t="s">
        <v>747</v>
      </c>
      <c r="H504" s="4" t="s">
        <v>32</v>
      </c>
      <c r="I504" s="4" t="s">
        <v>33</v>
      </c>
      <c r="J504" s="4">
        <v>1</v>
      </c>
      <c r="K504" s="4">
        <v>0</v>
      </c>
      <c r="L504" s="4">
        <f>J504+K504</f>
        <v>0</v>
      </c>
      <c r="M504" s="4" t="s">
        <v>42</v>
      </c>
      <c r="N504" s="4"/>
      <c r="O504" s="4">
        <v>1</v>
      </c>
      <c r="P504" s="4" t="s">
        <v>135</v>
      </c>
      <c r="Q504" s="4"/>
      <c r="R504" s="7">
        <v>370000</v>
      </c>
      <c r="S504" s="7">
        <v>0</v>
      </c>
      <c r="T504" s="7">
        <f>R504-S504</f>
        <v>0</v>
      </c>
      <c r="U504" s="7">
        <f>T504*O504</f>
        <v>0</v>
      </c>
    </row>
    <row r="505" spans="1:21">
      <c r="A505" s="4" t="s">
        <v>748</v>
      </c>
      <c r="B505" s="4" t="s">
        <v>39</v>
      </c>
      <c r="C505" s="5">
        <v>45919.36398148148</v>
      </c>
      <c r="D505" s="5">
        <v>45919</v>
      </c>
      <c r="E505" s="6">
        <f>IF(AND(C505&lt;&gt;"",D505&lt;&gt;""),D505-C505,"")</f>
        <v>0</v>
      </c>
      <c r="F505" s="4" t="s">
        <v>64</v>
      </c>
      <c r="G505" s="4" t="s">
        <v>747</v>
      </c>
      <c r="H505" s="4" t="s">
        <v>32</v>
      </c>
      <c r="I505" s="4" t="s">
        <v>33</v>
      </c>
      <c r="J505" s="4">
        <v>0</v>
      </c>
      <c r="K505" s="4">
        <v>2</v>
      </c>
      <c r="L505" s="4">
        <f>J505+K505</f>
        <v>0</v>
      </c>
      <c r="M505" s="4" t="s">
        <v>46</v>
      </c>
      <c r="N505" s="4"/>
      <c r="O505" s="4">
        <v>2</v>
      </c>
      <c r="P505" s="4" t="s">
        <v>135</v>
      </c>
      <c r="Q505" s="4"/>
      <c r="R505" s="7">
        <v>-292500</v>
      </c>
      <c r="S505" s="7">
        <v>0</v>
      </c>
      <c r="T505" s="7">
        <f>R505-S505</f>
        <v>0</v>
      </c>
      <c r="U505" s="7">
        <f>T505*O505</f>
        <v>0</v>
      </c>
    </row>
    <row r="506" spans="1:21">
      <c r="A506" s="4" t="s">
        <v>749</v>
      </c>
      <c r="B506" s="4" t="s">
        <v>48</v>
      </c>
      <c r="C506" s="5">
        <v>45919.37011574074</v>
      </c>
      <c r="D506" s="5">
        <v>45961</v>
      </c>
      <c r="E506" s="6">
        <f>IF(AND(C506&lt;&gt;"",D506&lt;&gt;""),D506-C506,"")</f>
        <v>0</v>
      </c>
      <c r="F506" s="4" t="s">
        <v>64</v>
      </c>
      <c r="G506" s="4" t="s">
        <v>750</v>
      </c>
      <c r="H506" s="4" t="s">
        <v>32</v>
      </c>
      <c r="I506" s="4" t="s">
        <v>33</v>
      </c>
      <c r="J506" s="4">
        <v>1</v>
      </c>
      <c r="K506" s="4">
        <v>2</v>
      </c>
      <c r="L506" s="4">
        <f>J506+K506</f>
        <v>0</v>
      </c>
      <c r="M506" s="4"/>
      <c r="N506" s="4"/>
      <c r="O506" s="4">
        <v>0</v>
      </c>
      <c r="P506" s="4"/>
      <c r="Q506" s="4"/>
      <c r="R506" s="7">
        <v>0</v>
      </c>
      <c r="S506" s="7">
        <v>0</v>
      </c>
      <c r="T506" s="7">
        <f>R506-S506</f>
        <v>0</v>
      </c>
      <c r="U506" s="7">
        <f>T506*O506</f>
        <v>0</v>
      </c>
    </row>
    <row r="507" spans="1:21">
      <c r="A507" s="4" t="s">
        <v>751</v>
      </c>
      <c r="B507" s="4" t="s">
        <v>39</v>
      </c>
      <c r="C507" s="5">
        <v>45919.37087962963</v>
      </c>
      <c r="D507" s="5">
        <v>45919</v>
      </c>
      <c r="E507" s="6">
        <f>IF(AND(C507&lt;&gt;"",D507&lt;&gt;""),D507-C507,"")</f>
        <v>0</v>
      </c>
      <c r="F507" s="4" t="s">
        <v>64</v>
      </c>
      <c r="G507" s="4" t="s">
        <v>750</v>
      </c>
      <c r="H507" s="4" t="s">
        <v>32</v>
      </c>
      <c r="I507" s="4" t="s">
        <v>33</v>
      </c>
      <c r="J507" s="4">
        <v>1</v>
      </c>
      <c r="K507" s="4">
        <v>0</v>
      </c>
      <c r="L507" s="4">
        <f>J507+K507</f>
        <v>0</v>
      </c>
      <c r="M507" s="4" t="s">
        <v>42</v>
      </c>
      <c r="N507" s="4"/>
      <c r="O507" s="4">
        <v>1</v>
      </c>
      <c r="P507" s="4" t="s">
        <v>135</v>
      </c>
      <c r="Q507" s="4"/>
      <c r="R507" s="7">
        <v>370000</v>
      </c>
      <c r="S507" s="7">
        <v>0</v>
      </c>
      <c r="T507" s="7">
        <f>R507-S507</f>
        <v>0</v>
      </c>
      <c r="U507" s="7">
        <f>T507*O507</f>
        <v>0</v>
      </c>
    </row>
    <row r="508" spans="1:21">
      <c r="A508" s="4" t="s">
        <v>751</v>
      </c>
      <c r="B508" s="4" t="s">
        <v>39</v>
      </c>
      <c r="C508" s="5">
        <v>45919.37087962963</v>
      </c>
      <c r="D508" s="5">
        <v>45919</v>
      </c>
      <c r="E508" s="6">
        <f>IF(AND(C508&lt;&gt;"",D508&lt;&gt;""),D508-C508,"")</f>
        <v>0</v>
      </c>
      <c r="F508" s="4" t="s">
        <v>64</v>
      </c>
      <c r="G508" s="4" t="s">
        <v>750</v>
      </c>
      <c r="H508" s="4" t="s">
        <v>32</v>
      </c>
      <c r="I508" s="4" t="s">
        <v>33</v>
      </c>
      <c r="J508" s="4">
        <v>0</v>
      </c>
      <c r="K508" s="4">
        <v>2</v>
      </c>
      <c r="L508" s="4">
        <f>J508+K508</f>
        <v>0</v>
      </c>
      <c r="M508" s="4" t="s">
        <v>46</v>
      </c>
      <c r="N508" s="4"/>
      <c r="O508" s="4">
        <v>2</v>
      </c>
      <c r="P508" s="4" t="s">
        <v>135</v>
      </c>
      <c r="Q508" s="4"/>
      <c r="R508" s="7">
        <v>-292500</v>
      </c>
      <c r="S508" s="7">
        <v>0</v>
      </c>
      <c r="T508" s="7">
        <f>R508-S508</f>
        <v>0</v>
      </c>
      <c r="U508" s="7">
        <f>T508*O508</f>
        <v>0</v>
      </c>
    </row>
    <row r="509" spans="1:21">
      <c r="A509" s="4" t="s">
        <v>751</v>
      </c>
      <c r="B509" s="4" t="s">
        <v>39</v>
      </c>
      <c r="C509" s="5">
        <v>45919.37087962963</v>
      </c>
      <c r="D509" s="5">
        <v>45919</v>
      </c>
      <c r="E509" s="6">
        <f>IF(AND(C509&lt;&gt;"",D509&lt;&gt;""),D509-C509,"")</f>
        <v>0</v>
      </c>
      <c r="F509" s="4" t="s">
        <v>64</v>
      </c>
      <c r="G509" s="4" t="s">
        <v>750</v>
      </c>
      <c r="H509" s="4" t="s">
        <v>32</v>
      </c>
      <c r="I509" s="4" t="s">
        <v>33</v>
      </c>
      <c r="J509" s="4">
        <v>0</v>
      </c>
      <c r="K509" s="4">
        <v>0</v>
      </c>
      <c r="L509" s="4">
        <f>J509+K509</f>
        <v>0</v>
      </c>
      <c r="M509" s="4" t="s">
        <v>370</v>
      </c>
      <c r="N509" s="4"/>
      <c r="O509" s="4">
        <v>1</v>
      </c>
      <c r="P509" s="4" t="s">
        <v>135</v>
      </c>
      <c r="Q509" s="4"/>
      <c r="R509" s="7">
        <v>215000</v>
      </c>
      <c r="S509" s="7">
        <v>0</v>
      </c>
      <c r="T509" s="7">
        <f>R509-S509</f>
        <v>0</v>
      </c>
      <c r="U509" s="7">
        <f>T509*O509</f>
        <v>0</v>
      </c>
    </row>
    <row r="510" spans="1:21">
      <c r="A510" s="4" t="s">
        <v>752</v>
      </c>
      <c r="B510" s="4" t="s">
        <v>48</v>
      </c>
      <c r="C510" s="5">
        <v>45919.39891203704</v>
      </c>
      <c r="D510" s="5">
        <v>45961</v>
      </c>
      <c r="E510" s="6">
        <f>IF(AND(C510&lt;&gt;"",D510&lt;&gt;""),D510-C510,"")</f>
        <v>0</v>
      </c>
      <c r="F510" s="4" t="s">
        <v>64</v>
      </c>
      <c r="G510" s="4" t="s">
        <v>753</v>
      </c>
      <c r="H510" s="4" t="s">
        <v>32</v>
      </c>
      <c r="I510" s="4" t="s">
        <v>33</v>
      </c>
      <c r="J510" s="4">
        <v>1</v>
      </c>
      <c r="K510" s="4">
        <v>2</v>
      </c>
      <c r="L510" s="4">
        <f>J510+K510</f>
        <v>0</v>
      </c>
      <c r="M510" s="4"/>
      <c r="N510" s="4"/>
      <c r="O510" s="4">
        <v>0</v>
      </c>
      <c r="P510" s="4"/>
      <c r="Q510" s="4"/>
      <c r="R510" s="7">
        <v>0</v>
      </c>
      <c r="S510" s="7">
        <v>0</v>
      </c>
      <c r="T510" s="7">
        <f>R510-S510</f>
        <v>0</v>
      </c>
      <c r="U510" s="7">
        <f>T510*O510</f>
        <v>0</v>
      </c>
    </row>
    <row r="511" spans="1:21">
      <c r="A511" s="4" t="s">
        <v>754</v>
      </c>
      <c r="B511" s="4" t="s">
        <v>39</v>
      </c>
      <c r="C511" s="5">
        <v>45919.39940972222</v>
      </c>
      <c r="D511" s="5">
        <v>45919</v>
      </c>
      <c r="E511" s="6">
        <f>IF(AND(C511&lt;&gt;"",D511&lt;&gt;""),D511-C511,"")</f>
        <v>0</v>
      </c>
      <c r="F511" s="4" t="s">
        <v>64</v>
      </c>
      <c r="G511" s="4" t="s">
        <v>753</v>
      </c>
      <c r="H511" s="4" t="s">
        <v>32</v>
      </c>
      <c r="I511" s="4" t="s">
        <v>33</v>
      </c>
      <c r="J511" s="4">
        <v>0</v>
      </c>
      <c r="K511" s="4">
        <v>2</v>
      </c>
      <c r="L511" s="4">
        <f>J511+K511</f>
        <v>0</v>
      </c>
      <c r="M511" s="4" t="s">
        <v>46</v>
      </c>
      <c r="N511" s="4"/>
      <c r="O511" s="4">
        <v>2</v>
      </c>
      <c r="P511" s="4" t="s">
        <v>135</v>
      </c>
      <c r="Q511" s="4"/>
      <c r="R511" s="7">
        <v>-305000</v>
      </c>
      <c r="S511" s="7">
        <v>0</v>
      </c>
      <c r="T511" s="7">
        <f>R511-S511</f>
        <v>0</v>
      </c>
      <c r="U511" s="7">
        <f>T511*O511</f>
        <v>0</v>
      </c>
    </row>
    <row r="512" spans="1:21">
      <c r="A512" s="4" t="s">
        <v>754</v>
      </c>
      <c r="B512" s="4" t="s">
        <v>39</v>
      </c>
      <c r="C512" s="5">
        <v>45919.39940972222</v>
      </c>
      <c r="D512" s="5">
        <v>45919</v>
      </c>
      <c r="E512" s="6">
        <f>IF(AND(C512&lt;&gt;"",D512&lt;&gt;""),D512-C512,"")</f>
        <v>0</v>
      </c>
      <c r="F512" s="4" t="s">
        <v>64</v>
      </c>
      <c r="G512" s="4" t="s">
        <v>753</v>
      </c>
      <c r="H512" s="4" t="s">
        <v>32</v>
      </c>
      <c r="I512" s="4" t="s">
        <v>33</v>
      </c>
      <c r="J512" s="4">
        <v>1</v>
      </c>
      <c r="K512" s="4">
        <v>0</v>
      </c>
      <c r="L512" s="4">
        <f>J512+K512</f>
        <v>0</v>
      </c>
      <c r="M512" s="4" t="s">
        <v>80</v>
      </c>
      <c r="N512" s="4"/>
      <c r="O512" s="4">
        <v>1</v>
      </c>
      <c r="P512" s="4" t="s">
        <v>135</v>
      </c>
      <c r="Q512" s="4"/>
      <c r="R512" s="7">
        <v>610000</v>
      </c>
      <c r="S512" s="7">
        <v>0</v>
      </c>
      <c r="T512" s="7">
        <f>R512-S512</f>
        <v>0</v>
      </c>
      <c r="U512" s="7">
        <f>T512*O512</f>
        <v>0</v>
      </c>
    </row>
    <row r="513" spans="1:21">
      <c r="A513" s="4" t="s">
        <v>755</v>
      </c>
      <c r="B513" s="4" t="s">
        <v>48</v>
      </c>
      <c r="C513" s="5">
        <v>45919.41243055555</v>
      </c>
      <c r="D513" s="5">
        <v>45961</v>
      </c>
      <c r="E513" s="6">
        <f>IF(AND(C513&lt;&gt;"",D513&lt;&gt;""),D513-C513,"")</f>
        <v>0</v>
      </c>
      <c r="F513" s="4" t="s">
        <v>64</v>
      </c>
      <c r="G513" s="4" t="s">
        <v>756</v>
      </c>
      <c r="H513" s="4" t="s">
        <v>32</v>
      </c>
      <c r="I513" s="4" t="s">
        <v>33</v>
      </c>
      <c r="J513" s="4">
        <v>1</v>
      </c>
      <c r="K513" s="4">
        <v>1</v>
      </c>
      <c r="L513" s="4">
        <f>J513+K513</f>
        <v>0</v>
      </c>
      <c r="M513" s="4"/>
      <c r="N513" s="4"/>
      <c r="O513" s="4">
        <v>0</v>
      </c>
      <c r="P513" s="4"/>
      <c r="Q513" s="4"/>
      <c r="R513" s="7">
        <v>0</v>
      </c>
      <c r="S513" s="7">
        <v>0</v>
      </c>
      <c r="T513" s="7">
        <f>R513-S513</f>
        <v>0</v>
      </c>
      <c r="U513" s="7">
        <f>T513*O513</f>
        <v>0</v>
      </c>
    </row>
    <row r="514" spans="1:21">
      <c r="A514" s="4" t="s">
        <v>757</v>
      </c>
      <c r="B514" s="4" t="s">
        <v>39</v>
      </c>
      <c r="C514" s="5">
        <v>45919.41559027778</v>
      </c>
      <c r="D514" s="5">
        <v>45919</v>
      </c>
      <c r="E514" s="6">
        <f>IF(AND(C514&lt;&gt;"",D514&lt;&gt;""),D514-C514,"")</f>
        <v>0</v>
      </c>
      <c r="F514" s="4" t="s">
        <v>64</v>
      </c>
      <c r="G514" s="4" t="s">
        <v>756</v>
      </c>
      <c r="H514" s="4" t="s">
        <v>32</v>
      </c>
      <c r="I514" s="4" t="s">
        <v>33</v>
      </c>
      <c r="J514" s="4">
        <v>0</v>
      </c>
      <c r="K514" s="4">
        <v>1</v>
      </c>
      <c r="L514" s="4">
        <f>J514+K514</f>
        <v>0</v>
      </c>
      <c r="M514" s="4" t="s">
        <v>46</v>
      </c>
      <c r="N514" s="4"/>
      <c r="O514" s="4">
        <v>1</v>
      </c>
      <c r="P514" s="4" t="s">
        <v>135</v>
      </c>
      <c r="Q514" s="4"/>
      <c r="R514" s="7">
        <v>-305000</v>
      </c>
      <c r="S514" s="7">
        <v>0</v>
      </c>
      <c r="T514" s="7">
        <f>R514-S514</f>
        <v>0</v>
      </c>
      <c r="U514" s="7">
        <f>T514*O514</f>
        <v>0</v>
      </c>
    </row>
    <row r="515" spans="1:21">
      <c r="A515" s="4" t="s">
        <v>757</v>
      </c>
      <c r="B515" s="4" t="s">
        <v>39</v>
      </c>
      <c r="C515" s="5">
        <v>45919.41559027778</v>
      </c>
      <c r="D515" s="5">
        <v>45919</v>
      </c>
      <c r="E515" s="6">
        <f>IF(AND(C515&lt;&gt;"",D515&lt;&gt;""),D515-C515,"")</f>
        <v>0</v>
      </c>
      <c r="F515" s="4" t="s">
        <v>64</v>
      </c>
      <c r="G515" s="4" t="s">
        <v>756</v>
      </c>
      <c r="H515" s="4" t="s">
        <v>32</v>
      </c>
      <c r="I515" s="4" t="s">
        <v>33</v>
      </c>
      <c r="J515" s="4">
        <v>1</v>
      </c>
      <c r="K515" s="4">
        <v>0</v>
      </c>
      <c r="L515" s="4">
        <f>J515+K515</f>
        <v>0</v>
      </c>
      <c r="M515" s="4" t="s">
        <v>42</v>
      </c>
      <c r="N515" s="4"/>
      <c r="O515" s="4">
        <v>1</v>
      </c>
      <c r="P515" s="4" t="s">
        <v>135</v>
      </c>
      <c r="Q515" s="4"/>
      <c r="R515" s="7">
        <v>370000</v>
      </c>
      <c r="S515" s="7">
        <v>185000</v>
      </c>
      <c r="T515" s="7">
        <f>R515-S515</f>
        <v>0</v>
      </c>
      <c r="U515" s="7">
        <f>T515*O515</f>
        <v>0</v>
      </c>
    </row>
    <row r="516" spans="1:21">
      <c r="A516" s="4" t="s">
        <v>758</v>
      </c>
      <c r="B516" s="4" t="s">
        <v>29</v>
      </c>
      <c r="C516" s="5">
        <v>45919.45390046296</v>
      </c>
      <c r="D516" s="5">
        <v>45961</v>
      </c>
      <c r="E516" s="6">
        <f>IF(AND(C516&lt;&gt;"",D516&lt;&gt;""),D516-C516,"")</f>
        <v>0</v>
      </c>
      <c r="F516" s="4" t="s">
        <v>307</v>
      </c>
      <c r="G516" s="4" t="s">
        <v>308</v>
      </c>
      <c r="H516" s="4" t="s">
        <v>190</v>
      </c>
      <c r="I516" s="4" t="s">
        <v>56</v>
      </c>
      <c r="J516" s="4">
        <v>1</v>
      </c>
      <c r="K516" s="4">
        <v>0</v>
      </c>
      <c r="L516" s="4">
        <f>J516+K516</f>
        <v>0</v>
      </c>
      <c r="M516" s="4"/>
      <c r="N516" s="4"/>
      <c r="O516" s="4">
        <v>0</v>
      </c>
      <c r="P516" s="4"/>
      <c r="Q516" s="4"/>
      <c r="R516" s="7">
        <v>0</v>
      </c>
      <c r="S516" s="7">
        <v>0</v>
      </c>
      <c r="T516" s="7">
        <f>R516-S516</f>
        <v>0</v>
      </c>
      <c r="U516" s="7">
        <f>T516*O516</f>
        <v>0</v>
      </c>
    </row>
    <row r="517" spans="1:21">
      <c r="A517" s="4" t="s">
        <v>759</v>
      </c>
      <c r="B517" s="4" t="s">
        <v>29</v>
      </c>
      <c r="C517" s="5">
        <v>45919.54861111111</v>
      </c>
      <c r="D517" s="5">
        <v>45961</v>
      </c>
      <c r="E517" s="6">
        <f>IF(AND(C517&lt;&gt;"",D517&lt;&gt;""),D517-C517,"")</f>
        <v>0</v>
      </c>
      <c r="F517" s="4" t="s">
        <v>307</v>
      </c>
      <c r="G517" s="4" t="s">
        <v>308</v>
      </c>
      <c r="H517" s="4" t="s">
        <v>190</v>
      </c>
      <c r="I517" s="4" t="s">
        <v>56</v>
      </c>
      <c r="J517" s="4">
        <v>1</v>
      </c>
      <c r="K517" s="4">
        <v>0</v>
      </c>
      <c r="L517" s="4">
        <f>J517+K517</f>
        <v>0</v>
      </c>
      <c r="M517" s="4"/>
      <c r="N517" s="4"/>
      <c r="O517" s="4">
        <v>0</v>
      </c>
      <c r="P517" s="4"/>
      <c r="Q517" s="4"/>
      <c r="R517" s="7">
        <v>0</v>
      </c>
      <c r="S517" s="7">
        <v>0</v>
      </c>
      <c r="T517" s="7">
        <f>R517-S517</f>
        <v>0</v>
      </c>
      <c r="U517" s="7">
        <f>T517*O517</f>
        <v>0</v>
      </c>
    </row>
    <row r="518" spans="1:21">
      <c r="A518" s="4" t="s">
        <v>760</v>
      </c>
      <c r="B518" s="4" t="s">
        <v>29</v>
      </c>
      <c r="C518" s="5">
        <v>45919.54876157407</v>
      </c>
      <c r="D518" s="5">
        <v>45961</v>
      </c>
      <c r="E518" s="6">
        <f>IF(AND(C518&lt;&gt;"",D518&lt;&gt;""),D518-C518,"")</f>
        <v>0</v>
      </c>
      <c r="F518" s="4" t="s">
        <v>307</v>
      </c>
      <c r="G518" s="4" t="s">
        <v>308</v>
      </c>
      <c r="H518" s="4" t="s">
        <v>190</v>
      </c>
      <c r="I518" s="4" t="s">
        <v>56</v>
      </c>
      <c r="J518" s="4">
        <v>1</v>
      </c>
      <c r="K518" s="4">
        <v>0</v>
      </c>
      <c r="L518" s="4">
        <f>J518+K518</f>
        <v>0</v>
      </c>
      <c r="M518" s="4"/>
      <c r="N518" s="4"/>
      <c r="O518" s="4">
        <v>0</v>
      </c>
      <c r="P518" s="4"/>
      <c r="Q518" s="4"/>
      <c r="R518" s="7">
        <v>0</v>
      </c>
      <c r="S518" s="7">
        <v>0</v>
      </c>
      <c r="T518" s="7">
        <f>R518-S518</f>
        <v>0</v>
      </c>
      <c r="U518" s="7">
        <f>T518*O518</f>
        <v>0</v>
      </c>
    </row>
    <row r="519" spans="1:21">
      <c r="A519" s="4" t="s">
        <v>761</v>
      </c>
      <c r="B519" s="4" t="s">
        <v>48</v>
      </c>
      <c r="C519" s="5">
        <v>45920.12354166667</v>
      </c>
      <c r="D519" s="5">
        <v>45961</v>
      </c>
      <c r="E519" s="6">
        <f>IF(AND(C519&lt;&gt;"",D519&lt;&gt;""),D519-C519,"")</f>
        <v>0</v>
      </c>
      <c r="F519" s="4" t="s">
        <v>720</v>
      </c>
      <c r="G519" s="4" t="s">
        <v>721</v>
      </c>
      <c r="H519" s="4" t="s">
        <v>32</v>
      </c>
      <c r="I519" s="4" t="s">
        <v>33</v>
      </c>
      <c r="J519" s="4">
        <v>1</v>
      </c>
      <c r="K519" s="4">
        <v>1</v>
      </c>
      <c r="L519" s="4">
        <f>J519+K519</f>
        <v>0</v>
      </c>
      <c r="M519" s="4"/>
      <c r="N519" s="4"/>
      <c r="O519" s="4">
        <v>0</v>
      </c>
      <c r="P519" s="4"/>
      <c r="Q519" s="4"/>
      <c r="R519" s="7">
        <v>0</v>
      </c>
      <c r="S519" s="7">
        <v>0</v>
      </c>
      <c r="T519" s="7">
        <f>R519-S519</f>
        <v>0</v>
      </c>
      <c r="U519" s="7">
        <f>T519*O519</f>
        <v>0</v>
      </c>
    </row>
    <row r="520" spans="1:21">
      <c r="A520" s="4" t="s">
        <v>762</v>
      </c>
      <c r="B520" s="4" t="s">
        <v>48</v>
      </c>
      <c r="C520" s="5">
        <v>45920.12523148148</v>
      </c>
      <c r="D520" s="5">
        <v>45961</v>
      </c>
      <c r="E520" s="6">
        <f>IF(AND(C520&lt;&gt;"",D520&lt;&gt;""),D520-C520,"")</f>
        <v>0</v>
      </c>
      <c r="F520" s="4" t="s">
        <v>763</v>
      </c>
      <c r="G520" s="4" t="s">
        <v>764</v>
      </c>
      <c r="H520" s="4" t="s">
        <v>32</v>
      </c>
      <c r="I520" s="4" t="s">
        <v>33</v>
      </c>
      <c r="J520" s="4">
        <v>1</v>
      </c>
      <c r="K520" s="4">
        <v>1</v>
      </c>
      <c r="L520" s="4">
        <f>J520+K520</f>
        <v>0</v>
      </c>
      <c r="M520" s="4"/>
      <c r="N520" s="4"/>
      <c r="O520" s="4">
        <v>0</v>
      </c>
      <c r="P520" s="4"/>
      <c r="Q520" s="4"/>
      <c r="R520" s="7">
        <v>0</v>
      </c>
      <c r="S520" s="7">
        <v>0</v>
      </c>
      <c r="T520" s="7">
        <f>R520-S520</f>
        <v>0</v>
      </c>
      <c r="U520" s="7">
        <f>T520*O520</f>
        <v>0</v>
      </c>
    </row>
    <row r="521" spans="1:21">
      <c r="A521" s="4" t="s">
        <v>765</v>
      </c>
      <c r="B521" s="4" t="s">
        <v>39</v>
      </c>
      <c r="C521" s="5">
        <v>45920.37167824074</v>
      </c>
      <c r="D521" s="5">
        <v>45961</v>
      </c>
      <c r="E521" s="6">
        <f>IF(AND(C521&lt;&gt;"",D521&lt;&gt;""),D521-C521,"")</f>
        <v>0</v>
      </c>
      <c r="F521" s="4" t="s">
        <v>660</v>
      </c>
      <c r="G521" s="4" t="s">
        <v>766</v>
      </c>
      <c r="H521" s="4" t="s">
        <v>319</v>
      </c>
      <c r="I521" s="4" t="s">
        <v>56</v>
      </c>
      <c r="J521" s="4">
        <v>3</v>
      </c>
      <c r="K521" s="4">
        <v>0</v>
      </c>
      <c r="L521" s="4">
        <f>J521+K521</f>
        <v>0</v>
      </c>
      <c r="M521" s="4"/>
      <c r="N521" s="4"/>
      <c r="O521" s="4">
        <v>0</v>
      </c>
      <c r="P521" s="4"/>
      <c r="Q521" s="4"/>
      <c r="R521" s="7">
        <v>0</v>
      </c>
      <c r="S521" s="7">
        <v>0</v>
      </c>
      <c r="T521" s="7">
        <f>R521-S521</f>
        <v>0</v>
      </c>
      <c r="U521" s="7">
        <f>T521*O521</f>
        <v>0</v>
      </c>
    </row>
    <row r="522" spans="1:21">
      <c r="A522" s="4" t="s">
        <v>767</v>
      </c>
      <c r="B522" s="4" t="s">
        <v>48</v>
      </c>
      <c r="C522" s="5">
        <v>45920.39556712963</v>
      </c>
      <c r="D522" s="5">
        <v>45961</v>
      </c>
      <c r="E522" s="6">
        <f>IF(AND(C522&lt;&gt;"",D522&lt;&gt;""),D522-C522,"")</f>
        <v>0</v>
      </c>
      <c r="F522" s="4" t="s">
        <v>768</v>
      </c>
      <c r="G522" s="4" t="s">
        <v>769</v>
      </c>
      <c r="H522" s="4" t="s">
        <v>32</v>
      </c>
      <c r="I522" s="4" t="s">
        <v>33</v>
      </c>
      <c r="J522" s="4">
        <v>1</v>
      </c>
      <c r="K522" s="4">
        <v>0</v>
      </c>
      <c r="L522" s="4">
        <f>J522+K522</f>
        <v>0</v>
      </c>
      <c r="M522" s="4"/>
      <c r="N522" s="4"/>
      <c r="O522" s="4">
        <v>0</v>
      </c>
      <c r="P522" s="4"/>
      <c r="Q522" s="4"/>
      <c r="R522" s="7">
        <v>0</v>
      </c>
      <c r="S522" s="7">
        <v>0</v>
      </c>
      <c r="T522" s="7">
        <f>R522-S522</f>
        <v>0</v>
      </c>
      <c r="U522" s="7">
        <f>T522*O522</f>
        <v>0</v>
      </c>
    </row>
    <row r="523" spans="1:21">
      <c r="A523" s="4" t="s">
        <v>770</v>
      </c>
      <c r="B523" s="4" t="s">
        <v>29</v>
      </c>
      <c r="C523" s="5">
        <v>45920.58061342593</v>
      </c>
      <c r="D523" s="5">
        <v>45961</v>
      </c>
      <c r="E523" s="6">
        <f>IF(AND(C523&lt;&gt;"",D523&lt;&gt;""),D523-C523,"")</f>
        <v>0</v>
      </c>
      <c r="F523" s="4" t="s">
        <v>162</v>
      </c>
      <c r="G523" s="4" t="s">
        <v>202</v>
      </c>
      <c r="H523" s="4" t="s">
        <v>32</v>
      </c>
      <c r="I523" s="4" t="s">
        <v>33</v>
      </c>
      <c r="J523" s="4">
        <v>1</v>
      </c>
      <c r="K523" s="4">
        <v>1</v>
      </c>
      <c r="L523" s="4">
        <f>J523+K523</f>
        <v>0</v>
      </c>
      <c r="M523" s="4"/>
      <c r="N523" s="4"/>
      <c r="O523" s="4">
        <v>0</v>
      </c>
      <c r="P523" s="4"/>
      <c r="Q523" s="4"/>
      <c r="R523" s="7">
        <v>0</v>
      </c>
      <c r="S523" s="7">
        <v>0</v>
      </c>
      <c r="T523" s="7">
        <f>R523-S523</f>
        <v>0</v>
      </c>
      <c r="U523" s="7">
        <f>T523*O523</f>
        <v>0</v>
      </c>
    </row>
    <row r="524" spans="1:21">
      <c r="A524" s="4" t="s">
        <v>771</v>
      </c>
      <c r="B524" s="4" t="s">
        <v>48</v>
      </c>
      <c r="C524" s="5">
        <v>45921.10513888889</v>
      </c>
      <c r="D524" s="5">
        <v>45961</v>
      </c>
      <c r="E524" s="6">
        <f>IF(AND(C524&lt;&gt;"",D524&lt;&gt;""),D524-C524,"")</f>
        <v>0</v>
      </c>
      <c r="F524" s="4" t="s">
        <v>772</v>
      </c>
      <c r="G524" s="4" t="s">
        <v>773</v>
      </c>
      <c r="H524" s="4"/>
      <c r="I524" s="4" t="s">
        <v>56</v>
      </c>
      <c r="J524" s="4">
        <v>1</v>
      </c>
      <c r="K524" s="4">
        <v>0</v>
      </c>
      <c r="L524" s="4">
        <f>J524+K524</f>
        <v>0</v>
      </c>
      <c r="M524" s="4"/>
      <c r="N524" s="4"/>
      <c r="O524" s="4">
        <v>0</v>
      </c>
      <c r="P524" s="4"/>
      <c r="Q524" s="4"/>
      <c r="R524" s="7">
        <v>0</v>
      </c>
      <c r="S524" s="7">
        <v>0</v>
      </c>
      <c r="T524" s="7">
        <f>R524-S524</f>
        <v>0</v>
      </c>
      <c r="U524" s="7">
        <f>T524*O524</f>
        <v>0</v>
      </c>
    </row>
    <row r="525" spans="1:21">
      <c r="A525" s="4" t="s">
        <v>774</v>
      </c>
      <c r="B525" s="4" t="s">
        <v>48</v>
      </c>
      <c r="C525" s="5">
        <v>45921.42090277778</v>
      </c>
      <c r="D525" s="5">
        <v>45961</v>
      </c>
      <c r="E525" s="6">
        <f>IF(AND(C525&lt;&gt;"",D525&lt;&gt;""),D525-C525,"")</f>
        <v>0</v>
      </c>
      <c r="F525" s="4" t="s">
        <v>130</v>
      </c>
      <c r="G525" s="4" t="s">
        <v>62</v>
      </c>
      <c r="H525" s="4" t="s">
        <v>32</v>
      </c>
      <c r="I525" s="4" t="s">
        <v>33</v>
      </c>
      <c r="J525" s="4">
        <v>5</v>
      </c>
      <c r="K525" s="4">
        <v>2</v>
      </c>
      <c r="L525" s="4">
        <f>J525+K525</f>
        <v>0</v>
      </c>
      <c r="M525" s="4"/>
      <c r="N525" s="4"/>
      <c r="O525" s="4">
        <v>0</v>
      </c>
      <c r="P525" s="4"/>
      <c r="Q525" s="4"/>
      <c r="R525" s="7">
        <v>0</v>
      </c>
      <c r="S525" s="7">
        <v>0</v>
      </c>
      <c r="T525" s="7">
        <f>R525-S525</f>
        <v>0</v>
      </c>
      <c r="U525" s="7">
        <f>T525*O525</f>
        <v>0</v>
      </c>
    </row>
    <row r="526" spans="1:21">
      <c r="A526" s="4" t="s">
        <v>775</v>
      </c>
      <c r="B526" s="4" t="s">
        <v>48</v>
      </c>
      <c r="C526" s="5">
        <v>45921.57596064815</v>
      </c>
      <c r="D526" s="5">
        <v>45961</v>
      </c>
      <c r="E526" s="6">
        <f>IF(AND(C526&lt;&gt;"",D526&lt;&gt;""),D526-C526,"")</f>
        <v>0</v>
      </c>
      <c r="F526" s="4" t="s">
        <v>64</v>
      </c>
      <c r="G526" s="4" t="s">
        <v>776</v>
      </c>
      <c r="H526" s="4" t="s">
        <v>32</v>
      </c>
      <c r="I526" s="4" t="s">
        <v>33</v>
      </c>
      <c r="J526" s="4">
        <v>2</v>
      </c>
      <c r="K526" s="4">
        <v>0</v>
      </c>
      <c r="L526" s="4">
        <f>J526+K526</f>
        <v>0</v>
      </c>
      <c r="M526" s="4"/>
      <c r="N526" s="4"/>
      <c r="O526" s="4">
        <v>0</v>
      </c>
      <c r="P526" s="4"/>
      <c r="Q526" s="4"/>
      <c r="R526" s="7">
        <v>0</v>
      </c>
      <c r="S526" s="7">
        <v>0</v>
      </c>
      <c r="T526" s="7">
        <f>R526-S526</f>
        <v>0</v>
      </c>
      <c r="U526" s="7">
        <f>T526*O526</f>
        <v>0</v>
      </c>
    </row>
    <row r="527" spans="1:21">
      <c r="A527" s="4" t="s">
        <v>777</v>
      </c>
      <c r="B527" s="4" t="s">
        <v>48</v>
      </c>
      <c r="C527" s="5">
        <v>45921.57835648148</v>
      </c>
      <c r="D527" s="5">
        <v>45961</v>
      </c>
      <c r="E527" s="6">
        <f>IF(AND(C527&lt;&gt;"",D527&lt;&gt;""),D527-C527,"")</f>
        <v>0</v>
      </c>
      <c r="F527" s="4" t="s">
        <v>64</v>
      </c>
      <c r="G527" s="4" t="s">
        <v>778</v>
      </c>
      <c r="H527" s="4" t="s">
        <v>32</v>
      </c>
      <c r="I527" s="4" t="s">
        <v>33</v>
      </c>
      <c r="J527" s="4">
        <v>2</v>
      </c>
      <c r="K527" s="4">
        <v>0</v>
      </c>
      <c r="L527" s="4">
        <f>J527+K527</f>
        <v>0</v>
      </c>
      <c r="M527" s="4"/>
      <c r="N527" s="4"/>
      <c r="O527" s="4">
        <v>0</v>
      </c>
      <c r="P527" s="4"/>
      <c r="Q527" s="4"/>
      <c r="R527" s="7">
        <v>0</v>
      </c>
      <c r="S527" s="7">
        <v>0</v>
      </c>
      <c r="T527" s="7">
        <f>R527-S527</f>
        <v>0</v>
      </c>
      <c r="U527" s="7">
        <f>T527*O527</f>
        <v>0</v>
      </c>
    </row>
    <row r="528" spans="1:21">
      <c r="A528" s="4" t="s">
        <v>779</v>
      </c>
      <c r="B528" s="4" t="s">
        <v>48</v>
      </c>
      <c r="C528" s="5">
        <v>45921.58087962963</v>
      </c>
      <c r="D528" s="5">
        <v>45961</v>
      </c>
      <c r="E528" s="6">
        <f>IF(AND(C528&lt;&gt;"",D528&lt;&gt;""),D528-C528,"")</f>
        <v>0</v>
      </c>
      <c r="F528" s="4" t="s">
        <v>64</v>
      </c>
      <c r="G528" s="4" t="s">
        <v>780</v>
      </c>
      <c r="H528" s="4" t="s">
        <v>32</v>
      </c>
      <c r="I528" s="4" t="s">
        <v>33</v>
      </c>
      <c r="J528" s="4">
        <v>2</v>
      </c>
      <c r="K528" s="4">
        <v>0</v>
      </c>
      <c r="L528" s="4">
        <f>J528+K528</f>
        <v>0</v>
      </c>
      <c r="M528" s="4"/>
      <c r="N528" s="4"/>
      <c r="O528" s="4">
        <v>0</v>
      </c>
      <c r="P528" s="4"/>
      <c r="Q528" s="4"/>
      <c r="R528" s="7">
        <v>0</v>
      </c>
      <c r="S528" s="7">
        <v>0</v>
      </c>
      <c r="T528" s="7">
        <f>R528-S528</f>
        <v>0</v>
      </c>
      <c r="U528" s="7">
        <f>T528*O528</f>
        <v>0</v>
      </c>
    </row>
    <row r="529" spans="1:21">
      <c r="A529" s="4" t="s">
        <v>781</v>
      </c>
      <c r="B529" s="4" t="s">
        <v>48</v>
      </c>
      <c r="C529" s="5">
        <v>45921.59234953704</v>
      </c>
      <c r="D529" s="5">
        <v>45961</v>
      </c>
      <c r="E529" s="6">
        <f>IF(AND(C529&lt;&gt;"",D529&lt;&gt;""),D529-C529,"")</f>
        <v>0</v>
      </c>
      <c r="F529" s="4" t="s">
        <v>64</v>
      </c>
      <c r="G529" s="4" t="s">
        <v>782</v>
      </c>
      <c r="H529" s="4" t="s">
        <v>32</v>
      </c>
      <c r="I529" s="4" t="s">
        <v>33</v>
      </c>
      <c r="J529" s="4">
        <v>2</v>
      </c>
      <c r="K529" s="4">
        <v>0</v>
      </c>
      <c r="L529" s="4">
        <f>J529+K529</f>
        <v>0</v>
      </c>
      <c r="M529" s="4"/>
      <c r="N529" s="4"/>
      <c r="O529" s="4">
        <v>0</v>
      </c>
      <c r="P529" s="4"/>
      <c r="Q529" s="4"/>
      <c r="R529" s="7">
        <v>0</v>
      </c>
      <c r="S529" s="7">
        <v>0</v>
      </c>
      <c r="T529" s="7">
        <f>R529-S529</f>
        <v>0</v>
      </c>
      <c r="U529" s="7">
        <f>T529*O529</f>
        <v>0</v>
      </c>
    </row>
    <row r="530" spans="1:21">
      <c r="A530" s="4" t="s">
        <v>783</v>
      </c>
      <c r="B530" s="4" t="s">
        <v>103</v>
      </c>
      <c r="C530" s="5">
        <v>45921.59625</v>
      </c>
      <c r="D530" s="5">
        <v>45961</v>
      </c>
      <c r="E530" s="6">
        <f>IF(AND(C530&lt;&gt;"",D530&lt;&gt;""),D530-C530,"")</f>
        <v>0</v>
      </c>
      <c r="F530" s="4" t="s">
        <v>64</v>
      </c>
      <c r="G530" s="4" t="s">
        <v>683</v>
      </c>
      <c r="H530" s="4" t="s">
        <v>32</v>
      </c>
      <c r="I530" s="4" t="s">
        <v>33</v>
      </c>
      <c r="J530" s="4">
        <v>20</v>
      </c>
      <c r="K530" s="4">
        <v>10</v>
      </c>
      <c r="L530" s="4">
        <f>J530+K530</f>
        <v>0</v>
      </c>
      <c r="M530" s="4"/>
      <c r="N530" s="4"/>
      <c r="O530" s="4">
        <v>0</v>
      </c>
      <c r="P530" s="4"/>
      <c r="Q530" s="4"/>
      <c r="R530" s="7">
        <v>0</v>
      </c>
      <c r="S530" s="7">
        <v>0</v>
      </c>
      <c r="T530" s="7">
        <f>R530-S530</f>
        <v>0</v>
      </c>
      <c r="U530" s="7">
        <f>T530*O530</f>
        <v>0</v>
      </c>
    </row>
    <row r="531" spans="1:21">
      <c r="A531" s="4" t="s">
        <v>784</v>
      </c>
      <c r="B531" s="4"/>
      <c r="C531" s="5">
        <v>45921.60740740741</v>
      </c>
      <c r="D531" s="5">
        <v>45922.58333333334</v>
      </c>
      <c r="E531" s="6">
        <f>IF(AND(C531&lt;&gt;"",D531&lt;&gt;""),D531-C531,"")</f>
        <v>0</v>
      </c>
      <c r="F531" s="4" t="s">
        <v>785</v>
      </c>
      <c r="G531" s="4" t="s">
        <v>786</v>
      </c>
      <c r="H531" s="4" t="s">
        <v>787</v>
      </c>
      <c r="I531" s="4" t="s">
        <v>56</v>
      </c>
      <c r="J531" s="4">
        <v>2</v>
      </c>
      <c r="K531" s="4">
        <v>0</v>
      </c>
      <c r="L531" s="4">
        <f>J531+K531</f>
        <v>0</v>
      </c>
      <c r="M531" s="4"/>
      <c r="N531" s="4"/>
      <c r="O531" s="4">
        <v>0</v>
      </c>
      <c r="P531" s="4"/>
      <c r="Q531" s="4"/>
      <c r="R531" s="7">
        <v>0</v>
      </c>
      <c r="S531" s="7">
        <v>0</v>
      </c>
      <c r="T531" s="7">
        <f>R531-S531</f>
        <v>0</v>
      </c>
      <c r="U531" s="7">
        <f>T531*O531</f>
        <v>0</v>
      </c>
    </row>
    <row r="532" spans="1:21">
      <c r="A532" s="4" t="s">
        <v>788</v>
      </c>
      <c r="B532" s="4"/>
      <c r="C532" s="5">
        <v>45921.61662037037</v>
      </c>
      <c r="D532" s="5">
        <v>45922.66666666666</v>
      </c>
      <c r="E532" s="6">
        <f>IF(AND(C532&lt;&gt;"",D532&lt;&gt;""),D532-C532,"")</f>
        <v>0</v>
      </c>
      <c r="F532" s="4" t="s">
        <v>789</v>
      </c>
      <c r="G532" s="4" t="s">
        <v>790</v>
      </c>
      <c r="H532" s="4" t="s">
        <v>305</v>
      </c>
      <c r="I532" s="4" t="s">
        <v>56</v>
      </c>
      <c r="J532" s="4">
        <v>2</v>
      </c>
      <c r="K532" s="4">
        <v>2</v>
      </c>
      <c r="L532" s="4">
        <f>J532+K532</f>
        <v>0</v>
      </c>
      <c r="M532" s="4"/>
      <c r="N532" s="4"/>
      <c r="O532" s="4">
        <v>0</v>
      </c>
      <c r="P532" s="4"/>
      <c r="Q532" s="4"/>
      <c r="R532" s="7">
        <v>0</v>
      </c>
      <c r="S532" s="7">
        <v>0</v>
      </c>
      <c r="T532" s="7">
        <f>R532-S532</f>
        <v>0</v>
      </c>
      <c r="U532" s="7">
        <f>T532*O532</f>
        <v>0</v>
      </c>
    </row>
    <row r="533" spans="1:21">
      <c r="A533" s="4" t="s">
        <v>791</v>
      </c>
      <c r="B533" s="4"/>
      <c r="C533" s="5">
        <v>45921.62361111111</v>
      </c>
      <c r="D533" s="5">
        <v>45923.58333333334</v>
      </c>
      <c r="E533" s="6">
        <f>IF(AND(C533&lt;&gt;"",D533&lt;&gt;""),D533-C533,"")</f>
        <v>0</v>
      </c>
      <c r="F533" s="4" t="s">
        <v>792</v>
      </c>
      <c r="G533" s="4" t="s">
        <v>793</v>
      </c>
      <c r="H533" s="4" t="s">
        <v>190</v>
      </c>
      <c r="I533" s="4" t="s">
        <v>56</v>
      </c>
      <c r="J533" s="4">
        <v>2</v>
      </c>
      <c r="K533" s="4">
        <v>0</v>
      </c>
      <c r="L533" s="4">
        <f>J533+K533</f>
        <v>0</v>
      </c>
      <c r="M533" s="4"/>
      <c r="N533" s="4"/>
      <c r="O533" s="4">
        <v>0</v>
      </c>
      <c r="P533" s="4"/>
      <c r="Q533" s="4"/>
      <c r="R533" s="7">
        <v>0</v>
      </c>
      <c r="S533" s="7">
        <v>0</v>
      </c>
      <c r="T533" s="7">
        <f>R533-S533</f>
        <v>0</v>
      </c>
      <c r="U533" s="7">
        <f>T533*O533</f>
        <v>0</v>
      </c>
    </row>
    <row r="534" spans="1:21">
      <c r="A534" s="4" t="s">
        <v>794</v>
      </c>
      <c r="B534" s="4" t="s">
        <v>48</v>
      </c>
      <c r="C534" s="5">
        <v>45921.70219907408</v>
      </c>
      <c r="D534" s="5">
        <v>45961</v>
      </c>
      <c r="E534" s="6">
        <f>IF(AND(C534&lt;&gt;"",D534&lt;&gt;""),D534-C534,"")</f>
        <v>0</v>
      </c>
      <c r="F534" s="4" t="s">
        <v>165</v>
      </c>
      <c r="G534" s="4" t="s">
        <v>65</v>
      </c>
      <c r="H534" s="4" t="s">
        <v>32</v>
      </c>
      <c r="I534" s="4" t="s">
        <v>33</v>
      </c>
      <c r="J534" s="4">
        <v>2</v>
      </c>
      <c r="K534" s="4">
        <v>0</v>
      </c>
      <c r="L534" s="4">
        <f>J534+K534</f>
        <v>0</v>
      </c>
      <c r="M534" s="4"/>
      <c r="N534" s="4"/>
      <c r="O534" s="4">
        <v>0</v>
      </c>
      <c r="P534" s="4"/>
      <c r="Q534" s="4"/>
      <c r="R534" s="7">
        <v>0</v>
      </c>
      <c r="S534" s="7">
        <v>0</v>
      </c>
      <c r="T534" s="7">
        <f>R534-S534</f>
        <v>0</v>
      </c>
      <c r="U534" s="7">
        <f>T534*O534</f>
        <v>0</v>
      </c>
    </row>
    <row r="535" spans="1:21">
      <c r="A535" s="4" t="s">
        <v>795</v>
      </c>
      <c r="B535" s="4" t="s">
        <v>48</v>
      </c>
      <c r="C535" s="5">
        <v>45921.70902777778</v>
      </c>
      <c r="D535" s="5">
        <v>45961</v>
      </c>
      <c r="E535" s="6">
        <f>IF(AND(C535&lt;&gt;"",D535&lt;&gt;""),D535-C535,"")</f>
        <v>0</v>
      </c>
      <c r="F535" s="4" t="s">
        <v>64</v>
      </c>
      <c r="G535" s="4" t="s">
        <v>796</v>
      </c>
      <c r="H535" s="4" t="s">
        <v>32</v>
      </c>
      <c r="I535" s="4" t="s">
        <v>33</v>
      </c>
      <c r="J535" s="4">
        <v>2</v>
      </c>
      <c r="K535" s="4">
        <v>0</v>
      </c>
      <c r="L535" s="4">
        <f>J535+K535</f>
        <v>0</v>
      </c>
      <c r="M535" s="4"/>
      <c r="N535" s="4"/>
      <c r="O535" s="4">
        <v>0</v>
      </c>
      <c r="P535" s="4"/>
      <c r="Q535" s="4"/>
      <c r="R535" s="7">
        <v>0</v>
      </c>
      <c r="S535" s="7">
        <v>0</v>
      </c>
      <c r="T535" s="7">
        <f>R535-S535</f>
        <v>0</v>
      </c>
      <c r="U535" s="7">
        <f>T535*O535</f>
        <v>0</v>
      </c>
    </row>
    <row r="536" spans="1:21">
      <c r="A536" s="4" t="s">
        <v>797</v>
      </c>
      <c r="B536" s="4" t="s">
        <v>39</v>
      </c>
      <c r="C536" s="5">
        <v>45921.71164351852</v>
      </c>
      <c r="D536" s="5">
        <v>45921</v>
      </c>
      <c r="E536" s="6">
        <f>IF(AND(C536&lt;&gt;"",D536&lt;&gt;""),D536-C536,"")</f>
        <v>0</v>
      </c>
      <c r="F536" s="4" t="s">
        <v>798</v>
      </c>
      <c r="G536" s="4" t="s">
        <v>799</v>
      </c>
      <c r="H536" s="4"/>
      <c r="I536" s="4" t="s">
        <v>56</v>
      </c>
      <c r="J536" s="4">
        <v>1</v>
      </c>
      <c r="K536" s="4">
        <v>0</v>
      </c>
      <c r="L536" s="4">
        <f>J536+K536</f>
        <v>0</v>
      </c>
      <c r="M536" s="4" t="s">
        <v>80</v>
      </c>
      <c r="N536" s="4"/>
      <c r="O536" s="4">
        <v>1</v>
      </c>
      <c r="P536" s="4" t="s">
        <v>43</v>
      </c>
      <c r="Q536" s="4"/>
      <c r="R536" s="7">
        <v>610000</v>
      </c>
      <c r="S536" s="7">
        <v>0</v>
      </c>
      <c r="T536" s="7">
        <f>R536-S536</f>
        <v>0</v>
      </c>
      <c r="U536" s="7">
        <f>T536*O536</f>
        <v>0</v>
      </c>
    </row>
    <row r="537" spans="1:21">
      <c r="A537" s="4" t="s">
        <v>800</v>
      </c>
      <c r="B537" s="4" t="s">
        <v>39</v>
      </c>
      <c r="C537" s="5">
        <v>45921.71480324074</v>
      </c>
      <c r="D537" s="5">
        <v>45921</v>
      </c>
      <c r="E537" s="6">
        <f>IF(AND(C537&lt;&gt;"",D537&lt;&gt;""),D537-C537,"")</f>
        <v>0</v>
      </c>
      <c r="F537" s="4" t="s">
        <v>801</v>
      </c>
      <c r="G537" s="4" t="s">
        <v>802</v>
      </c>
      <c r="H537" s="4"/>
      <c r="I537" s="4" t="s">
        <v>56</v>
      </c>
      <c r="J537" s="4">
        <v>0</v>
      </c>
      <c r="K537" s="4">
        <v>0</v>
      </c>
      <c r="L537" s="4">
        <f>J537+K537</f>
        <v>0</v>
      </c>
      <c r="M537" s="4" t="s">
        <v>803</v>
      </c>
      <c r="N537" s="4"/>
      <c r="O537" s="4">
        <v>1</v>
      </c>
      <c r="P537" s="4" t="s">
        <v>135</v>
      </c>
      <c r="Q537" s="4"/>
      <c r="R537" s="7">
        <v>60000</v>
      </c>
      <c r="S537" s="7">
        <v>0</v>
      </c>
      <c r="T537" s="7">
        <f>R537-S537</f>
        <v>0</v>
      </c>
      <c r="U537" s="7">
        <f>T537*O537</f>
        <v>0</v>
      </c>
    </row>
    <row r="538" spans="1:21">
      <c r="A538" s="4" t="s">
        <v>800</v>
      </c>
      <c r="B538" s="4" t="s">
        <v>39</v>
      </c>
      <c r="C538" s="5">
        <v>45921.71480324074</v>
      </c>
      <c r="D538" s="5">
        <v>45921</v>
      </c>
      <c r="E538" s="6">
        <f>IF(AND(C538&lt;&gt;"",D538&lt;&gt;""),D538-C538,"")</f>
        <v>0</v>
      </c>
      <c r="F538" s="4" t="s">
        <v>801</v>
      </c>
      <c r="G538" s="4" t="s">
        <v>802</v>
      </c>
      <c r="H538" s="4"/>
      <c r="I538" s="4" t="s">
        <v>56</v>
      </c>
      <c r="J538" s="4">
        <v>1</v>
      </c>
      <c r="K538" s="4">
        <v>0</v>
      </c>
      <c r="L538" s="4">
        <f>J538+K538</f>
        <v>0</v>
      </c>
      <c r="M538" s="4" t="s">
        <v>42</v>
      </c>
      <c r="N538" s="4"/>
      <c r="O538" s="4">
        <v>1</v>
      </c>
      <c r="P538" s="4" t="s">
        <v>135</v>
      </c>
      <c r="Q538" s="4"/>
      <c r="R538" s="7">
        <v>370000</v>
      </c>
      <c r="S538" s="7">
        <v>0</v>
      </c>
      <c r="T538" s="7">
        <f>R538-S538</f>
        <v>0</v>
      </c>
      <c r="U538" s="7">
        <f>T538*O538</f>
        <v>0</v>
      </c>
    </row>
    <row r="539" spans="1:21">
      <c r="A539" s="4" t="s">
        <v>800</v>
      </c>
      <c r="B539" s="4" t="s">
        <v>39</v>
      </c>
      <c r="C539" s="5">
        <v>45921.71480324074</v>
      </c>
      <c r="D539" s="5">
        <v>45921</v>
      </c>
      <c r="E539" s="6">
        <f>IF(AND(C539&lt;&gt;"",D539&lt;&gt;""),D539-C539,"")</f>
        <v>0</v>
      </c>
      <c r="F539" s="4" t="s">
        <v>801</v>
      </c>
      <c r="G539" s="4" t="s">
        <v>802</v>
      </c>
      <c r="H539" s="4"/>
      <c r="I539" s="4" t="s">
        <v>56</v>
      </c>
      <c r="J539" s="4">
        <v>1</v>
      </c>
      <c r="K539" s="4">
        <v>0</v>
      </c>
      <c r="L539" s="4">
        <f>J539+K539</f>
        <v>0</v>
      </c>
      <c r="M539" s="4" t="s">
        <v>42</v>
      </c>
      <c r="N539" s="4"/>
      <c r="O539" s="4">
        <v>1</v>
      </c>
      <c r="P539" s="4" t="s">
        <v>135</v>
      </c>
      <c r="Q539" s="4"/>
      <c r="R539" s="7">
        <v>370000</v>
      </c>
      <c r="S539" s="7">
        <v>0</v>
      </c>
      <c r="T539" s="7">
        <f>R539-S539</f>
        <v>0</v>
      </c>
      <c r="U539" s="7">
        <f>T539*O539</f>
        <v>0</v>
      </c>
    </row>
    <row r="540" spans="1:21">
      <c r="A540" s="4" t="s">
        <v>804</v>
      </c>
      <c r="B540" s="4" t="s">
        <v>39</v>
      </c>
      <c r="C540" s="5">
        <v>45921.71800925926</v>
      </c>
      <c r="D540" s="5">
        <v>45921</v>
      </c>
      <c r="E540" s="6">
        <f>IF(AND(C540&lt;&gt;"",D540&lt;&gt;""),D540-C540,"")</f>
        <v>0</v>
      </c>
      <c r="F540" s="4" t="s">
        <v>805</v>
      </c>
      <c r="G540" s="4" t="s">
        <v>806</v>
      </c>
      <c r="H540" s="4"/>
      <c r="I540" s="4" t="s">
        <v>56</v>
      </c>
      <c r="J540" s="4">
        <v>1</v>
      </c>
      <c r="K540" s="4">
        <v>0</v>
      </c>
      <c r="L540" s="4">
        <f>J540+K540</f>
        <v>0</v>
      </c>
      <c r="M540" s="4" t="s">
        <v>80</v>
      </c>
      <c r="N540" s="4"/>
      <c r="O540" s="4">
        <v>1</v>
      </c>
      <c r="P540" s="4" t="s">
        <v>135</v>
      </c>
      <c r="Q540" s="4"/>
      <c r="R540" s="7">
        <v>610000</v>
      </c>
      <c r="S540" s="7">
        <v>0</v>
      </c>
      <c r="T540" s="7">
        <f>R540-S540</f>
        <v>0</v>
      </c>
      <c r="U540" s="7">
        <f>T540*O540</f>
        <v>0</v>
      </c>
    </row>
    <row r="541" spans="1:21">
      <c r="A541" s="4" t="s">
        <v>804</v>
      </c>
      <c r="B541" s="4" t="s">
        <v>39</v>
      </c>
      <c r="C541" s="5">
        <v>45921.71800925926</v>
      </c>
      <c r="D541" s="5">
        <v>45921</v>
      </c>
      <c r="E541" s="6">
        <f>IF(AND(C541&lt;&gt;"",D541&lt;&gt;""),D541-C541,"")</f>
        <v>0</v>
      </c>
      <c r="F541" s="4" t="s">
        <v>805</v>
      </c>
      <c r="G541" s="4" t="s">
        <v>806</v>
      </c>
      <c r="H541" s="4"/>
      <c r="I541" s="4" t="s">
        <v>56</v>
      </c>
      <c r="J541" s="4">
        <v>0</v>
      </c>
      <c r="K541" s="4">
        <v>0</v>
      </c>
      <c r="L541" s="4">
        <f>J541+K541</f>
        <v>0</v>
      </c>
      <c r="M541" s="4" t="s">
        <v>803</v>
      </c>
      <c r="N541" s="4"/>
      <c r="O541" s="4">
        <v>1</v>
      </c>
      <c r="P541" s="4" t="s">
        <v>135</v>
      </c>
      <c r="Q541" s="4"/>
      <c r="R541" s="7">
        <v>40000</v>
      </c>
      <c r="S541" s="7">
        <v>0</v>
      </c>
      <c r="T541" s="7">
        <f>R541-S541</f>
        <v>0</v>
      </c>
      <c r="U541" s="7">
        <f>T541*O541</f>
        <v>0</v>
      </c>
    </row>
    <row r="542" spans="1:21">
      <c r="A542" s="4" t="s">
        <v>807</v>
      </c>
      <c r="B542" s="4" t="s">
        <v>103</v>
      </c>
      <c r="C542" s="5">
        <v>45921.7303125</v>
      </c>
      <c r="D542" s="5">
        <v>45961</v>
      </c>
      <c r="E542" s="6">
        <f>IF(AND(C542&lt;&gt;"",D542&lt;&gt;""),D542-C542,"")</f>
        <v>0</v>
      </c>
      <c r="F542" s="4" t="s">
        <v>165</v>
      </c>
      <c r="G542" s="4" t="s">
        <v>65</v>
      </c>
      <c r="H542" s="4" t="s">
        <v>32</v>
      </c>
      <c r="I542" s="4" t="s">
        <v>33</v>
      </c>
      <c r="J542" s="4">
        <v>2</v>
      </c>
      <c r="K542" s="4">
        <v>0</v>
      </c>
      <c r="L542" s="4">
        <f>J542+K542</f>
        <v>0</v>
      </c>
      <c r="M542" s="4"/>
      <c r="N542" s="4"/>
      <c r="O542" s="4">
        <v>0</v>
      </c>
      <c r="P542" s="4"/>
      <c r="Q542" s="4"/>
      <c r="R542" s="7">
        <v>0</v>
      </c>
      <c r="S542" s="7">
        <v>0</v>
      </c>
      <c r="T542" s="7">
        <f>R542-S542</f>
        <v>0</v>
      </c>
      <c r="U542" s="7">
        <f>T542*O542</f>
        <v>0</v>
      </c>
    </row>
    <row r="543" spans="1:21">
      <c r="A543" s="4" t="s">
        <v>808</v>
      </c>
      <c r="B543" s="4" t="s">
        <v>48</v>
      </c>
      <c r="C543" s="5">
        <v>45922.10393518519</v>
      </c>
      <c r="D543" s="5">
        <v>45961</v>
      </c>
      <c r="E543" s="6">
        <f>IF(AND(C543&lt;&gt;"",D543&lt;&gt;""),D543-C543,"")</f>
        <v>0</v>
      </c>
      <c r="F543" s="4" t="s">
        <v>809</v>
      </c>
      <c r="G543" s="4" t="s">
        <v>810</v>
      </c>
      <c r="H543" s="4" t="s">
        <v>32</v>
      </c>
      <c r="I543" s="4" t="s">
        <v>33</v>
      </c>
      <c r="J543" s="4">
        <v>1</v>
      </c>
      <c r="K543" s="4">
        <v>1</v>
      </c>
      <c r="L543" s="4">
        <f>J543+K543</f>
        <v>0</v>
      </c>
      <c r="M543" s="4"/>
      <c r="N543" s="4"/>
      <c r="O543" s="4">
        <v>0</v>
      </c>
      <c r="P543" s="4"/>
      <c r="Q543" s="4"/>
      <c r="R543" s="7">
        <v>0</v>
      </c>
      <c r="S543" s="7">
        <v>0</v>
      </c>
      <c r="T543" s="7">
        <f>R543-S543</f>
        <v>0</v>
      </c>
      <c r="U543" s="7">
        <f>T543*O543</f>
        <v>0</v>
      </c>
    </row>
    <row r="544" spans="1:21">
      <c r="A544" s="4" t="s">
        <v>811</v>
      </c>
      <c r="B544" s="4" t="s">
        <v>103</v>
      </c>
      <c r="C544" s="5">
        <v>45922.12909722222</v>
      </c>
      <c r="D544" s="5">
        <v>45961</v>
      </c>
      <c r="E544" s="6">
        <f>IF(AND(C544&lt;&gt;"",D544&lt;&gt;""),D544-C544,"")</f>
        <v>0</v>
      </c>
      <c r="F544" s="4" t="s">
        <v>812</v>
      </c>
      <c r="G544" s="4" t="s">
        <v>627</v>
      </c>
      <c r="H544" s="4"/>
      <c r="I544" s="4" t="s">
        <v>56</v>
      </c>
      <c r="J544" s="4">
        <v>1</v>
      </c>
      <c r="K544" s="4">
        <v>1</v>
      </c>
      <c r="L544" s="4">
        <f>J544+K544</f>
        <v>0</v>
      </c>
      <c r="M544" s="4"/>
      <c r="N544" s="4"/>
      <c r="O544" s="4">
        <v>0</v>
      </c>
      <c r="P544" s="4"/>
      <c r="Q544" s="4"/>
      <c r="R544" s="7">
        <v>0</v>
      </c>
      <c r="S544" s="7">
        <v>0</v>
      </c>
      <c r="T544" s="7">
        <f>R544-S544</f>
        <v>0</v>
      </c>
      <c r="U544" s="7">
        <f>T544*O544</f>
        <v>0</v>
      </c>
    </row>
    <row r="545" spans="1:21">
      <c r="A545" s="4" t="s">
        <v>813</v>
      </c>
      <c r="B545" s="4" t="s">
        <v>39</v>
      </c>
      <c r="C545" s="5">
        <v>45922.13505787037</v>
      </c>
      <c r="D545" s="5">
        <v>45922</v>
      </c>
      <c r="E545" s="6">
        <f>IF(AND(C545&lt;&gt;"",D545&lt;&gt;""),D545-C545,"")</f>
        <v>0</v>
      </c>
      <c r="F545" s="4" t="s">
        <v>431</v>
      </c>
      <c r="G545" s="4" t="s">
        <v>432</v>
      </c>
      <c r="H545" s="4" t="s">
        <v>32</v>
      </c>
      <c r="I545" s="4" t="s">
        <v>33</v>
      </c>
      <c r="J545" s="4">
        <v>1</v>
      </c>
      <c r="K545" s="4">
        <v>0</v>
      </c>
      <c r="L545" s="4">
        <f>J545+K545</f>
        <v>0</v>
      </c>
      <c r="M545" s="4" t="s">
        <v>42</v>
      </c>
      <c r="N545" s="4"/>
      <c r="O545" s="4">
        <v>1</v>
      </c>
      <c r="P545" s="4" t="s">
        <v>135</v>
      </c>
      <c r="Q545" s="4" t="s">
        <v>44</v>
      </c>
      <c r="R545" s="7">
        <v>370000</v>
      </c>
      <c r="S545" s="7">
        <v>0</v>
      </c>
      <c r="T545" s="7">
        <f>R545-S545</f>
        <v>0</v>
      </c>
      <c r="U545" s="7">
        <f>T545*O545</f>
        <v>0</v>
      </c>
    </row>
    <row r="546" spans="1:21">
      <c r="A546" s="4" t="s">
        <v>814</v>
      </c>
      <c r="B546" s="4" t="s">
        <v>48</v>
      </c>
      <c r="C546" s="5">
        <v>45922.13516203704</v>
      </c>
      <c r="D546" s="5">
        <v>45961</v>
      </c>
      <c r="E546" s="6">
        <f>IF(AND(C546&lt;&gt;"",D546&lt;&gt;""),D546-C546,"")</f>
        <v>0</v>
      </c>
      <c r="F546" s="4" t="s">
        <v>64</v>
      </c>
      <c r="G546" s="4" t="s">
        <v>815</v>
      </c>
      <c r="H546" s="4" t="s">
        <v>32</v>
      </c>
      <c r="I546" s="4" t="s">
        <v>33</v>
      </c>
      <c r="J546" s="4">
        <v>2</v>
      </c>
      <c r="K546" s="4">
        <v>0</v>
      </c>
      <c r="L546" s="4">
        <f>J546+K546</f>
        <v>0</v>
      </c>
      <c r="M546" s="4"/>
      <c r="N546" s="4"/>
      <c r="O546" s="4">
        <v>0</v>
      </c>
      <c r="P546" s="4"/>
      <c r="Q546" s="4"/>
      <c r="R546" s="7">
        <v>0</v>
      </c>
      <c r="S546" s="7">
        <v>0</v>
      </c>
      <c r="T546" s="7">
        <f>R546-S546</f>
        <v>0</v>
      </c>
      <c r="U546" s="7">
        <f>T546*O546</f>
        <v>0</v>
      </c>
    </row>
    <row r="547" spans="1:21">
      <c r="A547" s="4" t="s">
        <v>816</v>
      </c>
      <c r="B547" s="4" t="s">
        <v>39</v>
      </c>
      <c r="C547" s="5">
        <v>45922.13733796297</v>
      </c>
      <c r="D547" s="5">
        <v>45922</v>
      </c>
      <c r="E547" s="6">
        <f>IF(AND(C547&lt;&gt;"",D547&lt;&gt;""),D547-C547,"")</f>
        <v>0</v>
      </c>
      <c r="F547" s="4" t="s">
        <v>40</v>
      </c>
      <c r="G547" s="4" t="s">
        <v>41</v>
      </c>
      <c r="H547" s="4" t="s">
        <v>32</v>
      </c>
      <c r="I547" s="4" t="s">
        <v>33</v>
      </c>
      <c r="J547" s="4">
        <v>0</v>
      </c>
      <c r="K547" s="4">
        <v>0</v>
      </c>
      <c r="L547" s="4">
        <f>J547+K547</f>
        <v>0</v>
      </c>
      <c r="M547" s="4" t="s">
        <v>370</v>
      </c>
      <c r="N547" s="4"/>
      <c r="O547" s="4">
        <v>1</v>
      </c>
      <c r="P547" s="4" t="s">
        <v>135</v>
      </c>
      <c r="Q547" s="4" t="s">
        <v>44</v>
      </c>
      <c r="R547" s="7">
        <v>1000000</v>
      </c>
      <c r="S547" s="7">
        <v>0</v>
      </c>
      <c r="T547" s="7">
        <f>R547-S547</f>
        <v>0</v>
      </c>
      <c r="U547" s="7">
        <f>T547*O547</f>
        <v>0</v>
      </c>
    </row>
    <row r="548" spans="1:21">
      <c r="A548" s="4" t="s">
        <v>816</v>
      </c>
      <c r="B548" s="4" t="s">
        <v>39</v>
      </c>
      <c r="C548" s="5">
        <v>45922.13733796297</v>
      </c>
      <c r="D548" s="5">
        <v>45922</v>
      </c>
      <c r="E548" s="6">
        <f>IF(AND(C548&lt;&gt;"",D548&lt;&gt;""),D548-C548,"")</f>
        <v>0</v>
      </c>
      <c r="F548" s="4" t="s">
        <v>40</v>
      </c>
      <c r="G548" s="4" t="s">
        <v>41</v>
      </c>
      <c r="H548" s="4" t="s">
        <v>32</v>
      </c>
      <c r="I548" s="4" t="s">
        <v>33</v>
      </c>
      <c r="J548" s="4">
        <v>1</v>
      </c>
      <c r="K548" s="4">
        <v>0</v>
      </c>
      <c r="L548" s="4">
        <f>J548+K548</f>
        <v>0</v>
      </c>
      <c r="M548" s="4" t="s">
        <v>80</v>
      </c>
      <c r="N548" s="4"/>
      <c r="O548" s="4">
        <v>1</v>
      </c>
      <c r="P548" s="4" t="s">
        <v>135</v>
      </c>
      <c r="Q548" s="4" t="s">
        <v>44</v>
      </c>
      <c r="R548" s="7">
        <v>610000</v>
      </c>
      <c r="S548" s="7">
        <v>0</v>
      </c>
      <c r="T548" s="7">
        <f>R548-S548</f>
        <v>0</v>
      </c>
      <c r="U548" s="7">
        <f>T548*O548</f>
        <v>0</v>
      </c>
    </row>
    <row r="549" spans="1:21">
      <c r="A549" s="4" t="s">
        <v>817</v>
      </c>
      <c r="B549" s="4" t="s">
        <v>48</v>
      </c>
      <c r="C549" s="5">
        <v>45922.14128472222</v>
      </c>
      <c r="D549" s="5">
        <v>45961</v>
      </c>
      <c r="E549" s="6">
        <f>IF(AND(C549&lt;&gt;"",D549&lt;&gt;""),D549-C549,"")</f>
        <v>0</v>
      </c>
      <c r="F549" s="4" t="s">
        <v>64</v>
      </c>
      <c r="G549" s="4" t="s">
        <v>818</v>
      </c>
      <c r="H549" s="4" t="s">
        <v>32</v>
      </c>
      <c r="I549" s="4" t="s">
        <v>33</v>
      </c>
      <c r="J549" s="4">
        <v>2</v>
      </c>
      <c r="K549" s="4">
        <v>0</v>
      </c>
      <c r="L549" s="4">
        <f>J549+K549</f>
        <v>0</v>
      </c>
      <c r="M549" s="4"/>
      <c r="N549" s="4"/>
      <c r="O549" s="4">
        <v>0</v>
      </c>
      <c r="P549" s="4"/>
      <c r="Q549" s="4"/>
      <c r="R549" s="7">
        <v>0</v>
      </c>
      <c r="S549" s="7">
        <v>0</v>
      </c>
      <c r="T549" s="7">
        <f>R549-S549</f>
        <v>0</v>
      </c>
      <c r="U549" s="7">
        <f>T549*O549</f>
        <v>0</v>
      </c>
    </row>
    <row r="550" spans="1:21">
      <c r="A550" s="4" t="s">
        <v>819</v>
      </c>
      <c r="B550" s="4" t="s">
        <v>39</v>
      </c>
      <c r="C550" s="5">
        <v>45922.15013888889</v>
      </c>
      <c r="D550" s="5">
        <v>45922</v>
      </c>
      <c r="E550" s="6">
        <f>IF(AND(C550&lt;&gt;"",D550&lt;&gt;""),D550-C550,"")</f>
        <v>0</v>
      </c>
      <c r="F550" s="4" t="s">
        <v>431</v>
      </c>
      <c r="G550" s="4" t="s">
        <v>432</v>
      </c>
      <c r="H550" s="4" t="s">
        <v>32</v>
      </c>
      <c r="I550" s="4" t="s">
        <v>33</v>
      </c>
      <c r="J550" s="4">
        <v>-1</v>
      </c>
      <c r="K550" s="4">
        <v>0</v>
      </c>
      <c r="L550" s="4">
        <f>J550+K550</f>
        <v>0</v>
      </c>
      <c r="M550" s="4" t="s">
        <v>42</v>
      </c>
      <c r="N550" s="4"/>
      <c r="O550" s="4">
        <v>-1</v>
      </c>
      <c r="P550" s="4" t="s">
        <v>135</v>
      </c>
      <c r="Q550" s="4" t="s">
        <v>44</v>
      </c>
      <c r="R550" s="7">
        <v>370000</v>
      </c>
      <c r="S550" s="7">
        <v>0</v>
      </c>
      <c r="T550" s="7">
        <f>R550-S550</f>
        <v>0</v>
      </c>
      <c r="U550" s="7">
        <f>T550*O550</f>
        <v>0</v>
      </c>
    </row>
    <row r="551" spans="1:21">
      <c r="A551" s="4" t="s">
        <v>819</v>
      </c>
      <c r="B551" s="4" t="s">
        <v>39</v>
      </c>
      <c r="C551" s="5">
        <v>45922.15013888889</v>
      </c>
      <c r="D551" s="5">
        <v>45922</v>
      </c>
      <c r="E551" s="6">
        <f>IF(AND(C551&lt;&gt;"",D551&lt;&gt;""),D551-C551,"")</f>
        <v>0</v>
      </c>
      <c r="F551" s="4" t="s">
        <v>431</v>
      </c>
      <c r="G551" s="4" t="s">
        <v>432</v>
      </c>
      <c r="H551" s="4" t="s">
        <v>32</v>
      </c>
      <c r="I551" s="4" t="s">
        <v>33</v>
      </c>
      <c r="J551" s="4">
        <v>1</v>
      </c>
      <c r="K551" s="4">
        <v>0</v>
      </c>
      <c r="L551" s="4">
        <f>J551+K551</f>
        <v>0</v>
      </c>
      <c r="M551" s="4" t="s">
        <v>80</v>
      </c>
      <c r="N551" s="4"/>
      <c r="O551" s="4">
        <v>1</v>
      </c>
      <c r="P551" s="4" t="s">
        <v>135</v>
      </c>
      <c r="Q551" s="4" t="s">
        <v>44</v>
      </c>
      <c r="R551" s="7">
        <v>610000</v>
      </c>
      <c r="S551" s="7">
        <v>0</v>
      </c>
      <c r="T551" s="7">
        <f>R551-S551</f>
        <v>0</v>
      </c>
      <c r="U551" s="7">
        <f>T551*O551</f>
        <v>0</v>
      </c>
    </row>
    <row r="552" spans="1:21">
      <c r="A552" s="4" t="s">
        <v>820</v>
      </c>
      <c r="B552" s="4" t="s">
        <v>39</v>
      </c>
      <c r="C552" s="5">
        <v>45922.1516550926</v>
      </c>
      <c r="D552" s="5">
        <v>45922</v>
      </c>
      <c r="E552" s="6">
        <f>IF(AND(C552&lt;&gt;"",D552&lt;&gt;""),D552-C552,"")</f>
        <v>0</v>
      </c>
      <c r="F552" s="4" t="s">
        <v>40</v>
      </c>
      <c r="G552" s="4" t="s">
        <v>41</v>
      </c>
      <c r="H552" s="4" t="s">
        <v>32</v>
      </c>
      <c r="I552" s="4" t="s">
        <v>33</v>
      </c>
      <c r="J552" s="4">
        <v>0</v>
      </c>
      <c r="K552" s="4">
        <v>0</v>
      </c>
      <c r="L552" s="4">
        <f>J552+K552</f>
        <v>0</v>
      </c>
      <c r="M552" s="4" t="s">
        <v>370</v>
      </c>
      <c r="N552" s="4"/>
      <c r="O552" s="4">
        <v>1</v>
      </c>
      <c r="P552" s="4" t="s">
        <v>135</v>
      </c>
      <c r="Q552" s="4" t="s">
        <v>44</v>
      </c>
      <c r="R552" s="7">
        <v>240000</v>
      </c>
      <c r="S552" s="7">
        <v>0</v>
      </c>
      <c r="T552" s="7">
        <f>R552-S552</f>
        <v>0</v>
      </c>
      <c r="U552" s="7">
        <f>T552*O552</f>
        <v>0</v>
      </c>
    </row>
    <row r="553" spans="1:21">
      <c r="A553" s="4" t="s">
        <v>820</v>
      </c>
      <c r="B553" s="4" t="s">
        <v>39</v>
      </c>
      <c r="C553" s="5">
        <v>45922.1516550926</v>
      </c>
      <c r="D553" s="5">
        <v>45922</v>
      </c>
      <c r="E553" s="6">
        <f>IF(AND(C553&lt;&gt;"",D553&lt;&gt;""),D553-C553,"")</f>
        <v>0</v>
      </c>
      <c r="F553" s="4" t="s">
        <v>40</v>
      </c>
      <c r="G553" s="4" t="s">
        <v>41</v>
      </c>
      <c r="H553" s="4" t="s">
        <v>32</v>
      </c>
      <c r="I553" s="4" t="s">
        <v>33</v>
      </c>
      <c r="J553" s="4">
        <v>-1</v>
      </c>
      <c r="K553" s="4">
        <v>0</v>
      </c>
      <c r="L553" s="4">
        <f>J553+K553</f>
        <v>0</v>
      </c>
      <c r="M553" s="4" t="s">
        <v>80</v>
      </c>
      <c r="N553" s="4"/>
      <c r="O553" s="4">
        <v>-1</v>
      </c>
      <c r="P553" s="4" t="s">
        <v>135</v>
      </c>
      <c r="Q553" s="4" t="s">
        <v>44</v>
      </c>
      <c r="R553" s="7">
        <v>610000</v>
      </c>
      <c r="S553" s="7">
        <v>0</v>
      </c>
      <c r="T553" s="7">
        <f>R553-S553</f>
        <v>0</v>
      </c>
      <c r="U553" s="7">
        <f>T553*O553</f>
        <v>0</v>
      </c>
    </row>
    <row r="554" spans="1:21">
      <c r="A554" s="4" t="s">
        <v>820</v>
      </c>
      <c r="B554" s="4" t="s">
        <v>39</v>
      </c>
      <c r="C554" s="5">
        <v>45922.1516550926</v>
      </c>
      <c r="D554" s="5">
        <v>45922</v>
      </c>
      <c r="E554" s="6">
        <f>IF(AND(C554&lt;&gt;"",D554&lt;&gt;""),D554-C554,"")</f>
        <v>0</v>
      </c>
      <c r="F554" s="4" t="s">
        <v>40</v>
      </c>
      <c r="G554" s="4" t="s">
        <v>41</v>
      </c>
      <c r="H554" s="4" t="s">
        <v>32</v>
      </c>
      <c r="I554" s="4" t="s">
        <v>33</v>
      </c>
      <c r="J554" s="4">
        <v>1</v>
      </c>
      <c r="K554" s="4">
        <v>0</v>
      </c>
      <c r="L554" s="4">
        <f>J554+K554</f>
        <v>0</v>
      </c>
      <c r="M554" s="4" t="s">
        <v>42</v>
      </c>
      <c r="N554" s="4"/>
      <c r="O554" s="4">
        <v>1</v>
      </c>
      <c r="P554" s="4" t="s">
        <v>135</v>
      </c>
      <c r="Q554" s="4" t="s">
        <v>44</v>
      </c>
      <c r="R554" s="7">
        <v>370000</v>
      </c>
      <c r="S554" s="7">
        <v>0</v>
      </c>
      <c r="T554" s="7">
        <f>R554-S554</f>
        <v>0</v>
      </c>
      <c r="U554" s="7">
        <f>T554*O554</f>
        <v>0</v>
      </c>
    </row>
    <row r="555" spans="1:21">
      <c r="A555" s="4" t="s">
        <v>821</v>
      </c>
      <c r="B555" s="4" t="s">
        <v>39</v>
      </c>
      <c r="C555" s="5">
        <v>45922.18084490741</v>
      </c>
      <c r="D555" s="5">
        <v>45922</v>
      </c>
      <c r="E555" s="6">
        <f>IF(AND(C555&lt;&gt;"",D555&lt;&gt;""),D555-C555,"")</f>
        <v>0</v>
      </c>
      <c r="F555" s="4" t="s">
        <v>459</v>
      </c>
      <c r="G555" s="4" t="s">
        <v>822</v>
      </c>
      <c r="H555" s="4"/>
      <c r="I555" s="4" t="s">
        <v>56</v>
      </c>
      <c r="J555" s="4">
        <v>0</v>
      </c>
      <c r="K555" s="4">
        <v>2</v>
      </c>
      <c r="L555" s="4">
        <f>J555+K555</f>
        <v>0</v>
      </c>
      <c r="M555" s="4" t="s">
        <v>81</v>
      </c>
      <c r="N555" s="4"/>
      <c r="O555" s="4">
        <v>2</v>
      </c>
      <c r="P555" s="4" t="s">
        <v>135</v>
      </c>
      <c r="Q555" s="4"/>
      <c r="R555" s="7">
        <v>495000</v>
      </c>
      <c r="S555" s="7">
        <v>0</v>
      </c>
      <c r="T555" s="7">
        <f>R555-S555</f>
        <v>0</v>
      </c>
      <c r="U555" s="7">
        <f>T555*O555</f>
        <v>0</v>
      </c>
    </row>
    <row r="556" spans="1:21">
      <c r="A556" s="4" t="s">
        <v>821</v>
      </c>
      <c r="B556" s="4" t="s">
        <v>39</v>
      </c>
      <c r="C556" s="5">
        <v>45922.18084490741</v>
      </c>
      <c r="D556" s="5">
        <v>45922</v>
      </c>
      <c r="E556" s="6">
        <f>IF(AND(C556&lt;&gt;"",D556&lt;&gt;""),D556-C556,"")</f>
        <v>0</v>
      </c>
      <c r="F556" s="4" t="s">
        <v>459</v>
      </c>
      <c r="G556" s="4" t="s">
        <v>822</v>
      </c>
      <c r="H556" s="4"/>
      <c r="I556" s="4" t="s">
        <v>56</v>
      </c>
      <c r="J556" s="4">
        <v>0</v>
      </c>
      <c r="K556" s="4">
        <v>2</v>
      </c>
      <c r="L556" s="4">
        <f>J556+K556</f>
        <v>0</v>
      </c>
      <c r="M556" s="4" t="s">
        <v>46</v>
      </c>
      <c r="N556" s="4"/>
      <c r="O556" s="4">
        <v>2</v>
      </c>
      <c r="P556" s="4" t="s">
        <v>135</v>
      </c>
      <c r="Q556" s="4"/>
      <c r="R556" s="7">
        <v>325000</v>
      </c>
      <c r="S556" s="7">
        <v>0</v>
      </c>
      <c r="T556" s="7">
        <f>R556-S556</f>
        <v>0</v>
      </c>
      <c r="U556" s="7">
        <f>T556*O556</f>
        <v>0</v>
      </c>
    </row>
    <row r="557" spans="1:21">
      <c r="A557" s="4" t="s">
        <v>821</v>
      </c>
      <c r="B557" s="4" t="s">
        <v>39</v>
      </c>
      <c r="C557" s="5">
        <v>45922.18084490741</v>
      </c>
      <c r="D557" s="5">
        <v>45922</v>
      </c>
      <c r="E557" s="6">
        <f>IF(AND(C557&lt;&gt;"",D557&lt;&gt;""),D557-C557,"")</f>
        <v>0</v>
      </c>
      <c r="F557" s="4" t="s">
        <v>459</v>
      </c>
      <c r="G557" s="4" t="s">
        <v>822</v>
      </c>
      <c r="H557" s="4"/>
      <c r="I557" s="4" t="s">
        <v>56</v>
      </c>
      <c r="J557" s="4">
        <v>2</v>
      </c>
      <c r="K557" s="4">
        <v>0</v>
      </c>
      <c r="L557" s="4">
        <f>J557+K557</f>
        <v>0</v>
      </c>
      <c r="M557" s="4" t="s">
        <v>42</v>
      </c>
      <c r="N557" s="4"/>
      <c r="O557" s="4">
        <v>2</v>
      </c>
      <c r="P557" s="4" t="s">
        <v>135</v>
      </c>
      <c r="Q557" s="4"/>
      <c r="R557" s="7">
        <v>370000</v>
      </c>
      <c r="S557" s="7">
        <v>0</v>
      </c>
      <c r="T557" s="7">
        <f>R557-S557</f>
        <v>0</v>
      </c>
      <c r="U557" s="7">
        <f>T557*O557</f>
        <v>0</v>
      </c>
    </row>
    <row r="558" spans="1:21">
      <c r="A558" s="4" t="s">
        <v>823</v>
      </c>
      <c r="B558" s="4" t="s">
        <v>39</v>
      </c>
      <c r="C558" s="5">
        <v>45922.22974537037</v>
      </c>
      <c r="D558" s="5">
        <v>45922</v>
      </c>
      <c r="E558" s="6">
        <f>IF(AND(C558&lt;&gt;"",D558&lt;&gt;""),D558-C558,"")</f>
        <v>0</v>
      </c>
      <c r="F558" s="4" t="s">
        <v>431</v>
      </c>
      <c r="G558" s="4" t="s">
        <v>432</v>
      </c>
      <c r="H558" s="4" t="s">
        <v>32</v>
      </c>
      <c r="I558" s="4" t="s">
        <v>33</v>
      </c>
      <c r="J558" s="4">
        <v>1</v>
      </c>
      <c r="K558" s="4">
        <v>0</v>
      </c>
      <c r="L558" s="4">
        <f>J558+K558</f>
        <v>0</v>
      </c>
      <c r="M558" s="4" t="s">
        <v>42</v>
      </c>
      <c r="N558" s="4"/>
      <c r="O558" s="4">
        <v>1</v>
      </c>
      <c r="P558" s="4" t="s">
        <v>135</v>
      </c>
      <c r="Q558" s="4" t="s">
        <v>44</v>
      </c>
      <c r="R558" s="7">
        <v>1300000</v>
      </c>
      <c r="S558" s="7">
        <v>0</v>
      </c>
      <c r="T558" s="7">
        <f>R558-S558</f>
        <v>0</v>
      </c>
      <c r="U558" s="7">
        <f>T558*O558</f>
        <v>0</v>
      </c>
    </row>
    <row r="559" spans="1:21">
      <c r="A559" s="4" t="s">
        <v>824</v>
      </c>
      <c r="B559" s="4" t="s">
        <v>39</v>
      </c>
      <c r="C559" s="5">
        <v>45922.23076388889</v>
      </c>
      <c r="D559" s="5">
        <v>45922</v>
      </c>
      <c r="E559" s="6">
        <f>IF(AND(C559&lt;&gt;"",D559&lt;&gt;""),D559-C559,"")</f>
        <v>0</v>
      </c>
      <c r="F559" s="4" t="s">
        <v>431</v>
      </c>
      <c r="G559" s="4" t="s">
        <v>432</v>
      </c>
      <c r="H559" s="4" t="s">
        <v>32</v>
      </c>
      <c r="I559" s="4" t="s">
        <v>33</v>
      </c>
      <c r="J559" s="4">
        <v>1</v>
      </c>
      <c r="K559" s="4">
        <v>0</v>
      </c>
      <c r="L559" s="4">
        <f>J559+K559</f>
        <v>0</v>
      </c>
      <c r="M559" s="4" t="s">
        <v>825</v>
      </c>
      <c r="N559" s="4"/>
      <c r="O559" s="4">
        <v>1</v>
      </c>
      <c r="P559" s="4" t="s">
        <v>135</v>
      </c>
      <c r="Q559" s="4" t="s">
        <v>44</v>
      </c>
      <c r="R559" s="7">
        <v>2100000</v>
      </c>
      <c r="S559" s="7">
        <v>0</v>
      </c>
      <c r="T559" s="7">
        <f>R559-S559</f>
        <v>0</v>
      </c>
      <c r="U559" s="7">
        <f>T559*O559</f>
        <v>0</v>
      </c>
    </row>
    <row r="560" spans="1:21">
      <c r="A560" s="4" t="s">
        <v>826</v>
      </c>
      <c r="B560" s="4" t="s">
        <v>39</v>
      </c>
      <c r="C560" s="5">
        <v>45922.23917824074</v>
      </c>
      <c r="D560" s="5">
        <v>45922</v>
      </c>
      <c r="E560" s="6">
        <f>IF(AND(C560&lt;&gt;"",D560&lt;&gt;""),D560-C560,"")</f>
        <v>0</v>
      </c>
      <c r="F560" s="4" t="s">
        <v>827</v>
      </c>
      <c r="G560" s="4" t="s">
        <v>828</v>
      </c>
      <c r="H560" s="4"/>
      <c r="I560" s="4" t="s">
        <v>56</v>
      </c>
      <c r="J560" s="4">
        <v>0</v>
      </c>
      <c r="K560" s="4">
        <v>0</v>
      </c>
      <c r="L560" s="4">
        <f>J560+K560</f>
        <v>0</v>
      </c>
      <c r="M560" s="4" t="s">
        <v>370</v>
      </c>
      <c r="N560" s="4"/>
      <c r="O560" s="4">
        <v>1</v>
      </c>
      <c r="P560" s="4" t="s">
        <v>135</v>
      </c>
      <c r="Q560" s="4" t="s">
        <v>44</v>
      </c>
      <c r="R560" s="7">
        <v>5000000</v>
      </c>
      <c r="S560" s="7">
        <v>0</v>
      </c>
      <c r="T560" s="7">
        <f>R560-S560</f>
        <v>0</v>
      </c>
      <c r="U560" s="7">
        <f>T560*O560</f>
        <v>0</v>
      </c>
    </row>
    <row r="561" spans="1:21">
      <c r="A561" s="4" t="s">
        <v>829</v>
      </c>
      <c r="B561" s="4" t="s">
        <v>39</v>
      </c>
      <c r="C561" s="5">
        <v>45922.23978009259</v>
      </c>
      <c r="D561" s="5">
        <v>45922</v>
      </c>
      <c r="E561" s="6">
        <f>IF(AND(C561&lt;&gt;"",D561&lt;&gt;""),D561-C561,"")</f>
        <v>0</v>
      </c>
      <c r="F561" s="4" t="s">
        <v>830</v>
      </c>
      <c r="G561" s="4" t="s">
        <v>831</v>
      </c>
      <c r="H561" s="4"/>
      <c r="I561" s="4" t="s">
        <v>56</v>
      </c>
      <c r="J561" s="4">
        <v>0</v>
      </c>
      <c r="K561" s="4">
        <v>0</v>
      </c>
      <c r="L561" s="4">
        <f>J561+K561</f>
        <v>0</v>
      </c>
      <c r="M561" s="4" t="s">
        <v>370</v>
      </c>
      <c r="N561" s="4"/>
      <c r="O561" s="4">
        <v>1</v>
      </c>
      <c r="P561" s="4" t="s">
        <v>135</v>
      </c>
      <c r="Q561" s="4" t="s">
        <v>44</v>
      </c>
      <c r="R561" s="7">
        <v>500000</v>
      </c>
      <c r="S561" s="7">
        <v>0</v>
      </c>
      <c r="T561" s="7">
        <f>R561-S561</f>
        <v>0</v>
      </c>
      <c r="U561" s="7">
        <f>T561*O561</f>
        <v>0</v>
      </c>
    </row>
    <row r="562" spans="1:21">
      <c r="A562" s="4" t="s">
        <v>832</v>
      </c>
      <c r="B562" s="4" t="s">
        <v>39</v>
      </c>
      <c r="C562" s="5">
        <v>45922.28046296296</v>
      </c>
      <c r="D562" s="5">
        <v>45922</v>
      </c>
      <c r="E562" s="6">
        <f>IF(AND(C562&lt;&gt;"",D562&lt;&gt;""),D562-C562,"")</f>
        <v>0</v>
      </c>
      <c r="F562" s="4" t="s">
        <v>833</v>
      </c>
      <c r="G562" s="4" t="s">
        <v>834</v>
      </c>
      <c r="H562" s="4"/>
      <c r="I562" s="4" t="s">
        <v>56</v>
      </c>
      <c r="J562" s="4">
        <v>3</v>
      </c>
      <c r="K562" s="4">
        <v>0</v>
      </c>
      <c r="L562" s="4">
        <f>J562+K562</f>
        <v>0</v>
      </c>
      <c r="M562" s="4" t="s">
        <v>80</v>
      </c>
      <c r="N562" s="4"/>
      <c r="O562" s="4">
        <v>3</v>
      </c>
      <c r="P562" s="4" t="s">
        <v>135</v>
      </c>
      <c r="Q562" s="4"/>
      <c r="R562" s="7">
        <v>610000</v>
      </c>
      <c r="S562" s="7">
        <v>0</v>
      </c>
      <c r="T562" s="7">
        <f>R562-S562</f>
        <v>0</v>
      </c>
      <c r="U562" s="7">
        <f>T562*O562</f>
        <v>0</v>
      </c>
    </row>
    <row r="563" spans="1:21">
      <c r="A563" s="4" t="s">
        <v>832</v>
      </c>
      <c r="B563" s="4" t="s">
        <v>39</v>
      </c>
      <c r="C563" s="5">
        <v>45922.28046296296</v>
      </c>
      <c r="D563" s="5">
        <v>45922</v>
      </c>
      <c r="E563" s="6">
        <f>IF(AND(C563&lt;&gt;"",D563&lt;&gt;""),D563-C563,"")</f>
        <v>0</v>
      </c>
      <c r="F563" s="4" t="s">
        <v>833</v>
      </c>
      <c r="G563" s="4" t="s">
        <v>834</v>
      </c>
      <c r="H563" s="4"/>
      <c r="I563" s="4" t="s">
        <v>56</v>
      </c>
      <c r="J563" s="4">
        <v>0</v>
      </c>
      <c r="K563" s="4">
        <v>4</v>
      </c>
      <c r="L563" s="4">
        <f>J563+K563</f>
        <v>0</v>
      </c>
      <c r="M563" s="4" t="s">
        <v>81</v>
      </c>
      <c r="N563" s="4"/>
      <c r="O563" s="4">
        <v>4</v>
      </c>
      <c r="P563" s="4" t="s">
        <v>135</v>
      </c>
      <c r="Q563" s="4"/>
      <c r="R563" s="7">
        <v>495000</v>
      </c>
      <c r="S563" s="7">
        <v>0</v>
      </c>
      <c r="T563" s="7">
        <f>R563-S563</f>
        <v>0</v>
      </c>
      <c r="U563" s="7">
        <f>T563*O563</f>
        <v>0</v>
      </c>
    </row>
    <row r="564" spans="1:21">
      <c r="A564" s="4" t="s">
        <v>832</v>
      </c>
      <c r="B564" s="4" t="s">
        <v>39</v>
      </c>
      <c r="C564" s="5">
        <v>45922.28046296296</v>
      </c>
      <c r="D564" s="5">
        <v>45922</v>
      </c>
      <c r="E564" s="6">
        <f>IF(AND(C564&lt;&gt;"",D564&lt;&gt;""),D564-C564,"")</f>
        <v>0</v>
      </c>
      <c r="F564" s="4" t="s">
        <v>833</v>
      </c>
      <c r="G564" s="4" t="s">
        <v>834</v>
      </c>
      <c r="H564" s="4"/>
      <c r="I564" s="4" t="s">
        <v>56</v>
      </c>
      <c r="J564" s="4">
        <v>0</v>
      </c>
      <c r="K564" s="4">
        <v>4</v>
      </c>
      <c r="L564" s="4">
        <f>J564+K564</f>
        <v>0</v>
      </c>
      <c r="M564" s="4" t="s">
        <v>46</v>
      </c>
      <c r="N564" s="4"/>
      <c r="O564" s="4">
        <v>4</v>
      </c>
      <c r="P564" s="4" t="s">
        <v>135</v>
      </c>
      <c r="Q564" s="4"/>
      <c r="R564" s="7">
        <v>325000</v>
      </c>
      <c r="S564" s="7">
        <v>0</v>
      </c>
      <c r="T564" s="7">
        <f>R564-S564</f>
        <v>0</v>
      </c>
      <c r="U564" s="7">
        <f>T564*O564</f>
        <v>0</v>
      </c>
    </row>
    <row r="565" spans="1:21">
      <c r="A565" s="4" t="s">
        <v>832</v>
      </c>
      <c r="B565" s="4" t="s">
        <v>39</v>
      </c>
      <c r="C565" s="5">
        <v>45922.28046296296</v>
      </c>
      <c r="D565" s="5">
        <v>45922</v>
      </c>
      <c r="E565" s="6">
        <f>IF(AND(C565&lt;&gt;"",D565&lt;&gt;""),D565-C565,"")</f>
        <v>0</v>
      </c>
      <c r="F565" s="4" t="s">
        <v>833</v>
      </c>
      <c r="G565" s="4" t="s">
        <v>834</v>
      </c>
      <c r="H565" s="4"/>
      <c r="I565" s="4" t="s">
        <v>56</v>
      </c>
      <c r="J565" s="4">
        <v>4</v>
      </c>
      <c r="K565" s="4">
        <v>0</v>
      </c>
      <c r="L565" s="4">
        <f>J565+K565</f>
        <v>0</v>
      </c>
      <c r="M565" s="4" t="s">
        <v>42</v>
      </c>
      <c r="N565" s="4"/>
      <c r="O565" s="4">
        <v>4</v>
      </c>
      <c r="P565" s="4" t="s">
        <v>135</v>
      </c>
      <c r="Q565" s="4"/>
      <c r="R565" s="7">
        <v>370000</v>
      </c>
      <c r="S565" s="7">
        <v>0</v>
      </c>
      <c r="T565" s="7">
        <f>R565-S565</f>
        <v>0</v>
      </c>
      <c r="U565" s="7">
        <f>T565*O565</f>
        <v>0</v>
      </c>
    </row>
    <row r="566" spans="1:21">
      <c r="A566" s="4" t="s">
        <v>835</v>
      </c>
      <c r="B566" s="4" t="s">
        <v>48</v>
      </c>
      <c r="C566" s="5">
        <v>45922.28929398148</v>
      </c>
      <c r="D566" s="5">
        <v>45961</v>
      </c>
      <c r="E566" s="6">
        <f>IF(AND(C566&lt;&gt;"",D566&lt;&gt;""),D566-C566,"")</f>
        <v>0</v>
      </c>
      <c r="F566" s="4" t="s">
        <v>165</v>
      </c>
      <c r="G566" s="4" t="s">
        <v>65</v>
      </c>
      <c r="H566" s="4" t="s">
        <v>32</v>
      </c>
      <c r="I566" s="4" t="s">
        <v>33</v>
      </c>
      <c r="J566" s="4">
        <v>2</v>
      </c>
      <c r="K566" s="4">
        <v>2</v>
      </c>
      <c r="L566" s="4">
        <f>J566+K566</f>
        <v>0</v>
      </c>
      <c r="M566" s="4"/>
      <c r="N566" s="4"/>
      <c r="O566" s="4">
        <v>0</v>
      </c>
      <c r="P566" s="4"/>
      <c r="Q566" s="4"/>
      <c r="R566" s="7">
        <v>0</v>
      </c>
      <c r="S566" s="7">
        <v>0</v>
      </c>
      <c r="T566" s="7">
        <f>R566-S566</f>
        <v>0</v>
      </c>
      <c r="U566" s="7">
        <f>T566*O566</f>
        <v>0</v>
      </c>
    </row>
    <row r="567" spans="1:21">
      <c r="A567" s="4" t="s">
        <v>836</v>
      </c>
      <c r="B567" s="4" t="s">
        <v>39</v>
      </c>
      <c r="C567" s="5">
        <v>45922.29785879629</v>
      </c>
      <c r="D567" s="5">
        <v>45922</v>
      </c>
      <c r="E567" s="6">
        <f>IF(AND(C567&lt;&gt;"",D567&lt;&gt;""),D567-C567,"")</f>
        <v>0</v>
      </c>
      <c r="F567" s="4" t="s">
        <v>459</v>
      </c>
      <c r="G567" s="4" t="s">
        <v>837</v>
      </c>
      <c r="H567" s="4"/>
      <c r="I567" s="4" t="s">
        <v>56</v>
      </c>
      <c r="J567" s="4">
        <v>3</v>
      </c>
      <c r="K567" s="4">
        <v>0</v>
      </c>
      <c r="L567" s="4">
        <f>J567+K567</f>
        <v>0</v>
      </c>
      <c r="M567" s="4" t="s">
        <v>80</v>
      </c>
      <c r="N567" s="4"/>
      <c r="O567" s="4">
        <v>3</v>
      </c>
      <c r="P567" s="4" t="s">
        <v>135</v>
      </c>
      <c r="Q567" s="4"/>
      <c r="R567" s="7">
        <v>610000</v>
      </c>
      <c r="S567" s="7">
        <v>0</v>
      </c>
      <c r="T567" s="7">
        <f>R567-S567</f>
        <v>0</v>
      </c>
      <c r="U567" s="7">
        <f>T567*O567</f>
        <v>0</v>
      </c>
    </row>
    <row r="568" spans="1:21">
      <c r="A568" s="4" t="s">
        <v>836</v>
      </c>
      <c r="B568" s="4" t="s">
        <v>39</v>
      </c>
      <c r="C568" s="5">
        <v>45922.29785879629</v>
      </c>
      <c r="D568" s="5">
        <v>45922</v>
      </c>
      <c r="E568" s="6">
        <f>IF(AND(C568&lt;&gt;"",D568&lt;&gt;""),D568-C568,"")</f>
        <v>0</v>
      </c>
      <c r="F568" s="4" t="s">
        <v>459</v>
      </c>
      <c r="G568" s="4" t="s">
        <v>837</v>
      </c>
      <c r="H568" s="4"/>
      <c r="I568" s="4" t="s">
        <v>56</v>
      </c>
      <c r="J568" s="4">
        <v>0</v>
      </c>
      <c r="K568" s="4">
        <v>1</v>
      </c>
      <c r="L568" s="4">
        <f>J568+K568</f>
        <v>0</v>
      </c>
      <c r="M568" s="4" t="s">
        <v>81</v>
      </c>
      <c r="N568" s="4"/>
      <c r="O568" s="4">
        <v>1</v>
      </c>
      <c r="P568" s="4" t="s">
        <v>135</v>
      </c>
      <c r="Q568" s="4"/>
      <c r="R568" s="7">
        <v>495000</v>
      </c>
      <c r="S568" s="7">
        <v>0</v>
      </c>
      <c r="T568" s="7">
        <f>R568-S568</f>
        <v>0</v>
      </c>
      <c r="U568" s="7">
        <f>T568*O568</f>
        <v>0</v>
      </c>
    </row>
    <row r="569" spans="1:21">
      <c r="A569" s="4" t="s">
        <v>836</v>
      </c>
      <c r="B569" s="4" t="s">
        <v>39</v>
      </c>
      <c r="C569" s="5">
        <v>45922.29785879629</v>
      </c>
      <c r="D569" s="5">
        <v>45922</v>
      </c>
      <c r="E569" s="6">
        <f>IF(AND(C569&lt;&gt;"",D569&lt;&gt;""),D569-C569,"")</f>
        <v>0</v>
      </c>
      <c r="F569" s="4" t="s">
        <v>459</v>
      </c>
      <c r="G569" s="4" t="s">
        <v>837</v>
      </c>
      <c r="H569" s="4"/>
      <c r="I569" s="4" t="s">
        <v>56</v>
      </c>
      <c r="J569" s="4">
        <v>0</v>
      </c>
      <c r="K569" s="4">
        <v>3</v>
      </c>
      <c r="L569" s="4">
        <f>J569+K569</f>
        <v>0</v>
      </c>
      <c r="M569" s="4" t="s">
        <v>46</v>
      </c>
      <c r="N569" s="4"/>
      <c r="O569" s="4">
        <v>3</v>
      </c>
      <c r="P569" s="4" t="s">
        <v>135</v>
      </c>
      <c r="Q569" s="4"/>
      <c r="R569" s="7">
        <v>325000</v>
      </c>
      <c r="S569" s="7">
        <v>0</v>
      </c>
      <c r="T569" s="7">
        <f>R569-S569</f>
        <v>0</v>
      </c>
      <c r="U569" s="7">
        <f>T569*O569</f>
        <v>0</v>
      </c>
    </row>
    <row r="570" spans="1:21">
      <c r="A570" s="4" t="s">
        <v>836</v>
      </c>
      <c r="B570" s="4" t="s">
        <v>39</v>
      </c>
      <c r="C570" s="5">
        <v>45922.29785879629</v>
      </c>
      <c r="D570" s="5">
        <v>45922</v>
      </c>
      <c r="E570" s="6">
        <f>IF(AND(C570&lt;&gt;"",D570&lt;&gt;""),D570-C570,"")</f>
        <v>0</v>
      </c>
      <c r="F570" s="4" t="s">
        <v>459</v>
      </c>
      <c r="G570" s="4" t="s">
        <v>837</v>
      </c>
      <c r="H570" s="4"/>
      <c r="I570" s="4" t="s">
        <v>56</v>
      </c>
      <c r="J570" s="4">
        <v>4</v>
      </c>
      <c r="K570" s="4">
        <v>0</v>
      </c>
      <c r="L570" s="4">
        <f>J570+K570</f>
        <v>0</v>
      </c>
      <c r="M570" s="4" t="s">
        <v>42</v>
      </c>
      <c r="N570" s="4"/>
      <c r="O570" s="4">
        <v>4</v>
      </c>
      <c r="P570" s="4" t="s">
        <v>135</v>
      </c>
      <c r="Q570" s="4"/>
      <c r="R570" s="7">
        <v>370000</v>
      </c>
      <c r="S570" s="7">
        <v>0</v>
      </c>
      <c r="T570" s="7">
        <f>R570-S570</f>
        <v>0</v>
      </c>
      <c r="U570" s="7">
        <f>T570*O570</f>
        <v>0</v>
      </c>
    </row>
    <row r="571" spans="1:21">
      <c r="A571" s="4" t="s">
        <v>838</v>
      </c>
      <c r="B571" s="4"/>
      <c r="C571" s="5">
        <v>45922.31824074074</v>
      </c>
      <c r="D571" s="5">
        <v>45961</v>
      </c>
      <c r="E571" s="6">
        <f>IF(AND(C571&lt;&gt;"",D571&lt;&gt;""),D571-C571,"")</f>
        <v>0</v>
      </c>
      <c r="F571" s="4" t="s">
        <v>839</v>
      </c>
      <c r="G571" s="4"/>
      <c r="H571" s="4"/>
      <c r="I571" s="4" t="s">
        <v>56</v>
      </c>
      <c r="J571" s="4">
        <v>1</v>
      </c>
      <c r="K571" s="4">
        <v>0</v>
      </c>
      <c r="L571" s="4">
        <f>J571+K571</f>
        <v>0</v>
      </c>
      <c r="M571" s="4"/>
      <c r="N571" s="4"/>
      <c r="O571" s="4">
        <v>0</v>
      </c>
      <c r="P571" s="4"/>
      <c r="Q571" s="4"/>
      <c r="R571" s="7">
        <v>0</v>
      </c>
      <c r="S571" s="7">
        <v>0</v>
      </c>
      <c r="T571" s="7">
        <f>R571-S571</f>
        <v>0</v>
      </c>
      <c r="U571" s="7">
        <f>T571*O571</f>
        <v>0</v>
      </c>
    </row>
    <row r="572" spans="1:21">
      <c r="A572" s="4" t="s">
        <v>840</v>
      </c>
      <c r="B572" s="4" t="s">
        <v>103</v>
      </c>
      <c r="C572" s="5">
        <v>45922.32185185186</v>
      </c>
      <c r="D572" s="5">
        <v>45961</v>
      </c>
      <c r="E572" s="6">
        <f>IF(AND(C572&lt;&gt;"",D572&lt;&gt;""),D572-C572,"")</f>
        <v>0</v>
      </c>
      <c r="F572" s="4" t="s">
        <v>841</v>
      </c>
      <c r="G572" s="4"/>
      <c r="H572" s="4"/>
      <c r="I572" s="4" t="s">
        <v>56</v>
      </c>
      <c r="J572" s="4">
        <v>4</v>
      </c>
      <c r="K572" s="4">
        <v>0</v>
      </c>
      <c r="L572" s="4">
        <f>J572+K572</f>
        <v>0</v>
      </c>
      <c r="M572" s="4"/>
      <c r="N572" s="4"/>
      <c r="O572" s="4">
        <v>0</v>
      </c>
      <c r="P572" s="4"/>
      <c r="Q572" s="4"/>
      <c r="R572" s="7">
        <v>0</v>
      </c>
      <c r="S572" s="7">
        <v>0</v>
      </c>
      <c r="T572" s="7">
        <f>R572-S572</f>
        <v>0</v>
      </c>
      <c r="U572" s="7">
        <f>T572*O572</f>
        <v>0</v>
      </c>
    </row>
    <row r="573" spans="1:21">
      <c r="A573" s="4" t="s">
        <v>842</v>
      </c>
      <c r="B573" s="4" t="s">
        <v>48</v>
      </c>
      <c r="C573" s="5">
        <v>45922.33265046297</v>
      </c>
      <c r="D573" s="5">
        <v>45961</v>
      </c>
      <c r="E573" s="6">
        <f>IF(AND(C573&lt;&gt;"",D573&lt;&gt;""),D573-C573,"")</f>
        <v>0</v>
      </c>
      <c r="F573" s="4" t="s">
        <v>64</v>
      </c>
      <c r="G573" s="4" t="s">
        <v>843</v>
      </c>
      <c r="H573" s="4" t="s">
        <v>32</v>
      </c>
      <c r="I573" s="4" t="s">
        <v>33</v>
      </c>
      <c r="J573" s="4">
        <v>2</v>
      </c>
      <c r="K573" s="4">
        <v>0</v>
      </c>
      <c r="L573" s="4">
        <f>J573+K573</f>
        <v>0</v>
      </c>
      <c r="M573" s="4"/>
      <c r="N573" s="4"/>
      <c r="O573" s="4">
        <v>0</v>
      </c>
      <c r="P573" s="4"/>
      <c r="Q573" s="4"/>
      <c r="R573" s="7">
        <v>0</v>
      </c>
      <c r="S573" s="7">
        <v>0</v>
      </c>
      <c r="T573" s="7">
        <f>R573-S573</f>
        <v>0</v>
      </c>
      <c r="U573" s="7">
        <f>T573*O573</f>
        <v>0</v>
      </c>
    </row>
    <row r="574" spans="1:21">
      <c r="A574" s="4" t="s">
        <v>844</v>
      </c>
      <c r="B574" s="4" t="s">
        <v>39</v>
      </c>
      <c r="C574" s="5">
        <v>45922.34509259259</v>
      </c>
      <c r="D574" s="5">
        <v>45922</v>
      </c>
      <c r="E574" s="6">
        <f>IF(AND(C574&lt;&gt;"",D574&lt;&gt;""),D574-C574,"")</f>
        <v>0</v>
      </c>
      <c r="F574" s="4" t="s">
        <v>845</v>
      </c>
      <c r="G574" s="4" t="s">
        <v>846</v>
      </c>
      <c r="H574" s="4"/>
      <c r="I574" s="4" t="s">
        <v>56</v>
      </c>
      <c r="J574" s="4">
        <v>1</v>
      </c>
      <c r="K574" s="4">
        <v>0</v>
      </c>
      <c r="L574" s="4">
        <f>J574+K574</f>
        <v>0</v>
      </c>
      <c r="M574" s="4" t="s">
        <v>42</v>
      </c>
      <c r="N574" s="4"/>
      <c r="O574" s="4">
        <v>1</v>
      </c>
      <c r="P574" s="4" t="s">
        <v>135</v>
      </c>
      <c r="Q574" s="4"/>
      <c r="R574" s="7">
        <v>370000</v>
      </c>
      <c r="S574" s="7">
        <v>0</v>
      </c>
      <c r="T574" s="7">
        <f>R574-S574</f>
        <v>0</v>
      </c>
      <c r="U574" s="7">
        <f>T574*O574</f>
        <v>0</v>
      </c>
    </row>
    <row r="575" spans="1:21">
      <c r="A575" s="4" t="s">
        <v>844</v>
      </c>
      <c r="B575" s="4" t="s">
        <v>39</v>
      </c>
      <c r="C575" s="5">
        <v>45922.34509259259</v>
      </c>
      <c r="D575" s="5">
        <v>45922</v>
      </c>
      <c r="E575" s="6">
        <f>IF(AND(C575&lt;&gt;"",D575&lt;&gt;""),D575-C575,"")</f>
        <v>0</v>
      </c>
      <c r="F575" s="4" t="s">
        <v>845</v>
      </c>
      <c r="G575" s="4" t="s">
        <v>846</v>
      </c>
      <c r="H575" s="4"/>
      <c r="I575" s="4" t="s">
        <v>56</v>
      </c>
      <c r="J575" s="4">
        <v>0</v>
      </c>
      <c r="K575" s="4">
        <v>1</v>
      </c>
      <c r="L575" s="4">
        <f>J575+K575</f>
        <v>0</v>
      </c>
      <c r="M575" s="4" t="s">
        <v>46</v>
      </c>
      <c r="N575" s="4"/>
      <c r="O575" s="4">
        <v>1</v>
      </c>
      <c r="P575" s="4" t="s">
        <v>135</v>
      </c>
      <c r="Q575" s="4"/>
      <c r="R575" s="7">
        <v>325000</v>
      </c>
      <c r="S575" s="7">
        <v>0</v>
      </c>
      <c r="T575" s="7">
        <f>R575-S575</f>
        <v>0</v>
      </c>
      <c r="U575" s="7">
        <f>T575*O575</f>
        <v>0</v>
      </c>
    </row>
    <row r="576" spans="1:21">
      <c r="A576" s="4" t="s">
        <v>844</v>
      </c>
      <c r="B576" s="4" t="s">
        <v>39</v>
      </c>
      <c r="C576" s="5">
        <v>45922.34509259259</v>
      </c>
      <c r="D576" s="5">
        <v>45922</v>
      </c>
      <c r="E576" s="6">
        <f>IF(AND(C576&lt;&gt;"",D576&lt;&gt;""),D576-C576,"")</f>
        <v>0</v>
      </c>
      <c r="F576" s="4" t="s">
        <v>845</v>
      </c>
      <c r="G576" s="4" t="s">
        <v>846</v>
      </c>
      <c r="H576" s="4"/>
      <c r="I576" s="4" t="s">
        <v>56</v>
      </c>
      <c r="J576" s="4">
        <v>2</v>
      </c>
      <c r="K576" s="4">
        <v>0</v>
      </c>
      <c r="L576" s="4">
        <f>J576+K576</f>
        <v>0</v>
      </c>
      <c r="M576" s="4" t="s">
        <v>80</v>
      </c>
      <c r="N576" s="4"/>
      <c r="O576" s="4">
        <v>2</v>
      </c>
      <c r="P576" s="4" t="s">
        <v>135</v>
      </c>
      <c r="Q576" s="4"/>
      <c r="R576" s="7">
        <v>610000</v>
      </c>
      <c r="S576" s="7">
        <v>0</v>
      </c>
      <c r="T576" s="7">
        <f>R576-S576</f>
        <v>0</v>
      </c>
      <c r="U576" s="7">
        <f>T576*O576</f>
        <v>0</v>
      </c>
    </row>
    <row r="577" spans="1:21">
      <c r="A577" s="4" t="s">
        <v>844</v>
      </c>
      <c r="B577" s="4" t="s">
        <v>39</v>
      </c>
      <c r="C577" s="5">
        <v>45922.34509259259</v>
      </c>
      <c r="D577" s="5">
        <v>45922</v>
      </c>
      <c r="E577" s="6">
        <f>IF(AND(C577&lt;&gt;"",D577&lt;&gt;""),D577-C577,"")</f>
        <v>0</v>
      </c>
      <c r="F577" s="4" t="s">
        <v>845</v>
      </c>
      <c r="G577" s="4" t="s">
        <v>846</v>
      </c>
      <c r="H577" s="4"/>
      <c r="I577" s="4" t="s">
        <v>56</v>
      </c>
      <c r="J577" s="4">
        <v>0</v>
      </c>
      <c r="K577" s="4">
        <v>4</v>
      </c>
      <c r="L577" s="4">
        <f>J577+K577</f>
        <v>0</v>
      </c>
      <c r="M577" s="4" t="s">
        <v>81</v>
      </c>
      <c r="N577" s="4"/>
      <c r="O577" s="4">
        <v>4</v>
      </c>
      <c r="P577" s="4" t="s">
        <v>135</v>
      </c>
      <c r="Q577" s="4"/>
      <c r="R577" s="7">
        <v>495000</v>
      </c>
      <c r="S577" s="7">
        <v>0</v>
      </c>
      <c r="T577" s="7">
        <f>R577-S577</f>
        <v>0</v>
      </c>
      <c r="U577" s="7">
        <f>T577*O577</f>
        <v>0</v>
      </c>
    </row>
    <row r="578" spans="1:21">
      <c r="A578" s="4" t="s">
        <v>847</v>
      </c>
      <c r="B578" s="4" t="s">
        <v>39</v>
      </c>
      <c r="C578" s="5">
        <v>45922.34628472223</v>
      </c>
      <c r="D578" s="5">
        <v>45922</v>
      </c>
      <c r="E578" s="6">
        <f>IF(AND(C578&lt;&gt;"",D578&lt;&gt;""),D578-C578,"")</f>
        <v>0</v>
      </c>
      <c r="F578" s="4" t="s">
        <v>848</v>
      </c>
      <c r="G578" s="4" t="s">
        <v>849</v>
      </c>
      <c r="H578" s="4"/>
      <c r="I578" s="4" t="s">
        <v>56</v>
      </c>
      <c r="J578" s="4">
        <v>2</v>
      </c>
      <c r="K578" s="4">
        <v>0</v>
      </c>
      <c r="L578" s="4">
        <f>J578+K578</f>
        <v>0</v>
      </c>
      <c r="M578" s="4" t="s">
        <v>42</v>
      </c>
      <c r="N578" s="4"/>
      <c r="O578" s="4">
        <v>2</v>
      </c>
      <c r="P578" s="4" t="s">
        <v>135</v>
      </c>
      <c r="Q578" s="4"/>
      <c r="R578" s="7">
        <v>370000</v>
      </c>
      <c r="S578" s="7">
        <v>0</v>
      </c>
      <c r="T578" s="7">
        <f>R578-S578</f>
        <v>0</v>
      </c>
      <c r="U578" s="7">
        <f>T578*O578</f>
        <v>0</v>
      </c>
    </row>
    <row r="579" spans="1:21">
      <c r="A579" s="4" t="s">
        <v>847</v>
      </c>
      <c r="B579" s="4" t="s">
        <v>39</v>
      </c>
      <c r="C579" s="5">
        <v>45922.34628472223</v>
      </c>
      <c r="D579" s="5">
        <v>45922</v>
      </c>
      <c r="E579" s="6">
        <f>IF(AND(C579&lt;&gt;"",D579&lt;&gt;""),D579-C579,"")</f>
        <v>0</v>
      </c>
      <c r="F579" s="4" t="s">
        <v>848</v>
      </c>
      <c r="G579" s="4" t="s">
        <v>849</v>
      </c>
      <c r="H579" s="4"/>
      <c r="I579" s="4" t="s">
        <v>56</v>
      </c>
      <c r="J579" s="4">
        <v>1</v>
      </c>
      <c r="K579" s="4">
        <v>0</v>
      </c>
      <c r="L579" s="4">
        <f>J579+K579</f>
        <v>0</v>
      </c>
      <c r="M579" s="4" t="s">
        <v>80</v>
      </c>
      <c r="N579" s="4"/>
      <c r="O579" s="4">
        <v>1</v>
      </c>
      <c r="P579" s="4" t="s">
        <v>135</v>
      </c>
      <c r="Q579" s="4"/>
      <c r="R579" s="7">
        <v>610000</v>
      </c>
      <c r="S579" s="7">
        <v>0</v>
      </c>
      <c r="T579" s="7">
        <f>R579-S579</f>
        <v>0</v>
      </c>
      <c r="U579" s="7">
        <f>T579*O579</f>
        <v>0</v>
      </c>
    </row>
    <row r="580" spans="1:21">
      <c r="A580" s="4" t="s">
        <v>847</v>
      </c>
      <c r="B580" s="4" t="s">
        <v>39</v>
      </c>
      <c r="C580" s="5">
        <v>45922.34628472223</v>
      </c>
      <c r="D580" s="5">
        <v>45922</v>
      </c>
      <c r="E580" s="6">
        <f>IF(AND(C580&lt;&gt;"",D580&lt;&gt;""),D580-C580,"")</f>
        <v>0</v>
      </c>
      <c r="F580" s="4" t="s">
        <v>848</v>
      </c>
      <c r="G580" s="4" t="s">
        <v>849</v>
      </c>
      <c r="H580" s="4"/>
      <c r="I580" s="4" t="s">
        <v>56</v>
      </c>
      <c r="J580" s="4">
        <v>0</v>
      </c>
      <c r="K580" s="4">
        <v>3</v>
      </c>
      <c r="L580" s="4">
        <f>J580+K580</f>
        <v>0</v>
      </c>
      <c r="M580" s="4" t="s">
        <v>46</v>
      </c>
      <c r="N580" s="4"/>
      <c r="O580" s="4">
        <v>3</v>
      </c>
      <c r="P580" s="4" t="s">
        <v>135</v>
      </c>
      <c r="Q580" s="4"/>
      <c r="R580" s="7">
        <v>325000</v>
      </c>
      <c r="S580" s="7">
        <v>0</v>
      </c>
      <c r="T580" s="7">
        <f>R580-S580</f>
        <v>0</v>
      </c>
      <c r="U580" s="7">
        <f>T580*O580</f>
        <v>0</v>
      </c>
    </row>
    <row r="581" spans="1:21">
      <c r="A581" s="4" t="s">
        <v>850</v>
      </c>
      <c r="B581" s="4" t="s">
        <v>39</v>
      </c>
      <c r="C581" s="5">
        <v>45922.34840277778</v>
      </c>
      <c r="D581" s="5">
        <v>45922</v>
      </c>
      <c r="E581" s="6">
        <f>IF(AND(C581&lt;&gt;"",D581&lt;&gt;""),D581-C581,"")</f>
        <v>0</v>
      </c>
      <c r="F581" s="4" t="s">
        <v>851</v>
      </c>
      <c r="G581" s="4" t="s">
        <v>852</v>
      </c>
      <c r="H581" s="4"/>
      <c r="I581" s="4" t="s">
        <v>56</v>
      </c>
      <c r="J581" s="4">
        <v>0</v>
      </c>
      <c r="K581" s="4">
        <v>1</v>
      </c>
      <c r="L581" s="4">
        <f>J581+K581</f>
        <v>0</v>
      </c>
      <c r="M581" s="4" t="s">
        <v>46</v>
      </c>
      <c r="N581" s="4"/>
      <c r="O581" s="4">
        <v>1</v>
      </c>
      <c r="P581" s="4" t="s">
        <v>135</v>
      </c>
      <c r="Q581" s="4"/>
      <c r="R581" s="7">
        <v>325000</v>
      </c>
      <c r="S581" s="7">
        <v>0</v>
      </c>
      <c r="T581" s="7">
        <f>R581-S581</f>
        <v>0</v>
      </c>
      <c r="U581" s="7">
        <f>T581*O581</f>
        <v>0</v>
      </c>
    </row>
    <row r="582" spans="1:21">
      <c r="A582" s="4" t="s">
        <v>850</v>
      </c>
      <c r="B582" s="4" t="s">
        <v>39</v>
      </c>
      <c r="C582" s="5">
        <v>45922.34840277778</v>
      </c>
      <c r="D582" s="5">
        <v>45922</v>
      </c>
      <c r="E582" s="6">
        <f>IF(AND(C582&lt;&gt;"",D582&lt;&gt;""),D582-C582,"")</f>
        <v>0</v>
      </c>
      <c r="F582" s="4" t="s">
        <v>851</v>
      </c>
      <c r="G582" s="4" t="s">
        <v>852</v>
      </c>
      <c r="H582" s="4"/>
      <c r="I582" s="4" t="s">
        <v>56</v>
      </c>
      <c r="J582" s="4">
        <v>1</v>
      </c>
      <c r="K582" s="4">
        <v>0</v>
      </c>
      <c r="L582" s="4">
        <f>J582+K582</f>
        <v>0</v>
      </c>
      <c r="M582" s="4" t="s">
        <v>42</v>
      </c>
      <c r="N582" s="4"/>
      <c r="O582" s="4">
        <v>1</v>
      </c>
      <c r="P582" s="4" t="s">
        <v>135</v>
      </c>
      <c r="Q582" s="4"/>
      <c r="R582" s="7">
        <v>370000</v>
      </c>
      <c r="S582" s="7">
        <v>0</v>
      </c>
      <c r="T582" s="7">
        <f>R582-S582</f>
        <v>0</v>
      </c>
      <c r="U582" s="7">
        <f>T582*O582</f>
        <v>0</v>
      </c>
    </row>
    <row r="583" spans="1:21">
      <c r="A583" s="4" t="s">
        <v>850</v>
      </c>
      <c r="B583" s="4" t="s">
        <v>39</v>
      </c>
      <c r="C583" s="5">
        <v>45922.34840277778</v>
      </c>
      <c r="D583" s="5">
        <v>45922</v>
      </c>
      <c r="E583" s="6">
        <f>IF(AND(C583&lt;&gt;"",D583&lt;&gt;""),D583-C583,"")</f>
        <v>0</v>
      </c>
      <c r="F583" s="4" t="s">
        <v>851</v>
      </c>
      <c r="G583" s="4" t="s">
        <v>852</v>
      </c>
      <c r="H583" s="4"/>
      <c r="I583" s="4" t="s">
        <v>56</v>
      </c>
      <c r="J583" s="4">
        <v>0</v>
      </c>
      <c r="K583" s="4">
        <v>1</v>
      </c>
      <c r="L583" s="4">
        <f>J583+K583</f>
        <v>0</v>
      </c>
      <c r="M583" s="4" t="s">
        <v>46</v>
      </c>
      <c r="N583" s="4"/>
      <c r="O583" s="4">
        <v>1</v>
      </c>
      <c r="P583" s="4" t="s">
        <v>135</v>
      </c>
      <c r="Q583" s="4"/>
      <c r="R583" s="7">
        <v>325000</v>
      </c>
      <c r="S583" s="7">
        <v>0</v>
      </c>
      <c r="T583" s="7">
        <f>R583-S583</f>
        <v>0</v>
      </c>
      <c r="U583" s="7">
        <f>T583*O583</f>
        <v>0</v>
      </c>
    </row>
    <row r="584" spans="1:21">
      <c r="A584" s="4" t="s">
        <v>853</v>
      </c>
      <c r="B584" s="4" t="s">
        <v>39</v>
      </c>
      <c r="C584" s="5">
        <v>45922.34900462963</v>
      </c>
      <c r="D584" s="5">
        <v>45922</v>
      </c>
      <c r="E584" s="6">
        <f>IF(AND(C584&lt;&gt;"",D584&lt;&gt;""),D584-C584,"")</f>
        <v>0</v>
      </c>
      <c r="F584" s="4" t="s">
        <v>854</v>
      </c>
      <c r="G584" s="4" t="s">
        <v>855</v>
      </c>
      <c r="H584" s="4"/>
      <c r="I584" s="4" t="s">
        <v>56</v>
      </c>
      <c r="J584" s="4">
        <v>0</v>
      </c>
      <c r="K584" s="4">
        <v>1</v>
      </c>
      <c r="L584" s="4">
        <f>J584+K584</f>
        <v>0</v>
      </c>
      <c r="M584" s="4" t="s">
        <v>81</v>
      </c>
      <c r="N584" s="4"/>
      <c r="O584" s="4">
        <v>1</v>
      </c>
      <c r="P584" s="4" t="s">
        <v>135</v>
      </c>
      <c r="Q584" s="4"/>
      <c r="R584" s="7">
        <v>495000</v>
      </c>
      <c r="S584" s="7">
        <v>0</v>
      </c>
      <c r="T584" s="7">
        <f>R584-S584</f>
        <v>0</v>
      </c>
      <c r="U584" s="7">
        <f>T584*O584</f>
        <v>0</v>
      </c>
    </row>
    <row r="585" spans="1:21">
      <c r="A585" s="4" t="s">
        <v>853</v>
      </c>
      <c r="B585" s="4" t="s">
        <v>39</v>
      </c>
      <c r="C585" s="5">
        <v>45922.34900462963</v>
      </c>
      <c r="D585" s="5">
        <v>45922</v>
      </c>
      <c r="E585" s="6">
        <f>IF(AND(C585&lt;&gt;"",D585&lt;&gt;""),D585-C585,"")</f>
        <v>0</v>
      </c>
      <c r="F585" s="4" t="s">
        <v>854</v>
      </c>
      <c r="G585" s="4" t="s">
        <v>855</v>
      </c>
      <c r="H585" s="4"/>
      <c r="I585" s="4" t="s">
        <v>56</v>
      </c>
      <c r="J585" s="4">
        <v>0</v>
      </c>
      <c r="K585" s="4">
        <v>1</v>
      </c>
      <c r="L585" s="4">
        <f>J585+K585</f>
        <v>0</v>
      </c>
      <c r="M585" s="4" t="s">
        <v>81</v>
      </c>
      <c r="N585" s="4"/>
      <c r="O585" s="4">
        <v>1</v>
      </c>
      <c r="P585" s="4" t="s">
        <v>135</v>
      </c>
      <c r="Q585" s="4"/>
      <c r="R585" s="7">
        <v>495000</v>
      </c>
      <c r="S585" s="7">
        <v>0</v>
      </c>
      <c r="T585" s="7">
        <f>R585-S585</f>
        <v>0</v>
      </c>
      <c r="U585" s="7">
        <f>T585*O585</f>
        <v>0</v>
      </c>
    </row>
    <row r="586" spans="1:21">
      <c r="A586" s="4" t="s">
        <v>856</v>
      </c>
      <c r="B586" s="4" t="s">
        <v>39</v>
      </c>
      <c r="C586" s="5">
        <v>45922.37638888889</v>
      </c>
      <c r="D586" s="5">
        <v>45922</v>
      </c>
      <c r="E586" s="6">
        <f>IF(AND(C586&lt;&gt;"",D586&lt;&gt;""),D586-C586,"")</f>
        <v>0</v>
      </c>
      <c r="F586" s="4" t="s">
        <v>854</v>
      </c>
      <c r="G586" s="4" t="s">
        <v>857</v>
      </c>
      <c r="H586" s="4"/>
      <c r="I586" s="4" t="s">
        <v>56</v>
      </c>
      <c r="J586" s="4">
        <v>4</v>
      </c>
      <c r="K586" s="4">
        <v>0</v>
      </c>
      <c r="L586" s="4">
        <f>J586+K586</f>
        <v>0</v>
      </c>
      <c r="M586" s="4" t="s">
        <v>42</v>
      </c>
      <c r="N586" s="4"/>
      <c r="O586" s="4">
        <v>4</v>
      </c>
      <c r="P586" s="4" t="s">
        <v>135</v>
      </c>
      <c r="Q586" s="4"/>
      <c r="R586" s="7">
        <v>370000</v>
      </c>
      <c r="S586" s="7">
        <v>0</v>
      </c>
      <c r="T586" s="7">
        <f>R586-S586</f>
        <v>0</v>
      </c>
      <c r="U586" s="7">
        <f>T586*O586</f>
        <v>0</v>
      </c>
    </row>
    <row r="587" spans="1:21">
      <c r="A587" s="4" t="s">
        <v>858</v>
      </c>
      <c r="B587" s="4" t="s">
        <v>103</v>
      </c>
      <c r="C587" s="5">
        <v>45922.68740740741</v>
      </c>
      <c r="D587" s="5">
        <v>45961</v>
      </c>
      <c r="E587" s="6">
        <f>IF(AND(C587&lt;&gt;"",D587&lt;&gt;""),D587-C587,"")</f>
        <v>0</v>
      </c>
      <c r="F587" s="4" t="s">
        <v>165</v>
      </c>
      <c r="G587" s="4" t="s">
        <v>65</v>
      </c>
      <c r="H587" s="4" t="s">
        <v>32</v>
      </c>
      <c r="I587" s="4" t="s">
        <v>33</v>
      </c>
      <c r="J587" s="4">
        <v>2</v>
      </c>
      <c r="K587" s="4">
        <v>0</v>
      </c>
      <c r="L587" s="4">
        <f>J587+K587</f>
        <v>0</v>
      </c>
      <c r="M587" s="4"/>
      <c r="N587" s="4"/>
      <c r="O587" s="4">
        <v>0</v>
      </c>
      <c r="P587" s="4"/>
      <c r="Q587" s="4"/>
      <c r="R587" s="7">
        <v>0</v>
      </c>
      <c r="S587" s="7">
        <v>0</v>
      </c>
      <c r="T587" s="7">
        <f>R587-S587</f>
        <v>0</v>
      </c>
      <c r="U587" s="7">
        <f>T587*O587</f>
        <v>0</v>
      </c>
    </row>
    <row r="588" spans="1:21">
      <c r="A588" s="4" t="s">
        <v>859</v>
      </c>
      <c r="B588" s="4" t="s">
        <v>48</v>
      </c>
      <c r="C588" s="5">
        <v>45922.69510416667</v>
      </c>
      <c r="D588" s="5">
        <v>45961</v>
      </c>
      <c r="E588" s="6">
        <f>IF(AND(C588&lt;&gt;"",D588&lt;&gt;""),D588-C588,"")</f>
        <v>0</v>
      </c>
      <c r="F588" s="4" t="s">
        <v>64</v>
      </c>
      <c r="G588" s="4" t="s">
        <v>860</v>
      </c>
      <c r="H588" s="4" t="s">
        <v>32</v>
      </c>
      <c r="I588" s="4" t="s">
        <v>33</v>
      </c>
      <c r="J588" s="4">
        <v>2</v>
      </c>
      <c r="K588" s="4">
        <v>0</v>
      </c>
      <c r="L588" s="4">
        <f>J588+K588</f>
        <v>0</v>
      </c>
      <c r="M588" s="4"/>
      <c r="N588" s="4"/>
      <c r="O588" s="4">
        <v>0</v>
      </c>
      <c r="P588" s="4"/>
      <c r="Q588" s="4"/>
      <c r="R588" s="7">
        <v>0</v>
      </c>
      <c r="S588" s="7">
        <v>0</v>
      </c>
      <c r="T588" s="7">
        <f>R588-S588</f>
        <v>0</v>
      </c>
      <c r="U588" s="7">
        <f>T588*O588</f>
        <v>0</v>
      </c>
    </row>
    <row r="589" spans="1:21">
      <c r="A589" s="4" t="s">
        <v>861</v>
      </c>
      <c r="B589" s="4" t="s">
        <v>39</v>
      </c>
      <c r="C589" s="5">
        <v>45923.09136574074</v>
      </c>
      <c r="D589" s="5">
        <v>45923</v>
      </c>
      <c r="E589" s="6">
        <f>IF(AND(C589&lt;&gt;"",D589&lt;&gt;""),D589-C589,"")</f>
        <v>0</v>
      </c>
      <c r="F589" s="4" t="s">
        <v>431</v>
      </c>
      <c r="G589" s="4" t="s">
        <v>432</v>
      </c>
      <c r="H589" s="4" t="s">
        <v>32</v>
      </c>
      <c r="I589" s="4" t="s">
        <v>33</v>
      </c>
      <c r="J589" s="4">
        <v>1</v>
      </c>
      <c r="K589" s="4">
        <v>0</v>
      </c>
      <c r="L589" s="4">
        <f>J589+K589</f>
        <v>0</v>
      </c>
      <c r="M589" s="4" t="s">
        <v>42</v>
      </c>
      <c r="N589" s="4"/>
      <c r="O589" s="4">
        <v>1</v>
      </c>
      <c r="P589" s="4" t="s">
        <v>43</v>
      </c>
      <c r="Q589" s="4" t="s">
        <v>44</v>
      </c>
      <c r="R589" s="7">
        <v>1300000</v>
      </c>
      <c r="S589" s="7">
        <v>0</v>
      </c>
      <c r="T589" s="7">
        <f>R589-S589</f>
        <v>0</v>
      </c>
      <c r="U589" s="7">
        <f>T589*O589</f>
        <v>0</v>
      </c>
    </row>
    <row r="590" spans="1:21">
      <c r="A590" s="4" t="s">
        <v>862</v>
      </c>
      <c r="B590" s="4" t="s">
        <v>29</v>
      </c>
      <c r="C590" s="5">
        <v>45923.10707175926</v>
      </c>
      <c r="D590" s="5">
        <v>45961</v>
      </c>
      <c r="E590" s="6">
        <f>IF(AND(C590&lt;&gt;"",D590&lt;&gt;""),D590-C590,"")</f>
        <v>0</v>
      </c>
      <c r="F590" s="4" t="s">
        <v>863</v>
      </c>
      <c r="G590" s="4" t="s">
        <v>400</v>
      </c>
      <c r="H590" s="4" t="s">
        <v>32</v>
      </c>
      <c r="I590" s="4" t="s">
        <v>33</v>
      </c>
      <c r="J590" s="4">
        <v>5</v>
      </c>
      <c r="K590" s="4">
        <v>2</v>
      </c>
      <c r="L590" s="4">
        <f>J590+K590</f>
        <v>0</v>
      </c>
      <c r="M590" s="4"/>
      <c r="N590" s="4"/>
      <c r="O590" s="4">
        <v>0</v>
      </c>
      <c r="P590" s="4"/>
      <c r="Q590" s="4"/>
      <c r="R590" s="7">
        <v>0</v>
      </c>
      <c r="S590" s="7">
        <v>0</v>
      </c>
      <c r="T590" s="7">
        <f>R590-S590</f>
        <v>0</v>
      </c>
      <c r="U590" s="7">
        <f>T590*O590</f>
        <v>0</v>
      </c>
    </row>
    <row r="591" spans="1:21">
      <c r="A591" s="4" t="s">
        <v>864</v>
      </c>
      <c r="B591" s="4" t="s">
        <v>39</v>
      </c>
      <c r="C591" s="5">
        <v>45923.13596064815</v>
      </c>
      <c r="D591" s="5">
        <v>45923</v>
      </c>
      <c r="E591" s="6">
        <f>IF(AND(C591&lt;&gt;"",D591&lt;&gt;""),D591-C591,"")</f>
        <v>0</v>
      </c>
      <c r="F591" s="4" t="s">
        <v>431</v>
      </c>
      <c r="G591" s="4" t="s">
        <v>432</v>
      </c>
      <c r="H591" s="4" t="s">
        <v>32</v>
      </c>
      <c r="I591" s="4" t="s">
        <v>33</v>
      </c>
      <c r="J591" s="4">
        <v>1</v>
      </c>
      <c r="K591" s="4">
        <v>0</v>
      </c>
      <c r="L591" s="4">
        <f>J591+K591</f>
        <v>0</v>
      </c>
      <c r="M591" s="4" t="s">
        <v>42</v>
      </c>
      <c r="N591" s="4"/>
      <c r="O591" s="4">
        <v>1</v>
      </c>
      <c r="P591" s="4" t="s">
        <v>135</v>
      </c>
      <c r="Q591" s="4"/>
      <c r="R591" s="7">
        <v>1300000</v>
      </c>
      <c r="S591" s="7">
        <v>0</v>
      </c>
      <c r="T591" s="7">
        <f>R591-S591</f>
        <v>0</v>
      </c>
      <c r="U591" s="7">
        <f>T591*O591</f>
        <v>0</v>
      </c>
    </row>
    <row r="592" spans="1:21">
      <c r="A592" s="4" t="s">
        <v>865</v>
      </c>
      <c r="B592" s="4"/>
      <c r="C592" s="5">
        <v>45923.23269675926</v>
      </c>
      <c r="D592" s="5">
        <v>45961</v>
      </c>
      <c r="E592" s="6">
        <f>IF(AND(C592&lt;&gt;"",D592&lt;&gt;""),D592-C592,"")</f>
        <v>0</v>
      </c>
      <c r="F592" s="4" t="s">
        <v>866</v>
      </c>
      <c r="G592" s="4"/>
      <c r="H592" s="4"/>
      <c r="I592" s="4" t="s">
        <v>56</v>
      </c>
      <c r="J592" s="4">
        <v>500</v>
      </c>
      <c r="K592" s="4">
        <v>100</v>
      </c>
      <c r="L592" s="4">
        <f>J592+K592</f>
        <v>0</v>
      </c>
      <c r="M592" s="4"/>
      <c r="N592" s="4"/>
      <c r="O592" s="4">
        <v>0</v>
      </c>
      <c r="P592" s="4"/>
      <c r="Q592" s="4"/>
      <c r="R592" s="7">
        <v>0</v>
      </c>
      <c r="S592" s="7">
        <v>0</v>
      </c>
      <c r="T592" s="7">
        <f>R592-S592</f>
        <v>0</v>
      </c>
      <c r="U592" s="7">
        <f>T592*O592</f>
        <v>0</v>
      </c>
    </row>
    <row r="593" spans="1:21">
      <c r="A593" s="4" t="s">
        <v>867</v>
      </c>
      <c r="B593" s="4" t="s">
        <v>39</v>
      </c>
      <c r="C593" s="5">
        <v>45923.24291666667</v>
      </c>
      <c r="D593" s="5">
        <v>45923</v>
      </c>
      <c r="E593" s="6">
        <f>IF(AND(C593&lt;&gt;"",D593&lt;&gt;""),D593-C593,"")</f>
        <v>0</v>
      </c>
      <c r="F593" s="4" t="s">
        <v>868</v>
      </c>
      <c r="G593" s="4" t="s">
        <v>869</v>
      </c>
      <c r="H593" s="4"/>
      <c r="I593" s="4" t="s">
        <v>56</v>
      </c>
      <c r="J593" s="4">
        <v>3</v>
      </c>
      <c r="K593" s="4">
        <v>0</v>
      </c>
      <c r="L593" s="4">
        <f>J593+K593</f>
        <v>0</v>
      </c>
      <c r="M593" s="4" t="s">
        <v>80</v>
      </c>
      <c r="N593" s="4"/>
      <c r="O593" s="4">
        <v>3</v>
      </c>
      <c r="P593" s="4" t="s">
        <v>135</v>
      </c>
      <c r="Q593" s="4"/>
      <c r="R593" s="7">
        <v>610000</v>
      </c>
      <c r="S593" s="7">
        <v>0</v>
      </c>
      <c r="T593" s="7">
        <f>R593-S593</f>
        <v>0</v>
      </c>
      <c r="U593" s="7">
        <f>T593*O593</f>
        <v>0</v>
      </c>
    </row>
    <row r="594" spans="1:21">
      <c r="A594" s="4" t="s">
        <v>867</v>
      </c>
      <c r="B594" s="4" t="s">
        <v>39</v>
      </c>
      <c r="C594" s="5">
        <v>45923.24291666667</v>
      </c>
      <c r="D594" s="5">
        <v>45923</v>
      </c>
      <c r="E594" s="6">
        <f>IF(AND(C594&lt;&gt;"",D594&lt;&gt;""),D594-C594,"")</f>
        <v>0</v>
      </c>
      <c r="F594" s="4" t="s">
        <v>868</v>
      </c>
      <c r="G594" s="4" t="s">
        <v>869</v>
      </c>
      <c r="H594" s="4"/>
      <c r="I594" s="4" t="s">
        <v>56</v>
      </c>
      <c r="J594" s="4">
        <v>0</v>
      </c>
      <c r="K594" s="4">
        <v>0</v>
      </c>
      <c r="L594" s="4">
        <f>J594+K594</f>
        <v>0</v>
      </c>
      <c r="M594" s="4" t="s">
        <v>870</v>
      </c>
      <c r="N594" s="4"/>
      <c r="O594" s="4">
        <v>1</v>
      </c>
      <c r="P594" s="4" t="s">
        <v>135</v>
      </c>
      <c r="Q594" s="4"/>
      <c r="R594" s="7">
        <v>-500000</v>
      </c>
      <c r="S594" s="7">
        <v>0</v>
      </c>
      <c r="T594" s="7">
        <f>R594-S594</f>
        <v>0</v>
      </c>
      <c r="U594" s="7">
        <f>T594*O594</f>
        <v>0</v>
      </c>
    </row>
    <row r="595" spans="1:21">
      <c r="A595" s="4" t="s">
        <v>871</v>
      </c>
      <c r="B595" s="4" t="s">
        <v>39</v>
      </c>
      <c r="C595" s="5">
        <v>45923.24524305556</v>
      </c>
      <c r="D595" s="5">
        <v>45923</v>
      </c>
      <c r="E595" s="6">
        <f>IF(AND(C595&lt;&gt;"",D595&lt;&gt;""),D595-C595,"")</f>
        <v>0</v>
      </c>
      <c r="F595" s="4" t="s">
        <v>459</v>
      </c>
      <c r="G595" s="4" t="s">
        <v>872</v>
      </c>
      <c r="H595" s="4"/>
      <c r="I595" s="4" t="s">
        <v>56</v>
      </c>
      <c r="J595" s="4">
        <v>0</v>
      </c>
      <c r="K595" s="4">
        <v>0</v>
      </c>
      <c r="L595" s="4">
        <f>J595+K595</f>
        <v>0</v>
      </c>
      <c r="M595" s="4" t="s">
        <v>870</v>
      </c>
      <c r="N595" s="4"/>
      <c r="O595" s="4">
        <v>1</v>
      </c>
      <c r="P595" s="4" t="s">
        <v>135</v>
      </c>
      <c r="Q595" s="4"/>
      <c r="R595" s="7">
        <v>-370000</v>
      </c>
      <c r="S595" s="7">
        <v>0</v>
      </c>
      <c r="T595" s="7">
        <f>R595-S595</f>
        <v>0</v>
      </c>
      <c r="U595" s="7">
        <f>T595*O595</f>
        <v>0</v>
      </c>
    </row>
    <row r="596" spans="1:21">
      <c r="A596" s="4" t="s">
        <v>871</v>
      </c>
      <c r="B596" s="4" t="s">
        <v>39</v>
      </c>
      <c r="C596" s="5">
        <v>45923.24524305556</v>
      </c>
      <c r="D596" s="5">
        <v>45923</v>
      </c>
      <c r="E596" s="6">
        <f>IF(AND(C596&lt;&gt;"",D596&lt;&gt;""),D596-C596,"")</f>
        <v>0</v>
      </c>
      <c r="F596" s="4" t="s">
        <v>459</v>
      </c>
      <c r="G596" s="4" t="s">
        <v>872</v>
      </c>
      <c r="H596" s="4"/>
      <c r="I596" s="4" t="s">
        <v>56</v>
      </c>
      <c r="J596" s="4">
        <v>1</v>
      </c>
      <c r="K596" s="4">
        <v>0</v>
      </c>
      <c r="L596" s="4">
        <f>J596+K596</f>
        <v>0</v>
      </c>
      <c r="M596" s="4" t="s">
        <v>42</v>
      </c>
      <c r="N596" s="4"/>
      <c r="O596" s="4">
        <v>1</v>
      </c>
      <c r="P596" s="4" t="s">
        <v>135</v>
      </c>
      <c r="Q596" s="4"/>
      <c r="R596" s="7">
        <v>370000</v>
      </c>
      <c r="S596" s="7">
        <v>0</v>
      </c>
      <c r="T596" s="7">
        <f>R596-S596</f>
        <v>0</v>
      </c>
      <c r="U596" s="7">
        <f>T596*O596</f>
        <v>0</v>
      </c>
    </row>
    <row r="597" spans="1:21">
      <c r="A597" s="4" t="s">
        <v>873</v>
      </c>
      <c r="B597" s="4" t="s">
        <v>48</v>
      </c>
      <c r="C597" s="5">
        <v>45923.27957175926</v>
      </c>
      <c r="D597" s="5">
        <v>45961</v>
      </c>
      <c r="E597" s="6">
        <f>IF(AND(C597&lt;&gt;"",D597&lt;&gt;""),D597-C597,"")</f>
        <v>0</v>
      </c>
      <c r="F597" s="4" t="s">
        <v>874</v>
      </c>
      <c r="G597" s="4" t="s">
        <v>875</v>
      </c>
      <c r="H597" s="4" t="s">
        <v>32</v>
      </c>
      <c r="I597" s="4" t="s">
        <v>33</v>
      </c>
      <c r="J597" s="4">
        <v>2</v>
      </c>
      <c r="K597" s="4">
        <v>0</v>
      </c>
      <c r="L597" s="4">
        <f>J597+K597</f>
        <v>0</v>
      </c>
      <c r="M597" s="4"/>
      <c r="N597" s="4"/>
      <c r="O597" s="4">
        <v>0</v>
      </c>
      <c r="P597" s="4"/>
      <c r="Q597" s="4"/>
      <c r="R597" s="7">
        <v>0</v>
      </c>
      <c r="S597" s="7">
        <v>0</v>
      </c>
      <c r="T597" s="7">
        <f>R597-S597</f>
        <v>0</v>
      </c>
      <c r="U597" s="7">
        <f>T597*O597</f>
        <v>0</v>
      </c>
    </row>
    <row r="598" spans="1:21">
      <c r="A598" s="4" t="s">
        <v>876</v>
      </c>
      <c r="B598" s="4" t="s">
        <v>48</v>
      </c>
      <c r="C598" s="5">
        <v>45923.29543981481</v>
      </c>
      <c r="D598" s="5">
        <v>45923</v>
      </c>
      <c r="E598" s="6">
        <f>IF(AND(C598&lt;&gt;"",D598&lt;&gt;""),D598-C598,"")</f>
        <v>0</v>
      </c>
      <c r="F598" s="4" t="s">
        <v>877</v>
      </c>
      <c r="G598" s="4" t="s">
        <v>878</v>
      </c>
      <c r="H598" s="4" t="s">
        <v>32</v>
      </c>
      <c r="I598" s="4" t="s">
        <v>33</v>
      </c>
      <c r="J598" s="4">
        <v>2</v>
      </c>
      <c r="K598" s="4">
        <v>0</v>
      </c>
      <c r="L598" s="4">
        <f>J598+K598</f>
        <v>0</v>
      </c>
      <c r="M598" s="4"/>
      <c r="N598" s="4"/>
      <c r="O598" s="4">
        <v>0</v>
      </c>
      <c r="P598" s="4"/>
      <c r="Q598" s="4"/>
      <c r="R598" s="7">
        <v>0</v>
      </c>
      <c r="S598" s="7">
        <v>0</v>
      </c>
      <c r="T598" s="7">
        <f>R598-S598</f>
        <v>0</v>
      </c>
      <c r="U598" s="7">
        <f>T598*O598</f>
        <v>0</v>
      </c>
    </row>
    <row r="599" spans="1:21">
      <c r="A599" s="4" t="s">
        <v>879</v>
      </c>
      <c r="B599" s="4" t="s">
        <v>29</v>
      </c>
      <c r="C599" s="5">
        <v>45923.29679398148</v>
      </c>
      <c r="D599" s="5">
        <v>45961</v>
      </c>
      <c r="E599" s="6">
        <f>IF(AND(C599&lt;&gt;"",D599&lt;&gt;""),D599-C599,"")</f>
        <v>0</v>
      </c>
      <c r="F599" s="4" t="s">
        <v>286</v>
      </c>
      <c r="G599" s="4" t="s">
        <v>287</v>
      </c>
      <c r="H599" s="4" t="s">
        <v>32</v>
      </c>
      <c r="I599" s="4" t="s">
        <v>33</v>
      </c>
      <c r="J599" s="4">
        <v>1</v>
      </c>
      <c r="K599" s="4">
        <v>1</v>
      </c>
      <c r="L599" s="4">
        <f>J599+K599</f>
        <v>0</v>
      </c>
      <c r="M599" s="4"/>
      <c r="N599" s="4"/>
      <c r="O599" s="4">
        <v>0</v>
      </c>
      <c r="P599" s="4"/>
      <c r="Q599" s="4"/>
      <c r="R599" s="7">
        <v>0</v>
      </c>
      <c r="S599" s="7">
        <v>0</v>
      </c>
      <c r="T599" s="7">
        <f>R599-S599</f>
        <v>0</v>
      </c>
      <c r="U599" s="7">
        <f>T599*O599</f>
        <v>0</v>
      </c>
    </row>
    <row r="600" spans="1:21">
      <c r="A600" s="4" t="s">
        <v>880</v>
      </c>
      <c r="B600" s="4" t="s">
        <v>29</v>
      </c>
      <c r="C600" s="5">
        <v>45923.32293981482</v>
      </c>
      <c r="D600" s="5">
        <v>45961</v>
      </c>
      <c r="E600" s="6">
        <f>IF(AND(C600&lt;&gt;"",D600&lt;&gt;""),D600-C600,"")</f>
        <v>0</v>
      </c>
      <c r="F600" s="4" t="s">
        <v>286</v>
      </c>
      <c r="G600" s="4" t="s">
        <v>287</v>
      </c>
      <c r="H600" s="4" t="s">
        <v>32</v>
      </c>
      <c r="I600" s="4" t="s">
        <v>33</v>
      </c>
      <c r="J600" s="4">
        <v>4</v>
      </c>
      <c r="K600" s="4">
        <v>3</v>
      </c>
      <c r="L600" s="4">
        <f>J600+K600</f>
        <v>0</v>
      </c>
      <c r="M600" s="4"/>
      <c r="N600" s="4"/>
      <c r="O600" s="4">
        <v>0</v>
      </c>
      <c r="P600" s="4"/>
      <c r="Q600" s="4"/>
      <c r="R600" s="7">
        <v>0</v>
      </c>
      <c r="S600" s="7">
        <v>0</v>
      </c>
      <c r="T600" s="7">
        <f>R600-S600</f>
        <v>0</v>
      </c>
      <c r="U600" s="7">
        <f>T600*O600</f>
        <v>0</v>
      </c>
    </row>
    <row r="601" spans="1:21">
      <c r="A601" s="4" t="s">
        <v>881</v>
      </c>
      <c r="B601" s="4" t="s">
        <v>39</v>
      </c>
      <c r="C601" s="5">
        <v>45923.3232175926</v>
      </c>
      <c r="D601" s="5">
        <v>45923</v>
      </c>
      <c r="E601" s="6">
        <f>IF(AND(C601&lt;&gt;"",D601&lt;&gt;""),D601-C601,"")</f>
        <v>0</v>
      </c>
      <c r="F601" s="4" t="s">
        <v>882</v>
      </c>
      <c r="G601" s="4" t="s">
        <v>883</v>
      </c>
      <c r="H601" s="4" t="s">
        <v>32</v>
      </c>
      <c r="I601" s="4" t="s">
        <v>33</v>
      </c>
      <c r="J601" s="4">
        <v>0</v>
      </c>
      <c r="K601" s="4">
        <v>0</v>
      </c>
      <c r="L601" s="4">
        <f>J601+K601</f>
        <v>0</v>
      </c>
      <c r="M601" s="4" t="s">
        <v>884</v>
      </c>
      <c r="N601" s="4"/>
      <c r="O601" s="4">
        <v>1</v>
      </c>
      <c r="P601" s="4" t="s">
        <v>135</v>
      </c>
      <c r="Q601" s="4"/>
      <c r="R601" s="7">
        <v>625000</v>
      </c>
      <c r="S601" s="7">
        <v>0</v>
      </c>
      <c r="T601" s="7">
        <f>R601-S601</f>
        <v>0</v>
      </c>
      <c r="U601" s="7">
        <f>T601*O601</f>
        <v>0</v>
      </c>
    </row>
    <row r="602" spans="1:21">
      <c r="A602" s="4" t="s">
        <v>881</v>
      </c>
      <c r="B602" s="4" t="s">
        <v>39</v>
      </c>
      <c r="C602" s="5">
        <v>45923.3232175926</v>
      </c>
      <c r="D602" s="5">
        <v>45923</v>
      </c>
      <c r="E602" s="6">
        <f>IF(AND(C602&lt;&gt;"",D602&lt;&gt;""),D602-C602,"")</f>
        <v>0</v>
      </c>
      <c r="F602" s="4" t="s">
        <v>882</v>
      </c>
      <c r="G602" s="4" t="s">
        <v>883</v>
      </c>
      <c r="H602" s="4" t="s">
        <v>32</v>
      </c>
      <c r="I602" s="4" t="s">
        <v>33</v>
      </c>
      <c r="J602" s="4">
        <v>1</v>
      </c>
      <c r="K602" s="4">
        <v>0</v>
      </c>
      <c r="L602" s="4">
        <f>J602+K602</f>
        <v>0</v>
      </c>
      <c r="M602" s="4" t="s">
        <v>42</v>
      </c>
      <c r="N602" s="4"/>
      <c r="O602" s="4">
        <v>1</v>
      </c>
      <c r="P602" s="4" t="s">
        <v>135</v>
      </c>
      <c r="Q602" s="4"/>
      <c r="R602" s="7">
        <v>370000</v>
      </c>
      <c r="S602" s="7">
        <v>0</v>
      </c>
      <c r="T602" s="7">
        <f>R602-S602</f>
        <v>0</v>
      </c>
      <c r="U602" s="7">
        <f>T602*O602</f>
        <v>0</v>
      </c>
    </row>
    <row r="603" spans="1:21">
      <c r="A603" s="4" t="s">
        <v>881</v>
      </c>
      <c r="B603" s="4" t="s">
        <v>39</v>
      </c>
      <c r="C603" s="5">
        <v>45923.3232175926</v>
      </c>
      <c r="D603" s="5">
        <v>45923</v>
      </c>
      <c r="E603" s="6">
        <f>IF(AND(C603&lt;&gt;"",D603&lt;&gt;""),D603-C603,"")</f>
        <v>0</v>
      </c>
      <c r="F603" s="4" t="s">
        <v>882</v>
      </c>
      <c r="G603" s="4" t="s">
        <v>883</v>
      </c>
      <c r="H603" s="4" t="s">
        <v>32</v>
      </c>
      <c r="I603" s="4" t="s">
        <v>33</v>
      </c>
      <c r="J603" s="4">
        <v>0</v>
      </c>
      <c r="K603" s="4">
        <v>0</v>
      </c>
      <c r="L603" s="4">
        <f>J603+K603</f>
        <v>0</v>
      </c>
      <c r="M603" s="4" t="s">
        <v>370</v>
      </c>
      <c r="N603" s="4"/>
      <c r="O603" s="4">
        <v>1</v>
      </c>
      <c r="P603" s="4" t="s">
        <v>135</v>
      </c>
      <c r="Q603" s="4"/>
      <c r="R603" s="7">
        <v>0</v>
      </c>
      <c r="S603" s="7">
        <v>0</v>
      </c>
      <c r="T603" s="7">
        <f>R603-S603</f>
        <v>0</v>
      </c>
      <c r="U603" s="7">
        <f>T603*O603</f>
        <v>0</v>
      </c>
    </row>
    <row r="604" spans="1:21">
      <c r="A604" s="4" t="s">
        <v>885</v>
      </c>
      <c r="B604" s="4" t="s">
        <v>29</v>
      </c>
      <c r="C604" s="5">
        <v>45923.33505787037</v>
      </c>
      <c r="D604" s="5">
        <v>45961</v>
      </c>
      <c r="E604" s="6">
        <f>IF(AND(C604&lt;&gt;"",D604&lt;&gt;""),D604-C604,"")</f>
        <v>0</v>
      </c>
      <c r="F604" s="4" t="s">
        <v>234</v>
      </c>
      <c r="G604" s="4" t="s">
        <v>235</v>
      </c>
      <c r="H604" s="4" t="s">
        <v>32</v>
      </c>
      <c r="I604" s="4" t="s">
        <v>33</v>
      </c>
      <c r="J604" s="4">
        <v>2</v>
      </c>
      <c r="K604" s="4">
        <v>2</v>
      </c>
      <c r="L604" s="4">
        <f>J604+K604</f>
        <v>0</v>
      </c>
      <c r="M604" s="4"/>
      <c r="N604" s="4"/>
      <c r="O604" s="4">
        <v>0</v>
      </c>
      <c r="P604" s="4"/>
      <c r="Q604" s="4"/>
      <c r="R604" s="7">
        <v>0</v>
      </c>
      <c r="S604" s="7">
        <v>0</v>
      </c>
      <c r="T604" s="7">
        <f>R604-S604</f>
        <v>0</v>
      </c>
      <c r="U604" s="7">
        <f>T604*O604</f>
        <v>0</v>
      </c>
    </row>
    <row r="605" spans="1:21">
      <c r="A605" s="4" t="s">
        <v>886</v>
      </c>
      <c r="B605" s="4" t="s">
        <v>29</v>
      </c>
      <c r="C605" s="5">
        <v>45923.34261574074</v>
      </c>
      <c r="D605" s="5">
        <v>45961</v>
      </c>
      <c r="E605" s="6">
        <f>IF(AND(C605&lt;&gt;"",D605&lt;&gt;""),D605-C605,"")</f>
        <v>0</v>
      </c>
      <c r="F605" s="4" t="s">
        <v>162</v>
      </c>
      <c r="G605" s="4" t="s">
        <v>202</v>
      </c>
      <c r="H605" s="4" t="s">
        <v>32</v>
      </c>
      <c r="I605" s="4" t="s">
        <v>33</v>
      </c>
      <c r="J605" s="4">
        <v>2</v>
      </c>
      <c r="K605" s="4">
        <v>1</v>
      </c>
      <c r="L605" s="4">
        <f>J605+K605</f>
        <v>0</v>
      </c>
      <c r="M605" s="4"/>
      <c r="N605" s="4"/>
      <c r="O605" s="4">
        <v>0</v>
      </c>
      <c r="P605" s="4"/>
      <c r="Q605" s="4"/>
      <c r="R605" s="7">
        <v>0</v>
      </c>
      <c r="S605" s="7">
        <v>0</v>
      </c>
      <c r="T605" s="7">
        <f>R605-S605</f>
        <v>0</v>
      </c>
      <c r="U605" s="7">
        <f>T605*O605</f>
        <v>0</v>
      </c>
    </row>
    <row r="606" spans="1:21">
      <c r="A606" s="4" t="s">
        <v>887</v>
      </c>
      <c r="B606" s="4" t="s">
        <v>29</v>
      </c>
      <c r="C606" s="5">
        <v>45923.3554050926</v>
      </c>
      <c r="D606" s="5">
        <v>45961</v>
      </c>
      <c r="E606" s="6">
        <f>IF(AND(C606&lt;&gt;"",D606&lt;&gt;""),D606-C606,"")</f>
        <v>0</v>
      </c>
      <c r="F606" s="4" t="s">
        <v>888</v>
      </c>
      <c r="G606" s="4" t="s">
        <v>889</v>
      </c>
      <c r="H606" s="4"/>
      <c r="I606" s="4" t="s">
        <v>56</v>
      </c>
      <c r="J606" s="4">
        <v>4</v>
      </c>
      <c r="K606" s="4">
        <v>4</v>
      </c>
      <c r="L606" s="4">
        <f>J606+K606</f>
        <v>0</v>
      </c>
      <c r="M606" s="4"/>
      <c r="N606" s="4"/>
      <c r="O606" s="4">
        <v>0</v>
      </c>
      <c r="P606" s="4"/>
      <c r="Q606" s="4"/>
      <c r="R606" s="7">
        <v>0</v>
      </c>
      <c r="S606" s="7">
        <v>0</v>
      </c>
      <c r="T606" s="7">
        <f>R606-S606</f>
        <v>0</v>
      </c>
      <c r="U606" s="7">
        <f>T606*O606</f>
        <v>0</v>
      </c>
    </row>
    <row r="607" spans="1:21">
      <c r="A607" s="4" t="s">
        <v>890</v>
      </c>
      <c r="B607" s="4" t="s">
        <v>39</v>
      </c>
      <c r="C607" s="5">
        <v>45923.36068287037</v>
      </c>
      <c r="D607" s="5">
        <v>45923</v>
      </c>
      <c r="E607" s="6">
        <f>IF(AND(C607&lt;&gt;"",D607&lt;&gt;""),D607-C607,"")</f>
        <v>0</v>
      </c>
      <c r="F607" s="4" t="s">
        <v>888</v>
      </c>
      <c r="G607" s="4" t="s">
        <v>889</v>
      </c>
      <c r="H607" s="4"/>
      <c r="I607" s="4" t="s">
        <v>56</v>
      </c>
      <c r="J607" s="4">
        <v>0</v>
      </c>
      <c r="K607" s="4">
        <v>0</v>
      </c>
      <c r="L607" s="4">
        <f>J607+K607</f>
        <v>0</v>
      </c>
      <c r="M607" s="4" t="s">
        <v>370</v>
      </c>
      <c r="N607" s="4"/>
      <c r="O607" s="4">
        <v>1</v>
      </c>
      <c r="P607" s="4" t="s">
        <v>135</v>
      </c>
      <c r="Q607" s="4" t="s">
        <v>44</v>
      </c>
      <c r="R607" s="7">
        <v>300000</v>
      </c>
      <c r="S607" s="7">
        <v>0</v>
      </c>
      <c r="T607" s="7">
        <f>R607-S607</f>
        <v>0</v>
      </c>
      <c r="U607" s="7">
        <f>T607*O607</f>
        <v>0</v>
      </c>
    </row>
    <row r="608" spans="1:21">
      <c r="A608" s="4" t="s">
        <v>891</v>
      </c>
      <c r="B608" s="4"/>
      <c r="C608" s="5">
        <v>45923.39039351852</v>
      </c>
      <c r="D608" s="5">
        <v>45961</v>
      </c>
      <c r="E608" s="6">
        <f>IF(AND(C608&lt;&gt;"",D608&lt;&gt;""),D608-C608,"")</f>
        <v>0</v>
      </c>
      <c r="F608" s="4" t="s">
        <v>892</v>
      </c>
      <c r="G608" s="4" t="s">
        <v>400</v>
      </c>
      <c r="H608" s="4" t="s">
        <v>32</v>
      </c>
      <c r="I608" s="4" t="s">
        <v>33</v>
      </c>
      <c r="J608" s="4">
        <v>3</v>
      </c>
      <c r="K608" s="4">
        <v>0</v>
      </c>
      <c r="L608" s="4">
        <f>J608+K608</f>
        <v>0</v>
      </c>
      <c r="M608" s="4"/>
      <c r="N608" s="4"/>
      <c r="O608" s="4">
        <v>0</v>
      </c>
      <c r="P608" s="4"/>
      <c r="Q608" s="4"/>
      <c r="R608" s="7">
        <v>0</v>
      </c>
      <c r="S608" s="7">
        <v>0</v>
      </c>
      <c r="T608" s="7">
        <f>R608-S608</f>
        <v>0</v>
      </c>
      <c r="U608" s="7">
        <f>T608*O608</f>
        <v>0</v>
      </c>
    </row>
    <row r="609" spans="1:21">
      <c r="A609" s="4" t="s">
        <v>893</v>
      </c>
      <c r="B609" s="4" t="s">
        <v>48</v>
      </c>
      <c r="C609" s="5">
        <v>45923.39712962963</v>
      </c>
      <c r="D609" s="5">
        <v>45961</v>
      </c>
      <c r="E609" s="6">
        <f>IF(AND(C609&lt;&gt;"",D609&lt;&gt;""),D609-C609,"")</f>
        <v>0</v>
      </c>
      <c r="F609" s="4" t="s">
        <v>894</v>
      </c>
      <c r="G609" s="4" t="s">
        <v>895</v>
      </c>
      <c r="H609" s="4" t="s">
        <v>32</v>
      </c>
      <c r="I609" s="4" t="s">
        <v>33</v>
      </c>
      <c r="J609" s="4">
        <v>5</v>
      </c>
      <c r="K609" s="4">
        <v>0</v>
      </c>
      <c r="L609" s="4">
        <f>J609+K609</f>
        <v>0</v>
      </c>
      <c r="M609" s="4"/>
      <c r="N609" s="4"/>
      <c r="O609" s="4">
        <v>0</v>
      </c>
      <c r="P609" s="4"/>
      <c r="Q609" s="4"/>
      <c r="R609" s="7">
        <v>0</v>
      </c>
      <c r="S609" s="7">
        <v>0</v>
      </c>
      <c r="T609" s="7">
        <f>R609-S609</f>
        <v>0</v>
      </c>
      <c r="U609" s="7">
        <f>T609*O609</f>
        <v>0</v>
      </c>
    </row>
    <row r="610" spans="1:21">
      <c r="A610" s="4" t="s">
        <v>896</v>
      </c>
      <c r="B610" s="4" t="s">
        <v>48</v>
      </c>
      <c r="C610" s="5">
        <v>45923.40015046296</v>
      </c>
      <c r="D610" s="5">
        <v>45961</v>
      </c>
      <c r="E610" s="6">
        <f>IF(AND(C610&lt;&gt;"",D610&lt;&gt;""),D610-C610,"")</f>
        <v>0</v>
      </c>
      <c r="F610" s="4" t="s">
        <v>64</v>
      </c>
      <c r="G610" s="4" t="s">
        <v>897</v>
      </c>
      <c r="H610" s="4" t="s">
        <v>32</v>
      </c>
      <c r="I610" s="4" t="s">
        <v>33</v>
      </c>
      <c r="J610" s="4">
        <v>2</v>
      </c>
      <c r="K610" s="4">
        <v>0</v>
      </c>
      <c r="L610" s="4">
        <f>J610+K610</f>
        <v>0</v>
      </c>
      <c r="M610" s="4"/>
      <c r="N610" s="4"/>
      <c r="O610" s="4">
        <v>0</v>
      </c>
      <c r="P610" s="4"/>
      <c r="Q610" s="4"/>
      <c r="R610" s="7">
        <v>0</v>
      </c>
      <c r="S610" s="7">
        <v>0</v>
      </c>
      <c r="T610" s="7">
        <f>R610-S610</f>
        <v>0</v>
      </c>
      <c r="U610" s="7">
        <f>T610*O610</f>
        <v>0</v>
      </c>
    </row>
    <row r="611" spans="1:21">
      <c r="A611" s="4" t="s">
        <v>898</v>
      </c>
      <c r="B611" s="4" t="s">
        <v>48</v>
      </c>
      <c r="C611" s="5">
        <v>45923.405</v>
      </c>
      <c r="D611" s="5">
        <v>45961</v>
      </c>
      <c r="E611" s="6">
        <f>IF(AND(C611&lt;&gt;"",D611&lt;&gt;""),D611-C611,"")</f>
        <v>0</v>
      </c>
      <c r="F611" s="4" t="s">
        <v>64</v>
      </c>
      <c r="G611" s="4" t="s">
        <v>899</v>
      </c>
      <c r="H611" s="4" t="s">
        <v>32</v>
      </c>
      <c r="I611" s="4" t="s">
        <v>33</v>
      </c>
      <c r="J611" s="4">
        <v>2</v>
      </c>
      <c r="K611" s="4">
        <v>2</v>
      </c>
      <c r="L611" s="4">
        <f>J611+K611</f>
        <v>0</v>
      </c>
      <c r="M611" s="4"/>
      <c r="N611" s="4"/>
      <c r="O611" s="4">
        <v>0</v>
      </c>
      <c r="P611" s="4"/>
      <c r="Q611" s="4"/>
      <c r="R611" s="7">
        <v>0</v>
      </c>
      <c r="S611" s="7">
        <v>0</v>
      </c>
      <c r="T611" s="7">
        <f>R611-S611</f>
        <v>0</v>
      </c>
      <c r="U611" s="7">
        <f>T611*O611</f>
        <v>0</v>
      </c>
    </row>
    <row r="612" spans="1:21">
      <c r="A612" s="4" t="s">
        <v>900</v>
      </c>
      <c r="B612" s="4" t="s">
        <v>48</v>
      </c>
      <c r="C612" s="5">
        <v>45923.40866898148</v>
      </c>
      <c r="D612" s="5">
        <v>45961</v>
      </c>
      <c r="E612" s="6">
        <f>IF(AND(C612&lt;&gt;"",D612&lt;&gt;""),D612-C612,"")</f>
        <v>0</v>
      </c>
      <c r="F612" s="4" t="s">
        <v>64</v>
      </c>
      <c r="G612" s="4" t="s">
        <v>901</v>
      </c>
      <c r="H612" s="4" t="s">
        <v>32</v>
      </c>
      <c r="I612" s="4" t="s">
        <v>33</v>
      </c>
      <c r="J612" s="4">
        <v>2</v>
      </c>
      <c r="K612" s="4">
        <v>0</v>
      </c>
      <c r="L612" s="4">
        <f>J612+K612</f>
        <v>0</v>
      </c>
      <c r="M612" s="4"/>
      <c r="N612" s="4"/>
      <c r="O612" s="4">
        <v>0</v>
      </c>
      <c r="P612" s="4"/>
      <c r="Q612" s="4"/>
      <c r="R612" s="7">
        <v>0</v>
      </c>
      <c r="S612" s="7">
        <v>0</v>
      </c>
      <c r="T612" s="7">
        <f>R612-S612</f>
        <v>0</v>
      </c>
      <c r="U612" s="7">
        <f>T612*O612</f>
        <v>0</v>
      </c>
    </row>
    <row r="613" spans="1:21">
      <c r="A613" s="4" t="s">
        <v>902</v>
      </c>
      <c r="B613" s="4" t="s">
        <v>39</v>
      </c>
      <c r="C613" s="5">
        <v>45923.4165162037</v>
      </c>
      <c r="D613" s="5">
        <v>45923</v>
      </c>
      <c r="E613" s="6">
        <f>IF(AND(C613&lt;&gt;"",D613&lt;&gt;""),D613-C613,"")</f>
        <v>0</v>
      </c>
      <c r="F613" s="4" t="s">
        <v>903</v>
      </c>
      <c r="G613" s="4" t="s">
        <v>904</v>
      </c>
      <c r="H613" s="4" t="s">
        <v>177</v>
      </c>
      <c r="I613" s="4" t="s">
        <v>56</v>
      </c>
      <c r="J613" s="4">
        <v>0</v>
      </c>
      <c r="K613" s="4">
        <v>0</v>
      </c>
      <c r="L613" s="4">
        <f>J613+K613</f>
        <v>0</v>
      </c>
      <c r="M613" s="4" t="s">
        <v>370</v>
      </c>
      <c r="N613" s="4"/>
      <c r="O613" s="4">
        <v>1</v>
      </c>
      <c r="P613" s="4" t="s">
        <v>43</v>
      </c>
      <c r="Q613" s="4" t="s">
        <v>44</v>
      </c>
      <c r="R613" s="7">
        <v>5000000</v>
      </c>
      <c r="S613" s="7">
        <v>0</v>
      </c>
      <c r="T613" s="7">
        <f>R613-S613</f>
        <v>0</v>
      </c>
      <c r="U613" s="7">
        <f>T613*O613</f>
        <v>0</v>
      </c>
    </row>
    <row r="614" spans="1:21">
      <c r="A614" s="4" t="s">
        <v>905</v>
      </c>
      <c r="B614" s="4" t="s">
        <v>39</v>
      </c>
      <c r="C614" s="5">
        <v>45923.41744212963</v>
      </c>
      <c r="D614" s="5">
        <v>45923</v>
      </c>
      <c r="E614" s="6">
        <f>IF(AND(C614&lt;&gt;"",D614&lt;&gt;""),D614-C614,"")</f>
        <v>0</v>
      </c>
      <c r="F614" s="4" t="s">
        <v>621</v>
      </c>
      <c r="G614" s="4" t="s">
        <v>622</v>
      </c>
      <c r="H614" s="4" t="s">
        <v>177</v>
      </c>
      <c r="I614" s="4" t="s">
        <v>56</v>
      </c>
      <c r="J614" s="4">
        <v>0</v>
      </c>
      <c r="K614" s="4">
        <v>0</v>
      </c>
      <c r="L614" s="4">
        <f>J614+K614</f>
        <v>0</v>
      </c>
      <c r="M614" s="4" t="s">
        <v>370</v>
      </c>
      <c r="N614" s="4"/>
      <c r="O614" s="4">
        <v>1</v>
      </c>
      <c r="P614" s="4" t="s">
        <v>135</v>
      </c>
      <c r="Q614" s="4" t="s">
        <v>44</v>
      </c>
      <c r="R614" s="7">
        <v>2000000</v>
      </c>
      <c r="S614" s="7">
        <v>0</v>
      </c>
      <c r="T614" s="7">
        <f>R614-S614</f>
        <v>0</v>
      </c>
      <c r="U614" s="7">
        <f>T614*O614</f>
        <v>0</v>
      </c>
    </row>
    <row r="615" spans="1:21">
      <c r="A615" s="4" t="s">
        <v>906</v>
      </c>
      <c r="B615" s="4" t="s">
        <v>39</v>
      </c>
      <c r="C615" s="5">
        <v>45923.41828703704</v>
      </c>
      <c r="D615" s="5">
        <v>45923</v>
      </c>
      <c r="E615" s="6">
        <f>IF(AND(C615&lt;&gt;"",D615&lt;&gt;""),D615-C615,"")</f>
        <v>0</v>
      </c>
      <c r="F615" s="4" t="s">
        <v>907</v>
      </c>
      <c r="G615" s="4" t="s">
        <v>908</v>
      </c>
      <c r="H615" s="4" t="s">
        <v>177</v>
      </c>
      <c r="I615" s="4" t="s">
        <v>56</v>
      </c>
      <c r="J615" s="4">
        <v>0</v>
      </c>
      <c r="K615" s="4">
        <v>0</v>
      </c>
      <c r="L615" s="4">
        <f>J615+K615</f>
        <v>0</v>
      </c>
      <c r="M615" s="4" t="s">
        <v>370</v>
      </c>
      <c r="N615" s="4"/>
      <c r="O615" s="4">
        <v>1</v>
      </c>
      <c r="P615" s="4" t="s">
        <v>135</v>
      </c>
      <c r="Q615" s="4" t="s">
        <v>44</v>
      </c>
      <c r="R615" s="7">
        <v>3000000</v>
      </c>
      <c r="S615" s="7">
        <v>0</v>
      </c>
      <c r="T615" s="7">
        <f>R615-S615</f>
        <v>0</v>
      </c>
      <c r="U615" s="7">
        <f>T615*O615</f>
        <v>0</v>
      </c>
    </row>
    <row r="616" spans="1:21">
      <c r="A616" s="4" t="s">
        <v>909</v>
      </c>
      <c r="B616" s="4" t="s">
        <v>39</v>
      </c>
      <c r="C616" s="5">
        <v>45923.41981481481</v>
      </c>
      <c r="D616" s="5">
        <v>45923</v>
      </c>
      <c r="E616" s="6">
        <f>IF(AND(C616&lt;&gt;"",D616&lt;&gt;""),D616-C616,"")</f>
        <v>0</v>
      </c>
      <c r="F616" s="4" t="s">
        <v>910</v>
      </c>
      <c r="G616" s="4" t="s">
        <v>911</v>
      </c>
      <c r="H616" s="4" t="s">
        <v>177</v>
      </c>
      <c r="I616" s="4" t="s">
        <v>56</v>
      </c>
      <c r="J616" s="4">
        <v>0</v>
      </c>
      <c r="K616" s="4">
        <v>0</v>
      </c>
      <c r="L616" s="4">
        <f>J616+K616</f>
        <v>0</v>
      </c>
      <c r="M616" s="4" t="s">
        <v>370</v>
      </c>
      <c r="N616" s="4"/>
      <c r="O616" s="4">
        <v>1</v>
      </c>
      <c r="P616" s="4" t="s">
        <v>135</v>
      </c>
      <c r="Q616" s="4" t="s">
        <v>44</v>
      </c>
      <c r="R616" s="7">
        <v>2000000</v>
      </c>
      <c r="S616" s="7">
        <v>0</v>
      </c>
      <c r="T616" s="7">
        <f>R616-S616</f>
        <v>0</v>
      </c>
      <c r="U616" s="7">
        <f>T616*O616</f>
        <v>0</v>
      </c>
    </row>
    <row r="617" spans="1:21">
      <c r="A617" s="4" t="s">
        <v>912</v>
      </c>
      <c r="B617" s="4" t="s">
        <v>48</v>
      </c>
      <c r="C617" s="5">
        <v>45923.42121527778</v>
      </c>
      <c r="D617" s="5">
        <v>45961</v>
      </c>
      <c r="E617" s="6">
        <f>IF(AND(C617&lt;&gt;"",D617&lt;&gt;""),D617-C617,"")</f>
        <v>0</v>
      </c>
      <c r="F617" s="4" t="s">
        <v>64</v>
      </c>
      <c r="G617" s="4" t="s">
        <v>913</v>
      </c>
      <c r="H617" s="4" t="s">
        <v>32</v>
      </c>
      <c r="I617" s="4" t="s">
        <v>33</v>
      </c>
      <c r="J617" s="4">
        <v>2</v>
      </c>
      <c r="K617" s="4">
        <v>0</v>
      </c>
      <c r="L617" s="4">
        <f>J617+K617</f>
        <v>0</v>
      </c>
      <c r="M617" s="4"/>
      <c r="N617" s="4"/>
      <c r="O617" s="4">
        <v>0</v>
      </c>
      <c r="P617" s="4"/>
      <c r="Q617" s="4"/>
      <c r="R617" s="7">
        <v>0</v>
      </c>
      <c r="S617" s="7">
        <v>0</v>
      </c>
      <c r="T617" s="7">
        <f>R617-S617</f>
        <v>0</v>
      </c>
      <c r="U617" s="7">
        <f>T617*O617</f>
        <v>0</v>
      </c>
    </row>
    <row r="618" spans="1:21">
      <c r="A618" s="4" t="s">
        <v>914</v>
      </c>
      <c r="B618" s="4" t="s">
        <v>39</v>
      </c>
      <c r="C618" s="5">
        <v>45923.44607638889</v>
      </c>
      <c r="D618" s="5">
        <v>45923</v>
      </c>
      <c r="E618" s="6">
        <f>IF(AND(C618&lt;&gt;"",D618&lt;&gt;""),D618-C618,"")</f>
        <v>0</v>
      </c>
      <c r="F618" s="4" t="s">
        <v>708</v>
      </c>
      <c r="G618" s="4" t="s">
        <v>709</v>
      </c>
      <c r="H618" s="4" t="s">
        <v>32</v>
      </c>
      <c r="I618" s="4" t="s">
        <v>33</v>
      </c>
      <c r="J618" s="4">
        <v>0</v>
      </c>
      <c r="K618" s="4">
        <v>0</v>
      </c>
      <c r="L618" s="4">
        <f>J618+K618</f>
        <v>0</v>
      </c>
      <c r="M618" s="4" t="s">
        <v>915</v>
      </c>
      <c r="N618" s="4"/>
      <c r="O618" s="4">
        <v>1</v>
      </c>
      <c r="P618" s="4" t="s">
        <v>135</v>
      </c>
      <c r="Q618" s="4"/>
      <c r="R618" s="7">
        <v>50000</v>
      </c>
      <c r="S618" s="7">
        <v>0</v>
      </c>
      <c r="T618" s="7">
        <f>R618-S618</f>
        <v>0</v>
      </c>
      <c r="U618" s="7">
        <f>T618*O618</f>
        <v>0</v>
      </c>
    </row>
    <row r="619" spans="1:21">
      <c r="A619" s="4" t="s">
        <v>914</v>
      </c>
      <c r="B619" s="4" t="s">
        <v>39</v>
      </c>
      <c r="C619" s="5">
        <v>45923.44607638889</v>
      </c>
      <c r="D619" s="5">
        <v>45923</v>
      </c>
      <c r="E619" s="6">
        <f>IF(AND(C619&lt;&gt;"",D619&lt;&gt;""),D619-C619,"")</f>
        <v>0</v>
      </c>
      <c r="F619" s="4" t="s">
        <v>708</v>
      </c>
      <c r="G619" s="4" t="s">
        <v>709</v>
      </c>
      <c r="H619" s="4" t="s">
        <v>32</v>
      </c>
      <c r="I619" s="4" t="s">
        <v>33</v>
      </c>
      <c r="J619" s="4">
        <v>0</v>
      </c>
      <c r="K619" s="4">
        <v>0</v>
      </c>
      <c r="L619" s="4">
        <f>J619+K619</f>
        <v>0</v>
      </c>
      <c r="M619" s="4" t="s">
        <v>916</v>
      </c>
      <c r="N619" s="4"/>
      <c r="O619" s="4">
        <v>1</v>
      </c>
      <c r="P619" s="4" t="s">
        <v>135</v>
      </c>
      <c r="Q619" s="4"/>
      <c r="R619" s="7">
        <v>187000</v>
      </c>
      <c r="S619" s="7">
        <v>0</v>
      </c>
      <c r="T619" s="7">
        <f>R619-S619</f>
        <v>0</v>
      </c>
      <c r="U619" s="7">
        <f>T619*O619</f>
        <v>0</v>
      </c>
    </row>
    <row r="620" spans="1:21">
      <c r="A620" s="4" t="s">
        <v>917</v>
      </c>
      <c r="B620" s="4" t="s">
        <v>39</v>
      </c>
      <c r="C620" s="5">
        <v>45923.47592592592</v>
      </c>
      <c r="D620" s="5">
        <v>45923</v>
      </c>
      <c r="E620" s="6">
        <f>IF(AND(C620&lt;&gt;"",D620&lt;&gt;""),D620-C620,"")</f>
        <v>0</v>
      </c>
      <c r="F620" s="4" t="s">
        <v>918</v>
      </c>
      <c r="G620" s="4" t="s">
        <v>919</v>
      </c>
      <c r="H620" s="4"/>
      <c r="I620" s="4" t="s">
        <v>56</v>
      </c>
      <c r="J620" s="4">
        <v>0</v>
      </c>
      <c r="K620" s="4">
        <v>0</v>
      </c>
      <c r="L620" s="4">
        <f>J620+K620</f>
        <v>0</v>
      </c>
      <c r="M620" s="4" t="s">
        <v>920</v>
      </c>
      <c r="N620" s="4"/>
      <c r="O620" s="4">
        <v>1</v>
      </c>
      <c r="P620" s="4" t="s">
        <v>43</v>
      </c>
      <c r="Q620" s="4"/>
      <c r="R620" s="7">
        <v>163000</v>
      </c>
      <c r="S620" s="7">
        <v>0</v>
      </c>
      <c r="T620" s="7">
        <f>R620-S620</f>
        <v>0</v>
      </c>
      <c r="U620" s="7">
        <f>T620*O620</f>
        <v>0</v>
      </c>
    </row>
    <row r="621" spans="1:21">
      <c r="A621" s="4" t="s">
        <v>917</v>
      </c>
      <c r="B621" s="4" t="s">
        <v>39</v>
      </c>
      <c r="C621" s="5">
        <v>45923.47592592592</v>
      </c>
      <c r="D621" s="5">
        <v>45923</v>
      </c>
      <c r="E621" s="6">
        <f>IF(AND(C621&lt;&gt;"",D621&lt;&gt;""),D621-C621,"")</f>
        <v>0</v>
      </c>
      <c r="F621" s="4" t="s">
        <v>918</v>
      </c>
      <c r="G621" s="4" t="s">
        <v>919</v>
      </c>
      <c r="H621" s="4"/>
      <c r="I621" s="4" t="s">
        <v>56</v>
      </c>
      <c r="J621" s="4">
        <v>1</v>
      </c>
      <c r="K621" s="4">
        <v>0</v>
      </c>
      <c r="L621" s="4">
        <f>J621+K621</f>
        <v>0</v>
      </c>
      <c r="M621" s="4" t="s">
        <v>921</v>
      </c>
      <c r="N621" s="4"/>
      <c r="O621" s="4">
        <v>1</v>
      </c>
      <c r="P621" s="4" t="s">
        <v>43</v>
      </c>
      <c r="Q621" s="4"/>
      <c r="R621" s="7">
        <v>-81500</v>
      </c>
      <c r="S621" s="7">
        <v>0</v>
      </c>
      <c r="T621" s="7">
        <f>R621-S621</f>
        <v>0</v>
      </c>
      <c r="U621" s="7">
        <f>T621*O621</f>
        <v>0</v>
      </c>
    </row>
    <row r="622" spans="1:21">
      <c r="A622" s="4" t="s">
        <v>922</v>
      </c>
      <c r="B622" s="4" t="s">
        <v>29</v>
      </c>
      <c r="C622" s="5">
        <v>45923.54770833333</v>
      </c>
      <c r="D622" s="5">
        <v>45961</v>
      </c>
      <c r="E622" s="6">
        <f>IF(AND(C622&lt;&gt;"",D622&lt;&gt;""),D622-C622,"")</f>
        <v>0</v>
      </c>
      <c r="F622" s="4" t="s">
        <v>307</v>
      </c>
      <c r="G622" s="4" t="s">
        <v>308</v>
      </c>
      <c r="H622" s="4" t="s">
        <v>190</v>
      </c>
      <c r="I622" s="4" t="s">
        <v>56</v>
      </c>
      <c r="J622" s="4">
        <v>1</v>
      </c>
      <c r="K622" s="4">
        <v>0</v>
      </c>
      <c r="L622" s="4">
        <f>J622+K622</f>
        <v>0</v>
      </c>
      <c r="M622" s="4"/>
      <c r="N622" s="4"/>
      <c r="O622" s="4">
        <v>0</v>
      </c>
      <c r="P622" s="4"/>
      <c r="Q622" s="4"/>
      <c r="R622" s="7">
        <v>0</v>
      </c>
      <c r="S622" s="7">
        <v>0</v>
      </c>
      <c r="T622" s="7">
        <f>R622-S622</f>
        <v>0</v>
      </c>
      <c r="U622" s="7">
        <f>T622*O622</f>
        <v>0</v>
      </c>
    </row>
    <row r="623" spans="1:21">
      <c r="A623" s="4" t="s">
        <v>923</v>
      </c>
      <c r="B623" s="4" t="s">
        <v>29</v>
      </c>
      <c r="C623" s="5">
        <v>45923.54784722222</v>
      </c>
      <c r="D623" s="5">
        <v>45961</v>
      </c>
      <c r="E623" s="6">
        <f>IF(AND(C623&lt;&gt;"",D623&lt;&gt;""),D623-C623,"")</f>
        <v>0</v>
      </c>
      <c r="F623" s="4" t="s">
        <v>307</v>
      </c>
      <c r="G623" s="4" t="s">
        <v>308</v>
      </c>
      <c r="H623" s="4" t="s">
        <v>190</v>
      </c>
      <c r="I623" s="4" t="s">
        <v>56</v>
      </c>
      <c r="J623" s="4">
        <v>1</v>
      </c>
      <c r="K623" s="4">
        <v>0</v>
      </c>
      <c r="L623" s="4">
        <f>J623+K623</f>
        <v>0</v>
      </c>
      <c r="M623" s="4"/>
      <c r="N623" s="4"/>
      <c r="O623" s="4">
        <v>0</v>
      </c>
      <c r="P623" s="4"/>
      <c r="Q623" s="4"/>
      <c r="R623" s="7">
        <v>0</v>
      </c>
      <c r="S623" s="7">
        <v>0</v>
      </c>
      <c r="T623" s="7">
        <f>R623-S623</f>
        <v>0</v>
      </c>
      <c r="U623" s="7">
        <f>T623*O623</f>
        <v>0</v>
      </c>
    </row>
    <row r="624" spans="1:21">
      <c r="A624" s="4" t="s">
        <v>924</v>
      </c>
      <c r="B624" s="4"/>
      <c r="C624" s="5">
        <v>45923.65453703704</v>
      </c>
      <c r="D624" s="5">
        <v>45961</v>
      </c>
      <c r="E624" s="6">
        <f>IF(AND(C624&lt;&gt;"",D624&lt;&gt;""),D624-C624,"")</f>
        <v>0</v>
      </c>
      <c r="F624" s="4" t="s">
        <v>244</v>
      </c>
      <c r="G624" s="4" t="s">
        <v>245</v>
      </c>
      <c r="H624" s="4" t="s">
        <v>32</v>
      </c>
      <c r="I624" s="4" t="s">
        <v>33</v>
      </c>
      <c r="J624" s="4">
        <v>10</v>
      </c>
      <c r="K624" s="4">
        <v>0</v>
      </c>
      <c r="L624" s="4">
        <f>J624+K624</f>
        <v>0</v>
      </c>
      <c r="M624" s="4"/>
      <c r="N624" s="4"/>
      <c r="O624" s="4">
        <v>0</v>
      </c>
      <c r="P624" s="4"/>
      <c r="Q624" s="4"/>
      <c r="R624" s="7">
        <v>0</v>
      </c>
      <c r="S624" s="7">
        <v>0</v>
      </c>
      <c r="T624" s="7">
        <f>R624-S624</f>
        <v>0</v>
      </c>
      <c r="U624" s="7">
        <f>T624*O624</f>
        <v>0</v>
      </c>
    </row>
    <row r="625" spans="1:21">
      <c r="A625" s="4" t="s">
        <v>925</v>
      </c>
      <c r="B625" s="4" t="s">
        <v>48</v>
      </c>
      <c r="C625" s="5">
        <v>45923.69269675926</v>
      </c>
      <c r="D625" s="5">
        <v>45961</v>
      </c>
      <c r="E625" s="6">
        <f>IF(AND(C625&lt;&gt;"",D625&lt;&gt;""),D625-C625,"")</f>
        <v>0</v>
      </c>
      <c r="F625" s="4" t="s">
        <v>926</v>
      </c>
      <c r="G625" s="4" t="s">
        <v>927</v>
      </c>
      <c r="H625" s="4" t="s">
        <v>32</v>
      </c>
      <c r="I625" s="4" t="s">
        <v>33</v>
      </c>
      <c r="J625" s="4">
        <v>1</v>
      </c>
      <c r="K625" s="4">
        <v>0</v>
      </c>
      <c r="L625" s="4">
        <f>J625+K625</f>
        <v>0</v>
      </c>
      <c r="M625" s="4"/>
      <c r="N625" s="4"/>
      <c r="O625" s="4">
        <v>0</v>
      </c>
      <c r="P625" s="4"/>
      <c r="Q625" s="4"/>
      <c r="R625" s="7">
        <v>0</v>
      </c>
      <c r="S625" s="7">
        <v>0</v>
      </c>
      <c r="T625" s="7">
        <f>R625-S625</f>
        <v>0</v>
      </c>
      <c r="U625" s="7">
        <f>T625*O625</f>
        <v>0</v>
      </c>
    </row>
    <row r="626" spans="1:21">
      <c r="A626" s="4" t="s">
        <v>928</v>
      </c>
      <c r="B626" s="4" t="s">
        <v>122</v>
      </c>
      <c r="C626" s="5">
        <v>45923.70920138889</v>
      </c>
      <c r="D626" s="5">
        <v>45961</v>
      </c>
      <c r="E626" s="6">
        <f>IF(AND(C626&lt;&gt;"",D626&lt;&gt;""),D626-C626,"")</f>
        <v>0</v>
      </c>
      <c r="F626" s="4" t="s">
        <v>929</v>
      </c>
      <c r="G626" s="4"/>
      <c r="H626" s="4"/>
      <c r="I626" s="4" t="s">
        <v>56</v>
      </c>
      <c r="J626" s="4">
        <v>1</v>
      </c>
      <c r="K626" s="4">
        <v>0</v>
      </c>
      <c r="L626" s="4">
        <f>J626+K626</f>
        <v>0</v>
      </c>
      <c r="M626" s="4"/>
      <c r="N626" s="4"/>
      <c r="O626" s="4">
        <v>0</v>
      </c>
      <c r="P626" s="4"/>
      <c r="Q626" s="4"/>
      <c r="R626" s="7">
        <v>0</v>
      </c>
      <c r="S626" s="7">
        <v>0</v>
      </c>
      <c r="T626" s="7">
        <f>R626-S626</f>
        <v>0</v>
      </c>
      <c r="U626" s="7">
        <f>T626*O626</f>
        <v>0</v>
      </c>
    </row>
    <row r="627" spans="1:21">
      <c r="A627" s="4" t="s">
        <v>930</v>
      </c>
      <c r="B627" s="4" t="s">
        <v>48</v>
      </c>
      <c r="C627" s="5">
        <v>45924.04855324074</v>
      </c>
      <c r="D627" s="5">
        <v>45961</v>
      </c>
      <c r="E627" s="6">
        <f>IF(AND(C627&lt;&gt;"",D627&lt;&gt;""),D627-C627,"")</f>
        <v>0</v>
      </c>
      <c r="F627" s="4" t="s">
        <v>931</v>
      </c>
      <c r="G627" s="4" t="s">
        <v>932</v>
      </c>
      <c r="H627" s="4" t="s">
        <v>32</v>
      </c>
      <c r="I627" s="4" t="s">
        <v>33</v>
      </c>
      <c r="J627" s="4">
        <v>4</v>
      </c>
      <c r="K627" s="4">
        <v>0</v>
      </c>
      <c r="L627" s="4">
        <f>J627+K627</f>
        <v>0</v>
      </c>
      <c r="M627" s="4"/>
      <c r="N627" s="4"/>
      <c r="O627" s="4">
        <v>0</v>
      </c>
      <c r="P627" s="4"/>
      <c r="Q627" s="4"/>
      <c r="R627" s="7">
        <v>0</v>
      </c>
      <c r="S627" s="7">
        <v>0</v>
      </c>
      <c r="T627" s="7">
        <f>R627-S627</f>
        <v>0</v>
      </c>
      <c r="U627" s="7">
        <f>T627*O627</f>
        <v>0</v>
      </c>
    </row>
    <row r="628" spans="1:21">
      <c r="A628" s="4" t="s">
        <v>933</v>
      </c>
      <c r="B628" s="4" t="s">
        <v>48</v>
      </c>
      <c r="C628" s="5">
        <v>45924.11891203704</v>
      </c>
      <c r="D628" s="5">
        <v>45961</v>
      </c>
      <c r="E628" s="6">
        <f>IF(AND(C628&lt;&gt;"",D628&lt;&gt;""),D628-C628,"")</f>
        <v>0</v>
      </c>
      <c r="F628" s="4" t="s">
        <v>934</v>
      </c>
      <c r="G628" s="4" t="s">
        <v>935</v>
      </c>
      <c r="H628" s="4" t="s">
        <v>32</v>
      </c>
      <c r="I628" s="4" t="s">
        <v>33</v>
      </c>
      <c r="J628" s="4">
        <v>2</v>
      </c>
      <c r="K628" s="4">
        <v>0</v>
      </c>
      <c r="L628" s="4">
        <f>J628+K628</f>
        <v>0</v>
      </c>
      <c r="M628" s="4"/>
      <c r="N628" s="4"/>
      <c r="O628" s="4">
        <v>0</v>
      </c>
      <c r="P628" s="4"/>
      <c r="Q628" s="4"/>
      <c r="R628" s="7">
        <v>0</v>
      </c>
      <c r="S628" s="7">
        <v>0</v>
      </c>
      <c r="T628" s="7">
        <f>R628-S628</f>
        <v>0</v>
      </c>
      <c r="U628" s="7">
        <f>T628*O628</f>
        <v>0</v>
      </c>
    </row>
    <row r="629" spans="1:21">
      <c r="A629" s="4" t="s">
        <v>936</v>
      </c>
      <c r="B629" s="4" t="s">
        <v>48</v>
      </c>
      <c r="C629" s="5">
        <v>45924.12483796296</v>
      </c>
      <c r="D629" s="5">
        <v>45961</v>
      </c>
      <c r="E629" s="6">
        <f>IF(AND(C629&lt;&gt;"",D629&lt;&gt;""),D629-C629,"")</f>
        <v>0</v>
      </c>
      <c r="F629" s="4" t="s">
        <v>937</v>
      </c>
      <c r="G629" s="4" t="s">
        <v>938</v>
      </c>
      <c r="H629" s="4" t="s">
        <v>32</v>
      </c>
      <c r="I629" s="4" t="s">
        <v>33</v>
      </c>
      <c r="J629" s="4">
        <v>2</v>
      </c>
      <c r="K629" s="4">
        <v>0</v>
      </c>
      <c r="L629" s="4">
        <f>J629+K629</f>
        <v>0</v>
      </c>
      <c r="M629" s="4"/>
      <c r="N629" s="4"/>
      <c r="O629" s="4">
        <v>0</v>
      </c>
      <c r="P629" s="4"/>
      <c r="Q629" s="4"/>
      <c r="R629" s="7">
        <v>0</v>
      </c>
      <c r="S629" s="7">
        <v>0</v>
      </c>
      <c r="T629" s="7">
        <f>R629-S629</f>
        <v>0</v>
      </c>
      <c r="U629" s="7">
        <f>T629*O629</f>
        <v>0</v>
      </c>
    </row>
    <row r="630" spans="1:21">
      <c r="A630" s="4" t="s">
        <v>939</v>
      </c>
      <c r="B630" s="4" t="s">
        <v>48</v>
      </c>
      <c r="C630" s="5">
        <v>45924.12851851852</v>
      </c>
      <c r="D630" s="5">
        <v>45961</v>
      </c>
      <c r="E630" s="6">
        <f>IF(AND(C630&lt;&gt;"",D630&lt;&gt;""),D630-C630,"")</f>
        <v>0</v>
      </c>
      <c r="F630" s="4" t="s">
        <v>940</v>
      </c>
      <c r="G630" s="4" t="s">
        <v>941</v>
      </c>
      <c r="H630" s="4" t="s">
        <v>32</v>
      </c>
      <c r="I630" s="4" t="s">
        <v>33</v>
      </c>
      <c r="J630" s="4">
        <v>2</v>
      </c>
      <c r="K630" s="4">
        <v>0</v>
      </c>
      <c r="L630" s="4">
        <f>J630+K630</f>
        <v>0</v>
      </c>
      <c r="M630" s="4"/>
      <c r="N630" s="4"/>
      <c r="O630" s="4">
        <v>0</v>
      </c>
      <c r="P630" s="4"/>
      <c r="Q630" s="4"/>
      <c r="R630" s="7">
        <v>0</v>
      </c>
      <c r="S630" s="7">
        <v>0</v>
      </c>
      <c r="T630" s="7">
        <f>R630-S630</f>
        <v>0</v>
      </c>
      <c r="U630" s="7">
        <f>T630*O630</f>
        <v>0</v>
      </c>
    </row>
    <row r="631" spans="1:21">
      <c r="A631" s="4" t="s">
        <v>942</v>
      </c>
      <c r="B631" s="4" t="s">
        <v>48</v>
      </c>
      <c r="C631" s="5">
        <v>45924.13684027778</v>
      </c>
      <c r="D631" s="5">
        <v>45961</v>
      </c>
      <c r="E631" s="6">
        <f>IF(AND(C631&lt;&gt;"",D631&lt;&gt;""),D631-C631,"")</f>
        <v>0</v>
      </c>
      <c r="F631" s="4" t="s">
        <v>64</v>
      </c>
      <c r="G631" s="4" t="s">
        <v>943</v>
      </c>
      <c r="H631" s="4" t="s">
        <v>32</v>
      </c>
      <c r="I631" s="4" t="s">
        <v>33</v>
      </c>
      <c r="J631" s="4">
        <v>1</v>
      </c>
      <c r="K631" s="4">
        <v>0</v>
      </c>
      <c r="L631" s="4">
        <f>J631+K631</f>
        <v>0</v>
      </c>
      <c r="M631" s="4"/>
      <c r="N631" s="4"/>
      <c r="O631" s="4">
        <v>0</v>
      </c>
      <c r="P631" s="4"/>
      <c r="Q631" s="4"/>
      <c r="R631" s="7">
        <v>0</v>
      </c>
      <c r="S631" s="7">
        <v>0</v>
      </c>
      <c r="T631" s="7">
        <f>R631-S631</f>
        <v>0</v>
      </c>
      <c r="U631" s="7">
        <f>T631*O631</f>
        <v>0</v>
      </c>
    </row>
    <row r="632" spans="1:21">
      <c r="A632" s="4" t="s">
        <v>944</v>
      </c>
      <c r="B632" s="4" t="s">
        <v>48</v>
      </c>
      <c r="C632" s="5">
        <v>45924.15136574074</v>
      </c>
      <c r="D632" s="5">
        <v>45961</v>
      </c>
      <c r="E632" s="6">
        <f>IF(AND(C632&lt;&gt;"",D632&lt;&gt;""),D632-C632,"")</f>
        <v>0</v>
      </c>
      <c r="F632" s="4" t="s">
        <v>64</v>
      </c>
      <c r="G632" s="4" t="s">
        <v>945</v>
      </c>
      <c r="H632" s="4" t="s">
        <v>32</v>
      </c>
      <c r="I632" s="4" t="s">
        <v>33</v>
      </c>
      <c r="J632" s="4">
        <v>1</v>
      </c>
      <c r="K632" s="4">
        <v>0</v>
      </c>
      <c r="L632" s="4">
        <f>J632+K632</f>
        <v>0</v>
      </c>
      <c r="M632" s="4"/>
      <c r="N632" s="4"/>
      <c r="O632" s="4">
        <v>0</v>
      </c>
      <c r="P632" s="4"/>
      <c r="Q632" s="4"/>
      <c r="R632" s="7">
        <v>0</v>
      </c>
      <c r="S632" s="7">
        <v>0</v>
      </c>
      <c r="T632" s="7">
        <f>R632-S632</f>
        <v>0</v>
      </c>
      <c r="U632" s="7">
        <f>T632*O632</f>
        <v>0</v>
      </c>
    </row>
    <row r="633" spans="1:21">
      <c r="A633" s="4" t="s">
        <v>946</v>
      </c>
      <c r="B633" s="4" t="s">
        <v>39</v>
      </c>
      <c r="C633" s="5">
        <v>45924.16222222222</v>
      </c>
      <c r="D633" s="5">
        <v>45924</v>
      </c>
      <c r="E633" s="6">
        <f>IF(AND(C633&lt;&gt;"",D633&lt;&gt;""),D633-C633,"")</f>
        <v>0</v>
      </c>
      <c r="F633" s="4" t="s">
        <v>947</v>
      </c>
      <c r="G633" s="4" t="s">
        <v>948</v>
      </c>
      <c r="H633" s="4" t="s">
        <v>32</v>
      </c>
      <c r="I633" s="4" t="s">
        <v>33</v>
      </c>
      <c r="J633" s="4">
        <v>0</v>
      </c>
      <c r="K633" s="4">
        <v>0</v>
      </c>
      <c r="L633" s="4">
        <f>J633+K633</f>
        <v>0</v>
      </c>
      <c r="M633" s="4" t="s">
        <v>370</v>
      </c>
      <c r="N633" s="4"/>
      <c r="O633" s="4">
        <v>1</v>
      </c>
      <c r="P633" s="4" t="s">
        <v>135</v>
      </c>
      <c r="Q633" s="4" t="s">
        <v>44</v>
      </c>
      <c r="R633" s="7">
        <v>500000</v>
      </c>
      <c r="S633" s="7">
        <v>0</v>
      </c>
      <c r="T633" s="7">
        <f>R633-S633</f>
        <v>0</v>
      </c>
      <c r="U633" s="7">
        <f>T633*O633</f>
        <v>0</v>
      </c>
    </row>
    <row r="634" spans="1:21">
      <c r="A634" s="4" t="s">
        <v>946</v>
      </c>
      <c r="B634" s="4" t="s">
        <v>39</v>
      </c>
      <c r="C634" s="5">
        <v>45924.16222222222</v>
      </c>
      <c r="D634" s="5">
        <v>45924</v>
      </c>
      <c r="E634" s="6">
        <f>IF(AND(C634&lt;&gt;"",D634&lt;&gt;""),D634-C634,"")</f>
        <v>0</v>
      </c>
      <c r="F634" s="4" t="s">
        <v>947</v>
      </c>
      <c r="G634" s="4" t="s">
        <v>948</v>
      </c>
      <c r="H634" s="4" t="s">
        <v>32</v>
      </c>
      <c r="I634" s="4" t="s">
        <v>33</v>
      </c>
      <c r="J634" s="4">
        <v>1</v>
      </c>
      <c r="K634" s="4">
        <v>0</v>
      </c>
      <c r="L634" s="4">
        <f>J634+K634</f>
        <v>0</v>
      </c>
      <c r="M634" s="4" t="s">
        <v>80</v>
      </c>
      <c r="N634" s="4"/>
      <c r="O634" s="4">
        <v>1</v>
      </c>
      <c r="P634" s="4" t="s">
        <v>135</v>
      </c>
      <c r="Q634" s="4" t="s">
        <v>44</v>
      </c>
      <c r="R634" s="7">
        <v>610000</v>
      </c>
      <c r="S634" s="7">
        <v>0</v>
      </c>
      <c r="T634" s="7">
        <f>R634-S634</f>
        <v>0</v>
      </c>
      <c r="U634" s="7">
        <f>T634*O634</f>
        <v>0</v>
      </c>
    </row>
    <row r="635" spans="1:21">
      <c r="A635" s="4" t="s">
        <v>949</v>
      </c>
      <c r="B635" s="4" t="s">
        <v>48</v>
      </c>
      <c r="C635" s="5">
        <v>45924.16346064815</v>
      </c>
      <c r="D635" s="5">
        <v>45961</v>
      </c>
      <c r="E635" s="6">
        <f>IF(AND(C635&lt;&gt;"",D635&lt;&gt;""),D635-C635,"")</f>
        <v>0</v>
      </c>
      <c r="F635" s="4" t="s">
        <v>64</v>
      </c>
      <c r="G635" s="4" t="s">
        <v>950</v>
      </c>
      <c r="H635" s="4" t="s">
        <v>32</v>
      </c>
      <c r="I635" s="4" t="s">
        <v>33</v>
      </c>
      <c r="J635" s="4">
        <v>4</v>
      </c>
      <c r="K635" s="4">
        <v>0</v>
      </c>
      <c r="L635" s="4">
        <f>J635+K635</f>
        <v>0</v>
      </c>
      <c r="M635" s="4"/>
      <c r="N635" s="4"/>
      <c r="O635" s="4">
        <v>0</v>
      </c>
      <c r="P635" s="4"/>
      <c r="Q635" s="4"/>
      <c r="R635" s="7">
        <v>0</v>
      </c>
      <c r="S635" s="7">
        <v>0</v>
      </c>
      <c r="T635" s="7">
        <f>R635-S635</f>
        <v>0</v>
      </c>
      <c r="U635" s="7">
        <f>T635*O635</f>
        <v>0</v>
      </c>
    </row>
    <row r="636" spans="1:21">
      <c r="A636" s="4" t="s">
        <v>951</v>
      </c>
      <c r="B636" s="4" t="s">
        <v>39</v>
      </c>
      <c r="C636" s="5">
        <v>45924.16552083333</v>
      </c>
      <c r="D636" s="5">
        <v>45924</v>
      </c>
      <c r="E636" s="6">
        <f>IF(AND(C636&lt;&gt;"",D636&lt;&gt;""),D636-C636,"")</f>
        <v>0</v>
      </c>
      <c r="F636" s="4" t="s">
        <v>947</v>
      </c>
      <c r="G636" s="4" t="s">
        <v>948</v>
      </c>
      <c r="H636" s="4" t="s">
        <v>32</v>
      </c>
      <c r="I636" s="4" t="s">
        <v>33</v>
      </c>
      <c r="J636" s="4">
        <v>1</v>
      </c>
      <c r="K636" s="4">
        <v>0</v>
      </c>
      <c r="L636" s="4">
        <f>J636+K636</f>
        <v>0</v>
      </c>
      <c r="M636" s="4" t="s">
        <v>80</v>
      </c>
      <c r="N636" s="4"/>
      <c r="O636" s="4">
        <v>1</v>
      </c>
      <c r="P636" s="4" t="s">
        <v>43</v>
      </c>
      <c r="Q636" s="4" t="s">
        <v>44</v>
      </c>
      <c r="R636" s="7">
        <v>610000</v>
      </c>
      <c r="S636" s="7">
        <v>0</v>
      </c>
      <c r="T636" s="7">
        <f>R636-S636</f>
        <v>0</v>
      </c>
      <c r="U636" s="7">
        <f>T636*O636</f>
        <v>0</v>
      </c>
    </row>
    <row r="637" spans="1:21">
      <c r="A637" s="4" t="s">
        <v>951</v>
      </c>
      <c r="B637" s="4" t="s">
        <v>39</v>
      </c>
      <c r="C637" s="5">
        <v>45924.16552083333</v>
      </c>
      <c r="D637" s="5">
        <v>45924</v>
      </c>
      <c r="E637" s="6">
        <f>IF(AND(C637&lt;&gt;"",D637&lt;&gt;""),D637-C637,"")</f>
        <v>0</v>
      </c>
      <c r="F637" s="4" t="s">
        <v>947</v>
      </c>
      <c r="G637" s="4" t="s">
        <v>948</v>
      </c>
      <c r="H637" s="4" t="s">
        <v>32</v>
      </c>
      <c r="I637" s="4" t="s">
        <v>33</v>
      </c>
      <c r="J637" s="4">
        <v>0</v>
      </c>
      <c r="K637" s="4">
        <v>0</v>
      </c>
      <c r="L637" s="4">
        <f>J637+K637</f>
        <v>0</v>
      </c>
      <c r="M637" s="4" t="s">
        <v>370</v>
      </c>
      <c r="N637" s="4"/>
      <c r="O637" s="4">
        <v>1</v>
      </c>
      <c r="P637" s="4" t="s">
        <v>43</v>
      </c>
      <c r="Q637" s="4" t="s">
        <v>44</v>
      </c>
      <c r="R637" s="7">
        <v>500000</v>
      </c>
      <c r="S637" s="7">
        <v>0</v>
      </c>
      <c r="T637" s="7">
        <f>R637-S637</f>
        <v>0</v>
      </c>
      <c r="U637" s="7">
        <f>T637*O637</f>
        <v>0</v>
      </c>
    </row>
    <row r="638" spans="1:21">
      <c r="A638" s="4" t="s">
        <v>952</v>
      </c>
      <c r="B638" s="4" t="s">
        <v>39</v>
      </c>
      <c r="C638" s="5">
        <v>45924.16980324074</v>
      </c>
      <c r="D638" s="5">
        <v>45924</v>
      </c>
      <c r="E638" s="6">
        <f>IF(AND(C638&lt;&gt;"",D638&lt;&gt;""),D638-C638,"")</f>
        <v>0</v>
      </c>
      <c r="F638" s="4"/>
      <c r="G638" s="4"/>
      <c r="H638" s="4"/>
      <c r="I638" s="4" t="s">
        <v>56</v>
      </c>
      <c r="J638" s="4">
        <v>0</v>
      </c>
      <c r="K638" s="4">
        <v>0</v>
      </c>
      <c r="L638" s="4">
        <f>J638+K638</f>
        <v>0</v>
      </c>
      <c r="M638" s="4" t="s">
        <v>370</v>
      </c>
      <c r="N638" s="4"/>
      <c r="O638" s="4">
        <v>1</v>
      </c>
      <c r="P638" s="4" t="s">
        <v>43</v>
      </c>
      <c r="Q638" s="4" t="s">
        <v>44</v>
      </c>
      <c r="R638" s="7">
        <v>1000000</v>
      </c>
      <c r="S638" s="7">
        <v>0</v>
      </c>
      <c r="T638" s="7">
        <f>R638-S638</f>
        <v>0</v>
      </c>
      <c r="U638" s="7">
        <f>T638*O638</f>
        <v>0</v>
      </c>
    </row>
    <row r="639" spans="1:21">
      <c r="A639" s="4" t="s">
        <v>952</v>
      </c>
      <c r="B639" s="4" t="s">
        <v>39</v>
      </c>
      <c r="C639" s="5">
        <v>45924.16980324074</v>
      </c>
      <c r="D639" s="5">
        <v>45924</v>
      </c>
      <c r="E639" s="6">
        <f>IF(AND(C639&lt;&gt;"",D639&lt;&gt;""),D639-C639,"")</f>
        <v>0</v>
      </c>
      <c r="F639" s="4"/>
      <c r="G639" s="4"/>
      <c r="H639" s="4"/>
      <c r="I639" s="4" t="s">
        <v>56</v>
      </c>
      <c r="J639" s="4">
        <v>1</v>
      </c>
      <c r="K639" s="4">
        <v>0</v>
      </c>
      <c r="L639" s="4">
        <f>J639+K639</f>
        <v>0</v>
      </c>
      <c r="M639" s="4" t="s">
        <v>42</v>
      </c>
      <c r="N639" s="4"/>
      <c r="O639" s="4">
        <v>1</v>
      </c>
      <c r="P639" s="4" t="s">
        <v>43</v>
      </c>
      <c r="Q639" s="4" t="s">
        <v>44</v>
      </c>
      <c r="R639" s="7">
        <v>1300000</v>
      </c>
      <c r="S639" s="7">
        <v>0</v>
      </c>
      <c r="T639" s="7">
        <f>R639-S639</f>
        <v>0</v>
      </c>
      <c r="U639" s="7">
        <f>T639*O639</f>
        <v>0</v>
      </c>
    </row>
    <row r="640" spans="1:21">
      <c r="A640" s="4" t="s">
        <v>953</v>
      </c>
      <c r="B640" s="4" t="s">
        <v>39</v>
      </c>
      <c r="C640" s="5">
        <v>45924.17178240741</v>
      </c>
      <c r="D640" s="5">
        <v>45924</v>
      </c>
      <c r="E640" s="6">
        <f>IF(AND(C640&lt;&gt;"",D640&lt;&gt;""),D640-C640,"")</f>
        <v>0</v>
      </c>
      <c r="F640" s="4" t="s">
        <v>947</v>
      </c>
      <c r="G640" s="4" t="s">
        <v>948</v>
      </c>
      <c r="H640" s="4" t="s">
        <v>32</v>
      </c>
      <c r="I640" s="4" t="s">
        <v>33</v>
      </c>
      <c r="J640" s="4">
        <v>0</v>
      </c>
      <c r="K640" s="4">
        <v>0</v>
      </c>
      <c r="L640" s="4">
        <f>J640+K640</f>
        <v>0</v>
      </c>
      <c r="M640" s="4" t="s">
        <v>370</v>
      </c>
      <c r="N640" s="4"/>
      <c r="O640" s="4">
        <v>1</v>
      </c>
      <c r="P640" s="4" t="s">
        <v>135</v>
      </c>
      <c r="Q640" s="4" t="s">
        <v>44</v>
      </c>
      <c r="R640" s="7">
        <v>1000000</v>
      </c>
      <c r="S640" s="7">
        <v>0</v>
      </c>
      <c r="T640" s="7">
        <f>R640-S640</f>
        <v>0</v>
      </c>
      <c r="U640" s="7">
        <f>T640*O640</f>
        <v>0</v>
      </c>
    </row>
    <row r="641" spans="1:21">
      <c r="A641" s="4" t="s">
        <v>953</v>
      </c>
      <c r="B641" s="4" t="s">
        <v>39</v>
      </c>
      <c r="C641" s="5">
        <v>45924.17178240741</v>
      </c>
      <c r="D641" s="5">
        <v>45924</v>
      </c>
      <c r="E641" s="6">
        <f>IF(AND(C641&lt;&gt;"",D641&lt;&gt;""),D641-C641,"")</f>
        <v>0</v>
      </c>
      <c r="F641" s="4" t="s">
        <v>947</v>
      </c>
      <c r="G641" s="4" t="s">
        <v>948</v>
      </c>
      <c r="H641" s="4" t="s">
        <v>32</v>
      </c>
      <c r="I641" s="4" t="s">
        <v>33</v>
      </c>
      <c r="J641" s="4">
        <v>1</v>
      </c>
      <c r="K641" s="4">
        <v>0</v>
      </c>
      <c r="L641" s="4">
        <f>J641+K641</f>
        <v>0</v>
      </c>
      <c r="M641" s="4" t="s">
        <v>42</v>
      </c>
      <c r="N641" s="4"/>
      <c r="O641" s="4">
        <v>1</v>
      </c>
      <c r="P641" s="4" t="s">
        <v>135</v>
      </c>
      <c r="Q641" s="4" t="s">
        <v>44</v>
      </c>
      <c r="R641" s="7">
        <v>1300000</v>
      </c>
      <c r="S641" s="7">
        <v>0</v>
      </c>
      <c r="T641" s="7">
        <f>R641-S641</f>
        <v>0</v>
      </c>
      <c r="U641" s="7">
        <f>T641*O641</f>
        <v>0</v>
      </c>
    </row>
    <row r="642" spans="1:21">
      <c r="A642" s="4" t="s">
        <v>954</v>
      </c>
      <c r="B642" s="4" t="s">
        <v>39</v>
      </c>
      <c r="C642" s="5">
        <v>45924.24202546296</v>
      </c>
      <c r="D642" s="5">
        <v>45924</v>
      </c>
      <c r="E642" s="6">
        <f>IF(AND(C642&lt;&gt;"",D642&lt;&gt;""),D642-C642,"")</f>
        <v>0</v>
      </c>
      <c r="F642" s="4" t="s">
        <v>955</v>
      </c>
      <c r="G642" s="4" t="s">
        <v>956</v>
      </c>
      <c r="H642" s="4" t="s">
        <v>190</v>
      </c>
      <c r="I642" s="4" t="s">
        <v>56</v>
      </c>
      <c r="J642" s="4">
        <v>0</v>
      </c>
      <c r="K642" s="4">
        <v>0</v>
      </c>
      <c r="L642" s="4">
        <f>J642+K642</f>
        <v>0</v>
      </c>
      <c r="M642" s="4" t="s">
        <v>370</v>
      </c>
      <c r="N642" s="4"/>
      <c r="O642" s="4">
        <v>1</v>
      </c>
      <c r="P642" s="4" t="s">
        <v>135</v>
      </c>
      <c r="Q642" s="4" t="s">
        <v>44</v>
      </c>
      <c r="R642" s="7">
        <v>1000000</v>
      </c>
      <c r="S642" s="7">
        <v>0</v>
      </c>
      <c r="T642" s="7">
        <f>R642-S642</f>
        <v>0</v>
      </c>
      <c r="U642" s="7">
        <f>T642*O642</f>
        <v>0</v>
      </c>
    </row>
    <row r="643" spans="1:21">
      <c r="A643" s="4" t="s">
        <v>954</v>
      </c>
      <c r="B643" s="4" t="s">
        <v>39</v>
      </c>
      <c r="C643" s="5">
        <v>45924.24202546296</v>
      </c>
      <c r="D643" s="5">
        <v>45924</v>
      </c>
      <c r="E643" s="6">
        <f>IF(AND(C643&lt;&gt;"",D643&lt;&gt;""),D643-C643,"")</f>
        <v>0</v>
      </c>
      <c r="F643" s="4" t="s">
        <v>955</v>
      </c>
      <c r="G643" s="4" t="s">
        <v>956</v>
      </c>
      <c r="H643" s="4" t="s">
        <v>190</v>
      </c>
      <c r="I643" s="4" t="s">
        <v>56</v>
      </c>
      <c r="J643" s="4">
        <v>1</v>
      </c>
      <c r="K643" s="4">
        <v>0</v>
      </c>
      <c r="L643" s="4">
        <f>J643+K643</f>
        <v>0</v>
      </c>
      <c r="M643" s="4" t="s">
        <v>42</v>
      </c>
      <c r="N643" s="4"/>
      <c r="O643" s="4">
        <v>1</v>
      </c>
      <c r="P643" s="4" t="s">
        <v>135</v>
      </c>
      <c r="Q643" s="4" t="s">
        <v>44</v>
      </c>
      <c r="R643" s="7">
        <v>1300000</v>
      </c>
      <c r="S643" s="7">
        <v>0</v>
      </c>
      <c r="T643" s="7">
        <f>R643-S643</f>
        <v>0</v>
      </c>
      <c r="U643" s="7">
        <f>T643*O643</f>
        <v>0</v>
      </c>
    </row>
    <row r="644" spans="1:21">
      <c r="A644" s="4" t="s">
        <v>957</v>
      </c>
      <c r="B644" s="4" t="s">
        <v>39</v>
      </c>
      <c r="C644" s="5">
        <v>45924.24582175926</v>
      </c>
      <c r="D644" s="5">
        <v>45924</v>
      </c>
      <c r="E644" s="6">
        <f>IF(AND(C644&lt;&gt;"",D644&lt;&gt;""),D644-C644,"")</f>
        <v>0</v>
      </c>
      <c r="F644" s="4" t="s">
        <v>958</v>
      </c>
      <c r="G644" s="4" t="s">
        <v>959</v>
      </c>
      <c r="H644" s="4" t="s">
        <v>190</v>
      </c>
      <c r="I644" s="4" t="s">
        <v>56</v>
      </c>
      <c r="J644" s="4">
        <v>0</v>
      </c>
      <c r="K644" s="4">
        <v>0</v>
      </c>
      <c r="L644" s="4">
        <f>J644+K644</f>
        <v>0</v>
      </c>
      <c r="M644" s="4" t="s">
        <v>370</v>
      </c>
      <c r="N644" s="4"/>
      <c r="O644" s="4">
        <v>1</v>
      </c>
      <c r="P644" s="4" t="s">
        <v>135</v>
      </c>
      <c r="Q644" s="4" t="s">
        <v>44</v>
      </c>
      <c r="R644" s="7">
        <v>1000000</v>
      </c>
      <c r="S644" s="7">
        <v>0</v>
      </c>
      <c r="T644" s="7">
        <f>R644-S644</f>
        <v>0</v>
      </c>
      <c r="U644" s="7">
        <f>T644*O644</f>
        <v>0</v>
      </c>
    </row>
    <row r="645" spans="1:21">
      <c r="A645" s="4" t="s">
        <v>957</v>
      </c>
      <c r="B645" s="4" t="s">
        <v>39</v>
      </c>
      <c r="C645" s="5">
        <v>45924.24582175926</v>
      </c>
      <c r="D645" s="5">
        <v>45924</v>
      </c>
      <c r="E645" s="6">
        <f>IF(AND(C645&lt;&gt;"",D645&lt;&gt;""),D645-C645,"")</f>
        <v>0</v>
      </c>
      <c r="F645" s="4" t="s">
        <v>958</v>
      </c>
      <c r="G645" s="4" t="s">
        <v>959</v>
      </c>
      <c r="H645" s="4" t="s">
        <v>190</v>
      </c>
      <c r="I645" s="4" t="s">
        <v>56</v>
      </c>
      <c r="J645" s="4">
        <v>1</v>
      </c>
      <c r="K645" s="4">
        <v>0</v>
      </c>
      <c r="L645" s="4">
        <f>J645+K645</f>
        <v>0</v>
      </c>
      <c r="M645" s="4" t="s">
        <v>42</v>
      </c>
      <c r="N645" s="4"/>
      <c r="O645" s="4">
        <v>1</v>
      </c>
      <c r="P645" s="4" t="s">
        <v>135</v>
      </c>
      <c r="Q645" s="4" t="s">
        <v>44</v>
      </c>
      <c r="R645" s="7">
        <v>1300000</v>
      </c>
      <c r="S645" s="7">
        <v>0</v>
      </c>
      <c r="T645" s="7">
        <f>R645-S645</f>
        <v>0</v>
      </c>
      <c r="U645" s="7">
        <f>T645*O645</f>
        <v>0</v>
      </c>
    </row>
    <row r="646" spans="1:21">
      <c r="A646" s="4" t="s">
        <v>960</v>
      </c>
      <c r="B646" s="4" t="s">
        <v>39</v>
      </c>
      <c r="C646" s="5">
        <v>45924.24991898148</v>
      </c>
      <c r="D646" s="5">
        <v>45924</v>
      </c>
      <c r="E646" s="6">
        <f>IF(AND(C646&lt;&gt;"",D646&lt;&gt;""),D646-C646,"")</f>
        <v>0</v>
      </c>
      <c r="F646" s="4" t="s">
        <v>961</v>
      </c>
      <c r="G646" s="4" t="s">
        <v>962</v>
      </c>
      <c r="H646" s="4" t="s">
        <v>190</v>
      </c>
      <c r="I646" s="4" t="s">
        <v>56</v>
      </c>
      <c r="J646" s="4">
        <v>1</v>
      </c>
      <c r="K646" s="4">
        <v>0</v>
      </c>
      <c r="L646" s="4">
        <f>J646+K646</f>
        <v>0</v>
      </c>
      <c r="M646" s="4" t="s">
        <v>42</v>
      </c>
      <c r="N646" s="4"/>
      <c r="O646" s="4">
        <v>1</v>
      </c>
      <c r="P646" s="4" t="s">
        <v>135</v>
      </c>
      <c r="Q646" s="4"/>
      <c r="R646" s="7">
        <v>370000</v>
      </c>
      <c r="S646" s="7">
        <v>0</v>
      </c>
      <c r="T646" s="7">
        <f>R646-S646</f>
        <v>0</v>
      </c>
      <c r="U646" s="7">
        <f>T646*O646</f>
        <v>0</v>
      </c>
    </row>
    <row r="647" spans="1:21">
      <c r="A647" s="4" t="s">
        <v>963</v>
      </c>
      <c r="B647" s="4" t="s">
        <v>39</v>
      </c>
      <c r="C647" s="5">
        <v>45924.2545949074</v>
      </c>
      <c r="D647" s="5">
        <v>45924</v>
      </c>
      <c r="E647" s="6">
        <f>IF(AND(C647&lt;&gt;"",D647&lt;&gt;""),D647-C647,"")</f>
        <v>0</v>
      </c>
      <c r="F647" s="4" t="s">
        <v>964</v>
      </c>
      <c r="G647" s="4" t="s">
        <v>965</v>
      </c>
      <c r="H647" s="4" t="s">
        <v>32</v>
      </c>
      <c r="I647" s="4" t="s">
        <v>33</v>
      </c>
      <c r="J647" s="4">
        <v>0</v>
      </c>
      <c r="K647" s="4">
        <v>0</v>
      </c>
      <c r="L647" s="4">
        <f>J647+K647</f>
        <v>0</v>
      </c>
      <c r="M647" s="4" t="s">
        <v>731</v>
      </c>
      <c r="N647" s="4"/>
      <c r="O647" s="4">
        <v>1</v>
      </c>
      <c r="P647" s="4" t="s">
        <v>135</v>
      </c>
      <c r="Q647" s="4"/>
      <c r="R647" s="7">
        <v>420000</v>
      </c>
      <c r="S647" s="7">
        <v>168000</v>
      </c>
      <c r="T647" s="7">
        <f>R647-S647</f>
        <v>0</v>
      </c>
      <c r="U647" s="7">
        <f>T647*O647</f>
        <v>0</v>
      </c>
    </row>
    <row r="648" spans="1:21">
      <c r="A648" s="4" t="s">
        <v>963</v>
      </c>
      <c r="B648" s="4" t="s">
        <v>39</v>
      </c>
      <c r="C648" s="5">
        <v>45924.2545949074</v>
      </c>
      <c r="D648" s="5">
        <v>45924</v>
      </c>
      <c r="E648" s="6">
        <f>IF(AND(C648&lt;&gt;"",D648&lt;&gt;""),D648-C648,"")</f>
        <v>0</v>
      </c>
      <c r="F648" s="4" t="s">
        <v>964</v>
      </c>
      <c r="G648" s="4" t="s">
        <v>965</v>
      </c>
      <c r="H648" s="4" t="s">
        <v>32</v>
      </c>
      <c r="I648" s="4" t="s">
        <v>33</v>
      </c>
      <c r="J648" s="4">
        <v>0</v>
      </c>
      <c r="K648" s="4">
        <v>0</v>
      </c>
      <c r="L648" s="4">
        <f>J648+K648</f>
        <v>0</v>
      </c>
      <c r="M648" s="4" t="s">
        <v>731</v>
      </c>
      <c r="N648" s="4"/>
      <c r="O648" s="4">
        <v>1</v>
      </c>
      <c r="P648" s="4" t="s">
        <v>135</v>
      </c>
      <c r="Q648" s="4"/>
      <c r="R648" s="7">
        <v>420000</v>
      </c>
      <c r="S648" s="7">
        <v>168000</v>
      </c>
      <c r="T648" s="7">
        <f>R648-S648</f>
        <v>0</v>
      </c>
      <c r="U648" s="7">
        <f>T648*O648</f>
        <v>0</v>
      </c>
    </row>
    <row r="649" spans="1:21">
      <c r="A649" s="4" t="s">
        <v>966</v>
      </c>
      <c r="B649" s="4" t="s">
        <v>39</v>
      </c>
      <c r="C649" s="5">
        <v>45924.2855324074</v>
      </c>
      <c r="D649" s="5">
        <v>45924</v>
      </c>
      <c r="E649" s="6">
        <f>IF(AND(C649&lt;&gt;"",D649&lt;&gt;""),D649-C649,"")</f>
        <v>0</v>
      </c>
      <c r="F649" s="4" t="s">
        <v>446</v>
      </c>
      <c r="G649" s="4" t="s">
        <v>41</v>
      </c>
      <c r="H649" s="4" t="s">
        <v>32</v>
      </c>
      <c r="I649" s="4" t="s">
        <v>33</v>
      </c>
      <c r="J649" s="4">
        <v>0</v>
      </c>
      <c r="K649" s="4">
        <v>0</v>
      </c>
      <c r="L649" s="4">
        <f>J649+K649</f>
        <v>0</v>
      </c>
      <c r="M649" s="4" t="s">
        <v>731</v>
      </c>
      <c r="N649" s="4"/>
      <c r="O649" s="4">
        <v>2</v>
      </c>
      <c r="P649" s="4" t="s">
        <v>135</v>
      </c>
      <c r="Q649" s="4"/>
      <c r="R649" s="7">
        <v>420000</v>
      </c>
      <c r="S649" s="7">
        <v>168000</v>
      </c>
      <c r="T649" s="7">
        <f>R649-S649</f>
        <v>0</v>
      </c>
      <c r="U649" s="7">
        <f>T649*O649</f>
        <v>0</v>
      </c>
    </row>
    <row r="650" spans="1:21">
      <c r="A650" s="4" t="s">
        <v>967</v>
      </c>
      <c r="B650" s="4" t="s">
        <v>39</v>
      </c>
      <c r="C650" s="5">
        <v>45924.28829861111</v>
      </c>
      <c r="D650" s="5">
        <v>45924</v>
      </c>
      <c r="E650" s="6">
        <f>IF(AND(C650&lt;&gt;"",D650&lt;&gt;""),D650-C650,"")</f>
        <v>0</v>
      </c>
      <c r="F650" s="4" t="s">
        <v>162</v>
      </c>
      <c r="G650" s="4" t="s">
        <v>163</v>
      </c>
      <c r="H650" s="4" t="s">
        <v>32</v>
      </c>
      <c r="I650" s="4" t="s">
        <v>33</v>
      </c>
      <c r="J650" s="4">
        <v>0</v>
      </c>
      <c r="K650" s="4">
        <v>0</v>
      </c>
      <c r="L650" s="4">
        <f>J650+K650</f>
        <v>0</v>
      </c>
      <c r="M650" s="4" t="s">
        <v>370</v>
      </c>
      <c r="N650" s="4"/>
      <c r="O650" s="4">
        <v>1</v>
      </c>
      <c r="P650" s="4" t="s">
        <v>135</v>
      </c>
      <c r="Q650" s="4"/>
      <c r="R650" s="7">
        <v>500000</v>
      </c>
      <c r="S650" s="7">
        <v>0</v>
      </c>
      <c r="T650" s="7">
        <f>R650-S650</f>
        <v>0</v>
      </c>
      <c r="U650" s="7">
        <f>T650*O650</f>
        <v>0</v>
      </c>
    </row>
    <row r="651" spans="1:21">
      <c r="A651" s="4" t="s">
        <v>967</v>
      </c>
      <c r="B651" s="4" t="s">
        <v>39</v>
      </c>
      <c r="C651" s="5">
        <v>45924.28829861111</v>
      </c>
      <c r="D651" s="5">
        <v>45924</v>
      </c>
      <c r="E651" s="6">
        <f>IF(AND(C651&lt;&gt;"",D651&lt;&gt;""),D651-C651,"")</f>
        <v>0</v>
      </c>
      <c r="F651" s="4" t="s">
        <v>162</v>
      </c>
      <c r="G651" s="4" t="s">
        <v>163</v>
      </c>
      <c r="H651" s="4" t="s">
        <v>32</v>
      </c>
      <c r="I651" s="4" t="s">
        <v>33</v>
      </c>
      <c r="J651" s="4">
        <v>1</v>
      </c>
      <c r="K651" s="4">
        <v>0</v>
      </c>
      <c r="L651" s="4">
        <f>J651+K651</f>
        <v>0</v>
      </c>
      <c r="M651" s="4" t="s">
        <v>968</v>
      </c>
      <c r="N651" s="4"/>
      <c r="O651" s="4">
        <v>1</v>
      </c>
      <c r="P651" s="4" t="s">
        <v>135</v>
      </c>
      <c r="Q651" s="4"/>
      <c r="R651" s="7">
        <v>1050000</v>
      </c>
      <c r="S651" s="7">
        <v>0</v>
      </c>
      <c r="T651" s="7">
        <f>R651-S651</f>
        <v>0</v>
      </c>
      <c r="U651" s="7">
        <f>T651*O651</f>
        <v>0</v>
      </c>
    </row>
    <row r="652" spans="1:21">
      <c r="A652" s="4" t="s">
        <v>969</v>
      </c>
      <c r="B652" s="4" t="s">
        <v>39</v>
      </c>
      <c r="C652" s="5">
        <v>45924.29313657407</v>
      </c>
      <c r="D652" s="5">
        <v>45924</v>
      </c>
      <c r="E652" s="6">
        <f>IF(AND(C652&lt;&gt;"",D652&lt;&gt;""),D652-C652,"")</f>
        <v>0</v>
      </c>
      <c r="F652" s="4" t="s">
        <v>453</v>
      </c>
      <c r="G652" s="4" t="s">
        <v>454</v>
      </c>
      <c r="H652" s="4"/>
      <c r="I652" s="4" t="s">
        <v>56</v>
      </c>
      <c r="J652" s="4">
        <v>0</v>
      </c>
      <c r="K652" s="4">
        <v>0</v>
      </c>
      <c r="L652" s="4">
        <f>J652+K652</f>
        <v>0</v>
      </c>
      <c r="M652" s="4" t="s">
        <v>731</v>
      </c>
      <c r="N652" s="4"/>
      <c r="O652" s="4">
        <v>1</v>
      </c>
      <c r="P652" s="4" t="s">
        <v>135</v>
      </c>
      <c r="Q652" s="4"/>
      <c r="R652" s="7">
        <v>1000000</v>
      </c>
      <c r="S652" s="7">
        <v>0</v>
      </c>
      <c r="T652" s="7">
        <f>R652-S652</f>
        <v>0</v>
      </c>
      <c r="U652" s="7">
        <f>T652*O652</f>
        <v>0</v>
      </c>
    </row>
    <row r="653" spans="1:21">
      <c r="A653" s="4" t="s">
        <v>970</v>
      </c>
      <c r="B653" s="4" t="s">
        <v>39</v>
      </c>
      <c r="C653" s="5">
        <v>45924.29741898148</v>
      </c>
      <c r="D653" s="5">
        <v>45924</v>
      </c>
      <c r="E653" s="6">
        <f>IF(AND(C653&lt;&gt;"",D653&lt;&gt;""),D653-C653,"")</f>
        <v>0</v>
      </c>
      <c r="F653" s="4" t="s">
        <v>964</v>
      </c>
      <c r="G653" s="4" t="s">
        <v>965</v>
      </c>
      <c r="H653" s="4" t="s">
        <v>32</v>
      </c>
      <c r="I653" s="4" t="s">
        <v>33</v>
      </c>
      <c r="J653" s="4">
        <v>0</v>
      </c>
      <c r="K653" s="4">
        <v>0</v>
      </c>
      <c r="L653" s="4">
        <f>J653+K653</f>
        <v>0</v>
      </c>
      <c r="M653" s="4" t="s">
        <v>731</v>
      </c>
      <c r="N653" s="4"/>
      <c r="O653" s="4">
        <v>5</v>
      </c>
      <c r="P653" s="4" t="s">
        <v>135</v>
      </c>
      <c r="Q653" s="4"/>
      <c r="R653" s="7">
        <v>1000000</v>
      </c>
      <c r="S653" s="7">
        <v>0</v>
      </c>
      <c r="T653" s="7">
        <f>R653-S653</f>
        <v>0</v>
      </c>
      <c r="U653" s="7">
        <f>T653*O653</f>
        <v>0</v>
      </c>
    </row>
    <row r="654" spans="1:21">
      <c r="A654" s="4" t="s">
        <v>971</v>
      </c>
      <c r="B654" s="4" t="s">
        <v>39</v>
      </c>
      <c r="C654" s="5">
        <v>45924.29829861111</v>
      </c>
      <c r="D654" s="5">
        <v>45924</v>
      </c>
      <c r="E654" s="6">
        <f>IF(AND(C654&lt;&gt;"",D654&lt;&gt;""),D654-C654,"")</f>
        <v>0</v>
      </c>
      <c r="F654" s="4" t="s">
        <v>162</v>
      </c>
      <c r="G654" s="4" t="s">
        <v>163</v>
      </c>
      <c r="H654" s="4" t="s">
        <v>32</v>
      </c>
      <c r="I654" s="4" t="s">
        <v>33</v>
      </c>
      <c r="J654" s="4">
        <v>0</v>
      </c>
      <c r="K654" s="4">
        <v>0</v>
      </c>
      <c r="L654" s="4">
        <f>J654+K654</f>
        <v>0</v>
      </c>
      <c r="M654" s="4" t="s">
        <v>370</v>
      </c>
      <c r="N654" s="4"/>
      <c r="O654" s="4">
        <v>1</v>
      </c>
      <c r="P654" s="4" t="s">
        <v>43</v>
      </c>
      <c r="Q654" s="4"/>
      <c r="R654" s="7">
        <v>500000</v>
      </c>
      <c r="S654" s="7">
        <v>0</v>
      </c>
      <c r="T654" s="7">
        <f>R654-S654</f>
        <v>0</v>
      </c>
      <c r="U654" s="7">
        <f>T654*O654</f>
        <v>0</v>
      </c>
    </row>
    <row r="655" spans="1:21">
      <c r="A655" s="4" t="s">
        <v>971</v>
      </c>
      <c r="B655" s="4" t="s">
        <v>39</v>
      </c>
      <c r="C655" s="5">
        <v>45924.29829861111</v>
      </c>
      <c r="D655" s="5">
        <v>45924</v>
      </c>
      <c r="E655" s="6">
        <f>IF(AND(C655&lt;&gt;"",D655&lt;&gt;""),D655-C655,"")</f>
        <v>0</v>
      </c>
      <c r="F655" s="4" t="s">
        <v>162</v>
      </c>
      <c r="G655" s="4" t="s">
        <v>163</v>
      </c>
      <c r="H655" s="4" t="s">
        <v>32</v>
      </c>
      <c r="I655" s="4" t="s">
        <v>33</v>
      </c>
      <c r="J655" s="4">
        <v>1</v>
      </c>
      <c r="K655" s="4">
        <v>0</v>
      </c>
      <c r="L655" s="4">
        <f>J655+K655</f>
        <v>0</v>
      </c>
      <c r="M655" s="4" t="s">
        <v>968</v>
      </c>
      <c r="N655" s="4"/>
      <c r="O655" s="4">
        <v>1</v>
      </c>
      <c r="P655" s="4" t="s">
        <v>43</v>
      </c>
      <c r="Q655" s="4"/>
      <c r="R655" s="7">
        <v>1050000</v>
      </c>
      <c r="S655" s="7">
        <v>0</v>
      </c>
      <c r="T655" s="7">
        <f>R655-S655</f>
        <v>0</v>
      </c>
      <c r="U655" s="7">
        <f>T655*O655</f>
        <v>0</v>
      </c>
    </row>
    <row r="656" spans="1:21">
      <c r="A656" s="4" t="s">
        <v>972</v>
      </c>
      <c r="B656" s="4" t="s">
        <v>39</v>
      </c>
      <c r="C656" s="5">
        <v>45924.30085648148</v>
      </c>
      <c r="D656" s="5">
        <v>45924</v>
      </c>
      <c r="E656" s="6">
        <f>IF(AND(C656&lt;&gt;"",D656&lt;&gt;""),D656-C656,"")</f>
        <v>0</v>
      </c>
      <c r="F656" s="4" t="s">
        <v>973</v>
      </c>
      <c r="G656" s="4" t="s">
        <v>974</v>
      </c>
      <c r="H656" s="4" t="s">
        <v>975</v>
      </c>
      <c r="I656" s="4" t="s">
        <v>56</v>
      </c>
      <c r="J656" s="4">
        <v>1</v>
      </c>
      <c r="K656" s="4">
        <v>0</v>
      </c>
      <c r="L656" s="4">
        <f>J656+K656</f>
        <v>0</v>
      </c>
      <c r="M656" s="4" t="s">
        <v>976</v>
      </c>
      <c r="N656" s="4"/>
      <c r="O656" s="4">
        <v>1</v>
      </c>
      <c r="P656" s="4" t="s">
        <v>43</v>
      </c>
      <c r="Q656" s="4" t="s">
        <v>44</v>
      </c>
      <c r="R656" s="7">
        <v>1500000</v>
      </c>
      <c r="S656" s="7">
        <v>0</v>
      </c>
      <c r="T656" s="7">
        <f>R656-S656</f>
        <v>0</v>
      </c>
      <c r="U656" s="7">
        <f>T656*O656</f>
        <v>0</v>
      </c>
    </row>
    <row r="657" spans="1:21">
      <c r="A657" s="4" t="s">
        <v>972</v>
      </c>
      <c r="B657" s="4" t="s">
        <v>39</v>
      </c>
      <c r="C657" s="5">
        <v>45924.30085648148</v>
      </c>
      <c r="D657" s="5">
        <v>45924</v>
      </c>
      <c r="E657" s="6">
        <f>IF(AND(C657&lt;&gt;"",D657&lt;&gt;""),D657-C657,"")</f>
        <v>0</v>
      </c>
      <c r="F657" s="4" t="s">
        <v>973</v>
      </c>
      <c r="G657" s="4" t="s">
        <v>974</v>
      </c>
      <c r="H657" s="4" t="s">
        <v>975</v>
      </c>
      <c r="I657" s="4" t="s">
        <v>56</v>
      </c>
      <c r="J657" s="4">
        <v>0</v>
      </c>
      <c r="K657" s="4">
        <v>0</v>
      </c>
      <c r="L657" s="4">
        <f>J657+K657</f>
        <v>0</v>
      </c>
      <c r="M657" s="4" t="s">
        <v>370</v>
      </c>
      <c r="N657" s="4"/>
      <c r="O657" s="4">
        <v>1</v>
      </c>
      <c r="P657" s="4" t="s">
        <v>43</v>
      </c>
      <c r="Q657" s="4" t="s">
        <v>44</v>
      </c>
      <c r="R657" s="7">
        <v>1000000</v>
      </c>
      <c r="S657" s="7">
        <v>0</v>
      </c>
      <c r="T657" s="7">
        <f>R657-S657</f>
        <v>0</v>
      </c>
      <c r="U657" s="7">
        <f>T657*O657</f>
        <v>0</v>
      </c>
    </row>
    <row r="658" spans="1:21">
      <c r="A658" s="4" t="s">
        <v>977</v>
      </c>
      <c r="B658" s="4" t="s">
        <v>39</v>
      </c>
      <c r="C658" s="5">
        <v>45924.3316087963</v>
      </c>
      <c r="D658" s="5">
        <v>45924</v>
      </c>
      <c r="E658" s="6">
        <f>IF(AND(C658&lt;&gt;"",D658&lt;&gt;""),D658-C658,"")</f>
        <v>0</v>
      </c>
      <c r="F658" s="4"/>
      <c r="G658" s="4"/>
      <c r="H658" s="4"/>
      <c r="I658" s="4" t="s">
        <v>56</v>
      </c>
      <c r="J658" s="4">
        <v>0</v>
      </c>
      <c r="K658" s="4">
        <v>0</v>
      </c>
      <c r="L658" s="4">
        <f>J658+K658</f>
        <v>0</v>
      </c>
      <c r="M658" s="4" t="s">
        <v>370</v>
      </c>
      <c r="N658" s="4"/>
      <c r="O658" s="4">
        <v>1</v>
      </c>
      <c r="P658" s="4" t="s">
        <v>43</v>
      </c>
      <c r="Q658" s="4" t="s">
        <v>44</v>
      </c>
      <c r="R658" s="7">
        <v>2000000</v>
      </c>
      <c r="S658" s="7">
        <v>0</v>
      </c>
      <c r="T658" s="7">
        <f>R658-S658</f>
        <v>0</v>
      </c>
      <c r="U658" s="7">
        <f>T658*O658</f>
        <v>0</v>
      </c>
    </row>
    <row r="659" spans="1:21">
      <c r="A659" s="4" t="s">
        <v>978</v>
      </c>
      <c r="B659" s="4" t="s">
        <v>39</v>
      </c>
      <c r="C659" s="5">
        <v>45924.33378472222</v>
      </c>
      <c r="D659" s="5">
        <v>45924</v>
      </c>
      <c r="E659" s="6">
        <f>IF(AND(C659&lt;&gt;"",D659&lt;&gt;""),D659-C659,"")</f>
        <v>0</v>
      </c>
      <c r="F659" s="4" t="s">
        <v>979</v>
      </c>
      <c r="G659" s="4" t="s">
        <v>980</v>
      </c>
      <c r="H659" s="4" t="s">
        <v>190</v>
      </c>
      <c r="I659" s="4" t="s">
        <v>56</v>
      </c>
      <c r="J659" s="4">
        <v>0</v>
      </c>
      <c r="K659" s="4">
        <v>0</v>
      </c>
      <c r="L659" s="4">
        <f>J659+K659</f>
        <v>0</v>
      </c>
      <c r="M659" s="4" t="s">
        <v>370</v>
      </c>
      <c r="N659" s="4"/>
      <c r="O659" s="4">
        <v>1</v>
      </c>
      <c r="P659" s="4" t="s">
        <v>135</v>
      </c>
      <c r="Q659" s="4" t="s">
        <v>44</v>
      </c>
      <c r="R659" s="7">
        <v>2000000</v>
      </c>
      <c r="S659" s="7">
        <v>0</v>
      </c>
      <c r="T659" s="7">
        <f>R659-S659</f>
        <v>0</v>
      </c>
      <c r="U659" s="7">
        <f>T659*O659</f>
        <v>0</v>
      </c>
    </row>
    <row r="660" spans="1:21">
      <c r="A660" s="4" t="s">
        <v>981</v>
      </c>
      <c r="B660" s="4" t="s">
        <v>39</v>
      </c>
      <c r="C660" s="5">
        <v>45924.33658564815</v>
      </c>
      <c r="D660" s="5">
        <v>45924</v>
      </c>
      <c r="E660" s="6">
        <f>IF(AND(C660&lt;&gt;"",D660&lt;&gt;""),D660-C660,"")</f>
        <v>0</v>
      </c>
      <c r="F660" s="4" t="s">
        <v>162</v>
      </c>
      <c r="G660" s="4" t="s">
        <v>163</v>
      </c>
      <c r="H660" s="4" t="s">
        <v>32</v>
      </c>
      <c r="I660" s="4" t="s">
        <v>33</v>
      </c>
      <c r="J660" s="4">
        <v>0</v>
      </c>
      <c r="K660" s="4">
        <v>0</v>
      </c>
      <c r="L660" s="4">
        <f>J660+K660</f>
        <v>0</v>
      </c>
      <c r="M660" s="4" t="s">
        <v>370</v>
      </c>
      <c r="N660" s="4"/>
      <c r="O660" s="4">
        <v>1</v>
      </c>
      <c r="P660" s="4" t="s">
        <v>135</v>
      </c>
      <c r="Q660" s="4"/>
      <c r="R660" s="7">
        <v>250000</v>
      </c>
      <c r="S660" s="7">
        <v>0</v>
      </c>
      <c r="T660" s="7">
        <f>R660-S660</f>
        <v>0</v>
      </c>
      <c r="U660" s="7">
        <f>T660*O660</f>
        <v>0</v>
      </c>
    </row>
    <row r="661" spans="1:21">
      <c r="A661" s="4" t="s">
        <v>982</v>
      </c>
      <c r="B661" s="4" t="s">
        <v>48</v>
      </c>
      <c r="C661" s="5">
        <v>45924.34155092593</v>
      </c>
      <c r="D661" s="5">
        <v>45961</v>
      </c>
      <c r="E661" s="6">
        <f>IF(AND(C661&lt;&gt;"",D661&lt;&gt;""),D661-C661,"")</f>
        <v>0</v>
      </c>
      <c r="F661" s="4" t="s">
        <v>64</v>
      </c>
      <c r="G661" s="4" t="s">
        <v>983</v>
      </c>
      <c r="H661" s="4" t="s">
        <v>32</v>
      </c>
      <c r="I661" s="4" t="s">
        <v>33</v>
      </c>
      <c r="J661" s="4">
        <v>2</v>
      </c>
      <c r="K661" s="4">
        <v>0</v>
      </c>
      <c r="L661" s="4">
        <f>J661+K661</f>
        <v>0</v>
      </c>
      <c r="M661" s="4"/>
      <c r="N661" s="4"/>
      <c r="O661" s="4">
        <v>0</v>
      </c>
      <c r="P661" s="4"/>
      <c r="Q661" s="4"/>
      <c r="R661" s="7">
        <v>0</v>
      </c>
      <c r="S661" s="7">
        <v>0</v>
      </c>
      <c r="T661" s="7">
        <f>R661-S661</f>
        <v>0</v>
      </c>
      <c r="U661" s="7">
        <f>T661*O661</f>
        <v>0</v>
      </c>
    </row>
    <row r="662" spans="1:21">
      <c r="A662" s="4" t="s">
        <v>984</v>
      </c>
      <c r="B662" s="4" t="s">
        <v>39</v>
      </c>
      <c r="C662" s="5">
        <v>45924.37710648148</v>
      </c>
      <c r="D662" s="5">
        <v>45924</v>
      </c>
      <c r="E662" s="6">
        <f>IF(AND(C662&lt;&gt;"",D662&lt;&gt;""),D662-C662,"")</f>
        <v>0</v>
      </c>
      <c r="F662" s="4" t="s">
        <v>985</v>
      </c>
      <c r="G662" s="4" t="s">
        <v>986</v>
      </c>
      <c r="H662" s="4"/>
      <c r="I662" s="4" t="s">
        <v>56</v>
      </c>
      <c r="J662" s="4">
        <v>0</v>
      </c>
      <c r="K662" s="4">
        <v>0</v>
      </c>
      <c r="L662" s="4">
        <f>J662+K662</f>
        <v>0</v>
      </c>
      <c r="M662" s="4" t="s">
        <v>370</v>
      </c>
      <c r="N662" s="4"/>
      <c r="O662" s="4">
        <v>1</v>
      </c>
      <c r="P662" s="4" t="s">
        <v>43</v>
      </c>
      <c r="Q662" s="4" t="s">
        <v>44</v>
      </c>
      <c r="R662" s="7">
        <v>1000000</v>
      </c>
      <c r="S662" s="7">
        <v>0</v>
      </c>
      <c r="T662" s="7">
        <f>R662-S662</f>
        <v>0</v>
      </c>
      <c r="U662" s="7">
        <f>T662*O662</f>
        <v>0</v>
      </c>
    </row>
    <row r="663" spans="1:21">
      <c r="A663" s="4" t="s">
        <v>984</v>
      </c>
      <c r="B663" s="4" t="s">
        <v>39</v>
      </c>
      <c r="C663" s="5">
        <v>45924.37710648148</v>
      </c>
      <c r="D663" s="5">
        <v>45924</v>
      </c>
      <c r="E663" s="6">
        <f>IF(AND(C663&lt;&gt;"",D663&lt;&gt;""),D663-C663,"")</f>
        <v>0</v>
      </c>
      <c r="F663" s="4" t="s">
        <v>985</v>
      </c>
      <c r="G663" s="4" t="s">
        <v>986</v>
      </c>
      <c r="H663" s="4"/>
      <c r="I663" s="4" t="s">
        <v>56</v>
      </c>
      <c r="J663" s="4">
        <v>1</v>
      </c>
      <c r="K663" s="4">
        <v>0</v>
      </c>
      <c r="L663" s="4">
        <f>J663+K663</f>
        <v>0</v>
      </c>
      <c r="M663" s="4" t="s">
        <v>968</v>
      </c>
      <c r="N663" s="4"/>
      <c r="O663" s="4">
        <v>1</v>
      </c>
      <c r="P663" s="4" t="s">
        <v>43</v>
      </c>
      <c r="Q663" s="4" t="s">
        <v>44</v>
      </c>
      <c r="R663" s="7">
        <v>1050000</v>
      </c>
      <c r="S663" s="7">
        <v>0</v>
      </c>
      <c r="T663" s="7">
        <f>R663-S663</f>
        <v>0</v>
      </c>
      <c r="U663" s="7">
        <f>T663*O663</f>
        <v>0</v>
      </c>
    </row>
    <row r="664" spans="1:21">
      <c r="A664" s="4" t="s">
        <v>987</v>
      </c>
      <c r="B664" s="4" t="s">
        <v>39</v>
      </c>
      <c r="C664" s="5">
        <v>45924.37905092593</v>
      </c>
      <c r="D664" s="5">
        <v>45924</v>
      </c>
      <c r="E664" s="6">
        <f>IF(AND(C664&lt;&gt;"",D664&lt;&gt;""),D664-C664,"")</f>
        <v>0</v>
      </c>
      <c r="F664" s="4" t="s">
        <v>409</v>
      </c>
      <c r="G664" s="4"/>
      <c r="H664" s="4"/>
      <c r="I664" s="4" t="s">
        <v>56</v>
      </c>
      <c r="J664" s="4">
        <v>2</v>
      </c>
      <c r="K664" s="4">
        <v>0</v>
      </c>
      <c r="L664" s="4">
        <f>J664+K664</f>
        <v>0</v>
      </c>
      <c r="M664" s="4" t="s">
        <v>80</v>
      </c>
      <c r="N664" s="4"/>
      <c r="O664" s="4">
        <v>2</v>
      </c>
      <c r="P664" s="4" t="s">
        <v>135</v>
      </c>
      <c r="Q664" s="4"/>
      <c r="R664" s="7">
        <v>610000</v>
      </c>
      <c r="S664" s="7">
        <v>0</v>
      </c>
      <c r="T664" s="7">
        <f>R664-S664</f>
        <v>0</v>
      </c>
      <c r="U664" s="7">
        <f>T664*O664</f>
        <v>0</v>
      </c>
    </row>
    <row r="665" spans="1:21">
      <c r="A665" s="4" t="s">
        <v>987</v>
      </c>
      <c r="B665" s="4" t="s">
        <v>39</v>
      </c>
      <c r="C665" s="5">
        <v>45924.37905092593</v>
      </c>
      <c r="D665" s="5">
        <v>45924</v>
      </c>
      <c r="E665" s="6">
        <f>IF(AND(C665&lt;&gt;"",D665&lt;&gt;""),D665-C665,"")</f>
        <v>0</v>
      </c>
      <c r="F665" s="4" t="s">
        <v>409</v>
      </c>
      <c r="G665" s="4"/>
      <c r="H665" s="4"/>
      <c r="I665" s="4" t="s">
        <v>56</v>
      </c>
      <c r="J665" s="4">
        <v>2</v>
      </c>
      <c r="K665" s="4">
        <v>0</v>
      </c>
      <c r="L665" s="4">
        <f>J665+K665</f>
        <v>0</v>
      </c>
      <c r="M665" s="4" t="s">
        <v>42</v>
      </c>
      <c r="N665" s="4"/>
      <c r="O665" s="4">
        <v>2</v>
      </c>
      <c r="P665" s="4" t="s">
        <v>135</v>
      </c>
      <c r="Q665" s="4"/>
      <c r="R665" s="7">
        <v>370000</v>
      </c>
      <c r="S665" s="7">
        <v>0</v>
      </c>
      <c r="T665" s="7">
        <f>R665-S665</f>
        <v>0</v>
      </c>
      <c r="U665" s="7">
        <f>T665*O665</f>
        <v>0</v>
      </c>
    </row>
    <row r="666" spans="1:21">
      <c r="A666" s="4" t="s">
        <v>987</v>
      </c>
      <c r="B666" s="4" t="s">
        <v>39</v>
      </c>
      <c r="C666" s="5">
        <v>45924.37905092593</v>
      </c>
      <c r="D666" s="5">
        <v>45924</v>
      </c>
      <c r="E666" s="6">
        <f>IF(AND(C666&lt;&gt;"",D666&lt;&gt;""),D666-C666,"")</f>
        <v>0</v>
      </c>
      <c r="F666" s="4" t="s">
        <v>409</v>
      </c>
      <c r="G666" s="4"/>
      <c r="H666" s="4"/>
      <c r="I666" s="4" t="s">
        <v>56</v>
      </c>
      <c r="J666" s="4">
        <v>0</v>
      </c>
      <c r="K666" s="4">
        <v>2</v>
      </c>
      <c r="L666" s="4">
        <f>J666+K666</f>
        <v>0</v>
      </c>
      <c r="M666" s="4" t="s">
        <v>81</v>
      </c>
      <c r="N666" s="4"/>
      <c r="O666" s="4">
        <v>2</v>
      </c>
      <c r="P666" s="4" t="s">
        <v>135</v>
      </c>
      <c r="Q666" s="4"/>
      <c r="R666" s="7">
        <v>495000</v>
      </c>
      <c r="S666" s="7">
        <v>0</v>
      </c>
      <c r="T666" s="7">
        <f>R666-S666</f>
        <v>0</v>
      </c>
      <c r="U666" s="7">
        <f>T666*O666</f>
        <v>0</v>
      </c>
    </row>
    <row r="667" spans="1:21">
      <c r="A667" s="4" t="s">
        <v>988</v>
      </c>
      <c r="B667" s="4" t="s">
        <v>39</v>
      </c>
      <c r="C667" s="5">
        <v>45924.3809837963</v>
      </c>
      <c r="D667" s="5">
        <v>45924</v>
      </c>
      <c r="E667" s="6">
        <f>IF(AND(C667&lt;&gt;"",D667&lt;&gt;""),D667-C667,"")</f>
        <v>0</v>
      </c>
      <c r="F667" s="4" t="s">
        <v>213</v>
      </c>
      <c r="G667" s="4" t="s">
        <v>214</v>
      </c>
      <c r="H667" s="4" t="s">
        <v>32</v>
      </c>
      <c r="I667" s="4" t="s">
        <v>33</v>
      </c>
      <c r="J667" s="4">
        <v>1</v>
      </c>
      <c r="K667" s="4">
        <v>0</v>
      </c>
      <c r="L667" s="4">
        <f>J667+K667</f>
        <v>0</v>
      </c>
      <c r="M667" s="4" t="s">
        <v>42</v>
      </c>
      <c r="N667" s="4"/>
      <c r="O667" s="4">
        <v>1</v>
      </c>
      <c r="P667" s="4" t="s">
        <v>135</v>
      </c>
      <c r="Q667" s="4"/>
      <c r="R667" s="7">
        <v>370000</v>
      </c>
      <c r="S667" s="7">
        <v>0</v>
      </c>
      <c r="T667" s="7">
        <f>R667-S667</f>
        <v>0</v>
      </c>
      <c r="U667" s="7">
        <f>T667*O667</f>
        <v>0</v>
      </c>
    </row>
    <row r="668" spans="1:21">
      <c r="A668" s="4" t="s">
        <v>988</v>
      </c>
      <c r="B668" s="4" t="s">
        <v>39</v>
      </c>
      <c r="C668" s="5">
        <v>45924.3809837963</v>
      </c>
      <c r="D668" s="5">
        <v>45924</v>
      </c>
      <c r="E668" s="6">
        <f>IF(AND(C668&lt;&gt;"",D668&lt;&gt;""),D668-C668,"")</f>
        <v>0</v>
      </c>
      <c r="F668" s="4" t="s">
        <v>213</v>
      </c>
      <c r="G668" s="4" t="s">
        <v>214</v>
      </c>
      <c r="H668" s="4" t="s">
        <v>32</v>
      </c>
      <c r="I668" s="4" t="s">
        <v>33</v>
      </c>
      <c r="J668" s="4">
        <v>1</v>
      </c>
      <c r="K668" s="4">
        <v>0</v>
      </c>
      <c r="L668" s="4">
        <f>J668+K668</f>
        <v>0</v>
      </c>
      <c r="M668" s="4" t="s">
        <v>42</v>
      </c>
      <c r="N668" s="4"/>
      <c r="O668" s="4">
        <v>1</v>
      </c>
      <c r="P668" s="4" t="s">
        <v>135</v>
      </c>
      <c r="Q668" s="4"/>
      <c r="R668" s="7">
        <v>370000</v>
      </c>
      <c r="S668" s="7">
        <v>0</v>
      </c>
      <c r="T668" s="7">
        <f>R668-S668</f>
        <v>0</v>
      </c>
      <c r="U668" s="7">
        <f>T668*O668</f>
        <v>0</v>
      </c>
    </row>
    <row r="669" spans="1:21">
      <c r="A669" s="4" t="s">
        <v>988</v>
      </c>
      <c r="B669" s="4" t="s">
        <v>39</v>
      </c>
      <c r="C669" s="5">
        <v>45924.3809837963</v>
      </c>
      <c r="D669" s="5">
        <v>45924</v>
      </c>
      <c r="E669" s="6">
        <f>IF(AND(C669&lt;&gt;"",D669&lt;&gt;""),D669-C669,"")</f>
        <v>0</v>
      </c>
      <c r="F669" s="4" t="s">
        <v>213</v>
      </c>
      <c r="G669" s="4" t="s">
        <v>214</v>
      </c>
      <c r="H669" s="4" t="s">
        <v>32</v>
      </c>
      <c r="I669" s="4" t="s">
        <v>33</v>
      </c>
      <c r="J669" s="4">
        <v>0</v>
      </c>
      <c r="K669" s="4">
        <v>1</v>
      </c>
      <c r="L669" s="4">
        <f>J669+K669</f>
        <v>0</v>
      </c>
      <c r="M669" s="4" t="s">
        <v>81</v>
      </c>
      <c r="N669" s="4"/>
      <c r="O669" s="4">
        <v>1</v>
      </c>
      <c r="P669" s="4" t="s">
        <v>135</v>
      </c>
      <c r="Q669" s="4"/>
      <c r="R669" s="7">
        <v>495000</v>
      </c>
      <c r="S669" s="7">
        <v>0</v>
      </c>
      <c r="T669" s="7">
        <f>R669-S669</f>
        <v>0</v>
      </c>
      <c r="U669" s="7">
        <f>T669*O669</f>
        <v>0</v>
      </c>
    </row>
    <row r="670" spans="1:21">
      <c r="A670" s="4" t="s">
        <v>988</v>
      </c>
      <c r="B670" s="4" t="s">
        <v>39</v>
      </c>
      <c r="C670" s="5">
        <v>45924.3809837963</v>
      </c>
      <c r="D670" s="5">
        <v>45924</v>
      </c>
      <c r="E670" s="6">
        <f>IF(AND(C670&lt;&gt;"",D670&lt;&gt;""),D670-C670,"")</f>
        <v>0</v>
      </c>
      <c r="F670" s="4" t="s">
        <v>213</v>
      </c>
      <c r="G670" s="4" t="s">
        <v>214</v>
      </c>
      <c r="H670" s="4" t="s">
        <v>32</v>
      </c>
      <c r="I670" s="4" t="s">
        <v>33</v>
      </c>
      <c r="J670" s="4">
        <v>0</v>
      </c>
      <c r="K670" s="4">
        <v>1</v>
      </c>
      <c r="L670" s="4">
        <f>J670+K670</f>
        <v>0</v>
      </c>
      <c r="M670" s="4" t="s">
        <v>81</v>
      </c>
      <c r="N670" s="4"/>
      <c r="O670" s="4">
        <v>1</v>
      </c>
      <c r="P670" s="4" t="s">
        <v>135</v>
      </c>
      <c r="Q670" s="4"/>
      <c r="R670" s="7">
        <v>495000</v>
      </c>
      <c r="S670" s="7">
        <v>0</v>
      </c>
      <c r="T670" s="7">
        <f>R670-S670</f>
        <v>0</v>
      </c>
      <c r="U670" s="7">
        <f>T670*O670</f>
        <v>0</v>
      </c>
    </row>
    <row r="671" spans="1:21">
      <c r="A671" s="4" t="s">
        <v>988</v>
      </c>
      <c r="B671" s="4" t="s">
        <v>39</v>
      </c>
      <c r="C671" s="5">
        <v>45924.3809837963</v>
      </c>
      <c r="D671" s="5">
        <v>45924</v>
      </c>
      <c r="E671" s="6">
        <f>IF(AND(C671&lt;&gt;"",D671&lt;&gt;""),D671-C671,"")</f>
        <v>0</v>
      </c>
      <c r="F671" s="4" t="s">
        <v>213</v>
      </c>
      <c r="G671" s="4" t="s">
        <v>214</v>
      </c>
      <c r="H671" s="4" t="s">
        <v>32</v>
      </c>
      <c r="I671" s="4" t="s">
        <v>33</v>
      </c>
      <c r="J671" s="4">
        <v>1</v>
      </c>
      <c r="K671" s="4">
        <v>0</v>
      </c>
      <c r="L671" s="4">
        <f>J671+K671</f>
        <v>0</v>
      </c>
      <c r="M671" s="4" t="s">
        <v>80</v>
      </c>
      <c r="N671" s="4"/>
      <c r="O671" s="4">
        <v>1</v>
      </c>
      <c r="P671" s="4" t="s">
        <v>135</v>
      </c>
      <c r="Q671" s="4"/>
      <c r="R671" s="7">
        <v>610000</v>
      </c>
      <c r="S671" s="7">
        <v>0</v>
      </c>
      <c r="T671" s="7">
        <f>R671-S671</f>
        <v>0</v>
      </c>
      <c r="U671" s="7">
        <f>T671*O671</f>
        <v>0</v>
      </c>
    </row>
    <row r="672" spans="1:21">
      <c r="A672" s="4" t="s">
        <v>988</v>
      </c>
      <c r="B672" s="4" t="s">
        <v>39</v>
      </c>
      <c r="C672" s="5">
        <v>45924.3809837963</v>
      </c>
      <c r="D672" s="5">
        <v>45924</v>
      </c>
      <c r="E672" s="6">
        <f>IF(AND(C672&lt;&gt;"",D672&lt;&gt;""),D672-C672,"")</f>
        <v>0</v>
      </c>
      <c r="F672" s="4" t="s">
        <v>213</v>
      </c>
      <c r="G672" s="4" t="s">
        <v>214</v>
      </c>
      <c r="H672" s="4" t="s">
        <v>32</v>
      </c>
      <c r="I672" s="4" t="s">
        <v>33</v>
      </c>
      <c r="J672" s="4">
        <v>1</v>
      </c>
      <c r="K672" s="4">
        <v>0</v>
      </c>
      <c r="L672" s="4">
        <f>J672+K672</f>
        <v>0</v>
      </c>
      <c r="M672" s="4" t="s">
        <v>80</v>
      </c>
      <c r="N672" s="4"/>
      <c r="O672" s="4">
        <v>1</v>
      </c>
      <c r="P672" s="4" t="s">
        <v>135</v>
      </c>
      <c r="Q672" s="4"/>
      <c r="R672" s="7">
        <v>610000</v>
      </c>
      <c r="S672" s="7">
        <v>0</v>
      </c>
      <c r="T672" s="7">
        <f>R672-S672</f>
        <v>0</v>
      </c>
      <c r="U672" s="7">
        <f>T672*O672</f>
        <v>0</v>
      </c>
    </row>
    <row r="673" spans="1:21">
      <c r="A673" s="4" t="s">
        <v>989</v>
      </c>
      <c r="B673" s="4" t="s">
        <v>48</v>
      </c>
      <c r="C673" s="5">
        <v>45924.60105324074</v>
      </c>
      <c r="D673" s="5">
        <v>45961</v>
      </c>
      <c r="E673" s="6">
        <f>IF(AND(C673&lt;&gt;"",D673&lt;&gt;""),D673-C673,"")</f>
        <v>0</v>
      </c>
      <c r="F673" s="4" t="s">
        <v>990</v>
      </c>
      <c r="G673" s="4" t="s">
        <v>991</v>
      </c>
      <c r="H673" s="4" t="s">
        <v>32</v>
      </c>
      <c r="I673" s="4" t="s">
        <v>33</v>
      </c>
      <c r="J673" s="4">
        <v>3</v>
      </c>
      <c r="K673" s="4">
        <v>0</v>
      </c>
      <c r="L673" s="4">
        <f>J673+K673</f>
        <v>0</v>
      </c>
      <c r="M673" s="4"/>
      <c r="N673" s="4"/>
      <c r="O673" s="4">
        <v>0</v>
      </c>
      <c r="P673" s="4"/>
      <c r="Q673" s="4"/>
      <c r="R673" s="7">
        <v>0</v>
      </c>
      <c r="S673" s="7">
        <v>0</v>
      </c>
      <c r="T673" s="7">
        <f>R673-S673</f>
        <v>0</v>
      </c>
      <c r="U673" s="7">
        <f>T673*O673</f>
        <v>0</v>
      </c>
    </row>
    <row r="674" spans="1:21">
      <c r="A674" s="4" t="s">
        <v>992</v>
      </c>
      <c r="B674" s="4" t="s">
        <v>48</v>
      </c>
      <c r="C674" s="5">
        <v>45924.61421296297</v>
      </c>
      <c r="D674" s="5">
        <v>45961</v>
      </c>
      <c r="E674" s="6">
        <f>IF(AND(C674&lt;&gt;"",D674&lt;&gt;""),D674-C674,"")</f>
        <v>0</v>
      </c>
      <c r="F674" s="4" t="s">
        <v>993</v>
      </c>
      <c r="G674" s="4" t="s">
        <v>994</v>
      </c>
      <c r="H674" s="4" t="s">
        <v>32</v>
      </c>
      <c r="I674" s="4" t="s">
        <v>33</v>
      </c>
      <c r="J674" s="4">
        <v>4</v>
      </c>
      <c r="K674" s="4">
        <v>0</v>
      </c>
      <c r="L674" s="4">
        <f>J674+K674</f>
        <v>0</v>
      </c>
      <c r="M674" s="4"/>
      <c r="N674" s="4"/>
      <c r="O674" s="4">
        <v>0</v>
      </c>
      <c r="P674" s="4"/>
      <c r="Q674" s="4"/>
      <c r="R674" s="7">
        <v>0</v>
      </c>
      <c r="S674" s="7">
        <v>0</v>
      </c>
      <c r="T674" s="7">
        <f>R674-S674</f>
        <v>0</v>
      </c>
      <c r="U674" s="7">
        <f>T674*O674</f>
        <v>0</v>
      </c>
    </row>
    <row r="675" spans="1:21">
      <c r="A675" s="4" t="s">
        <v>995</v>
      </c>
      <c r="B675" s="4" t="s">
        <v>48</v>
      </c>
      <c r="C675" s="5">
        <v>45924.62826388889</v>
      </c>
      <c r="D675" s="5">
        <v>45961</v>
      </c>
      <c r="E675" s="6">
        <f>IF(AND(C675&lt;&gt;"",D675&lt;&gt;""),D675-C675,"")</f>
        <v>0</v>
      </c>
      <c r="F675" s="4" t="s">
        <v>990</v>
      </c>
      <c r="G675" s="4" t="s">
        <v>996</v>
      </c>
      <c r="H675" s="4" t="s">
        <v>32</v>
      </c>
      <c r="I675" s="4" t="s">
        <v>33</v>
      </c>
      <c r="J675" s="4">
        <v>4</v>
      </c>
      <c r="K675" s="4">
        <v>0</v>
      </c>
      <c r="L675" s="4">
        <f>J675+K675</f>
        <v>0</v>
      </c>
      <c r="M675" s="4"/>
      <c r="N675" s="4"/>
      <c r="O675" s="4">
        <v>0</v>
      </c>
      <c r="P675" s="4"/>
      <c r="Q675" s="4"/>
      <c r="R675" s="7">
        <v>0</v>
      </c>
      <c r="S675" s="7">
        <v>0</v>
      </c>
      <c r="T675" s="7">
        <f>R675-S675</f>
        <v>0</v>
      </c>
      <c r="U675" s="7">
        <f>T675*O675</f>
        <v>0</v>
      </c>
    </row>
    <row r="676" spans="1:21">
      <c r="A676" s="4" t="s">
        <v>997</v>
      </c>
      <c r="B676" s="4" t="s">
        <v>39</v>
      </c>
      <c r="C676" s="5">
        <v>45924.64990740741</v>
      </c>
      <c r="D676" s="5">
        <v>45924</v>
      </c>
      <c r="E676" s="6">
        <f>IF(AND(C676&lt;&gt;"",D676&lt;&gt;""),D676-C676,"")</f>
        <v>0</v>
      </c>
      <c r="F676" s="4" t="s">
        <v>396</v>
      </c>
      <c r="G676" s="4"/>
      <c r="H676" s="4" t="s">
        <v>32</v>
      </c>
      <c r="I676" s="4" t="s">
        <v>33</v>
      </c>
      <c r="J676" s="4">
        <v>1</v>
      </c>
      <c r="K676" s="4">
        <v>0</v>
      </c>
      <c r="L676" s="4">
        <f>J676+K676</f>
        <v>0</v>
      </c>
      <c r="M676" s="4" t="s">
        <v>825</v>
      </c>
      <c r="N676" s="4"/>
      <c r="O676" s="4">
        <v>1</v>
      </c>
      <c r="P676" s="4" t="s">
        <v>135</v>
      </c>
      <c r="Q676" s="4" t="s">
        <v>44</v>
      </c>
      <c r="R676" s="7">
        <v>2100000</v>
      </c>
      <c r="S676" s="7">
        <v>0</v>
      </c>
      <c r="T676" s="7">
        <f>R676-S676</f>
        <v>0</v>
      </c>
      <c r="U676" s="7">
        <f>T676*O676</f>
        <v>0</v>
      </c>
    </row>
    <row r="677" spans="1:21">
      <c r="A677" s="4" t="s">
        <v>997</v>
      </c>
      <c r="B677" s="4" t="s">
        <v>39</v>
      </c>
      <c r="C677" s="5">
        <v>45924.64990740741</v>
      </c>
      <c r="D677" s="5">
        <v>45924</v>
      </c>
      <c r="E677" s="6">
        <f>IF(AND(C677&lt;&gt;"",D677&lt;&gt;""),D677-C677,"")</f>
        <v>0</v>
      </c>
      <c r="F677" s="4" t="s">
        <v>396</v>
      </c>
      <c r="G677" s="4"/>
      <c r="H677" s="4" t="s">
        <v>32</v>
      </c>
      <c r="I677" s="4" t="s">
        <v>33</v>
      </c>
      <c r="J677" s="4">
        <v>1</v>
      </c>
      <c r="K677" s="4">
        <v>0</v>
      </c>
      <c r="L677" s="4">
        <f>J677+K677</f>
        <v>0</v>
      </c>
      <c r="M677" s="4" t="s">
        <v>998</v>
      </c>
      <c r="N677" s="4"/>
      <c r="O677" s="4">
        <v>1</v>
      </c>
      <c r="P677" s="4" t="s">
        <v>135</v>
      </c>
      <c r="Q677" s="4" t="s">
        <v>44</v>
      </c>
      <c r="R677" s="7">
        <v>2000000</v>
      </c>
      <c r="S677" s="7">
        <v>0</v>
      </c>
      <c r="T677" s="7">
        <f>R677-S677</f>
        <v>0</v>
      </c>
      <c r="U677" s="7">
        <f>T677*O677</f>
        <v>0</v>
      </c>
    </row>
    <row r="678" spans="1:21">
      <c r="A678" s="4" t="s">
        <v>999</v>
      </c>
      <c r="B678" s="4" t="s">
        <v>48</v>
      </c>
      <c r="C678" s="5">
        <v>45924.65023148148</v>
      </c>
      <c r="D678" s="5">
        <v>45961</v>
      </c>
      <c r="E678" s="6">
        <f>IF(AND(C678&lt;&gt;"",D678&lt;&gt;""),D678-C678,"")</f>
        <v>0</v>
      </c>
      <c r="F678" s="4" t="s">
        <v>64</v>
      </c>
      <c r="G678" s="4" t="s">
        <v>1000</v>
      </c>
      <c r="H678" s="4" t="s">
        <v>32</v>
      </c>
      <c r="I678" s="4" t="s">
        <v>33</v>
      </c>
      <c r="J678" s="4">
        <v>2</v>
      </c>
      <c r="K678" s="4">
        <v>0</v>
      </c>
      <c r="L678" s="4">
        <f>J678+K678</f>
        <v>0</v>
      </c>
      <c r="M678" s="4"/>
      <c r="N678" s="4"/>
      <c r="O678" s="4">
        <v>0</v>
      </c>
      <c r="P678" s="4"/>
      <c r="Q678" s="4"/>
      <c r="R678" s="7">
        <v>0</v>
      </c>
      <c r="S678" s="7">
        <v>0</v>
      </c>
      <c r="T678" s="7">
        <f>R678-S678</f>
        <v>0</v>
      </c>
      <c r="U678" s="7">
        <f>T678*O678</f>
        <v>0</v>
      </c>
    </row>
    <row r="679" spans="1:21">
      <c r="A679" s="4" t="s">
        <v>1001</v>
      </c>
      <c r="B679" s="4" t="s">
        <v>48</v>
      </c>
      <c r="C679" s="5">
        <v>45924.65357638889</v>
      </c>
      <c r="D679" s="5">
        <v>45961</v>
      </c>
      <c r="E679" s="6">
        <f>IF(AND(C679&lt;&gt;"",D679&lt;&gt;""),D679-C679,"")</f>
        <v>0</v>
      </c>
      <c r="F679" s="4" t="s">
        <v>64</v>
      </c>
      <c r="G679" s="4" t="s">
        <v>1002</v>
      </c>
      <c r="H679" s="4" t="s">
        <v>32</v>
      </c>
      <c r="I679" s="4" t="s">
        <v>33</v>
      </c>
      <c r="J679" s="4">
        <v>4</v>
      </c>
      <c r="K679" s="4">
        <v>0</v>
      </c>
      <c r="L679" s="4">
        <f>J679+K679</f>
        <v>0</v>
      </c>
      <c r="M679" s="4"/>
      <c r="N679" s="4"/>
      <c r="O679" s="4">
        <v>0</v>
      </c>
      <c r="P679" s="4"/>
      <c r="Q679" s="4"/>
      <c r="R679" s="7">
        <v>0</v>
      </c>
      <c r="S679" s="7">
        <v>0</v>
      </c>
      <c r="T679" s="7">
        <f>R679-S679</f>
        <v>0</v>
      </c>
      <c r="U679" s="7">
        <f>T679*O679</f>
        <v>0</v>
      </c>
    </row>
    <row r="680" spans="1:21">
      <c r="A680" s="4" t="s">
        <v>1003</v>
      </c>
      <c r="B680" s="4" t="s">
        <v>39</v>
      </c>
      <c r="C680" s="5">
        <v>45924.68408564815</v>
      </c>
      <c r="D680" s="5">
        <v>45924</v>
      </c>
      <c r="E680" s="6">
        <f>IF(AND(C680&lt;&gt;"",D680&lt;&gt;""),D680-C680,"")</f>
        <v>0</v>
      </c>
      <c r="F680" s="4" t="s">
        <v>130</v>
      </c>
      <c r="G680" s="4" t="s">
        <v>62</v>
      </c>
      <c r="H680" s="4" t="s">
        <v>32</v>
      </c>
      <c r="I680" s="4" t="s">
        <v>33</v>
      </c>
      <c r="J680" s="4">
        <v>0</v>
      </c>
      <c r="K680" s="4">
        <v>1</v>
      </c>
      <c r="L680" s="4">
        <f>J680+K680</f>
        <v>0</v>
      </c>
      <c r="M680" s="4" t="s">
        <v>81</v>
      </c>
      <c r="N680" s="4"/>
      <c r="O680" s="4">
        <v>1</v>
      </c>
      <c r="P680" s="4" t="s">
        <v>43</v>
      </c>
      <c r="Q680" s="4" t="s">
        <v>44</v>
      </c>
      <c r="R680" s="7">
        <v>495000</v>
      </c>
      <c r="S680" s="7">
        <v>0</v>
      </c>
      <c r="T680" s="7">
        <f>R680-S680</f>
        <v>0</v>
      </c>
      <c r="U680" s="7">
        <f>T680*O680</f>
        <v>0</v>
      </c>
    </row>
    <row r="681" spans="1:21">
      <c r="A681" s="4" t="s">
        <v>1004</v>
      </c>
      <c r="B681" s="4" t="s">
        <v>39</v>
      </c>
      <c r="C681" s="5">
        <v>45924.68542824074</v>
      </c>
      <c r="D681" s="5">
        <v>45924</v>
      </c>
      <c r="E681" s="6">
        <f>IF(AND(C681&lt;&gt;"",D681&lt;&gt;""),D681-C681,"")</f>
        <v>0</v>
      </c>
      <c r="F681" s="4" t="s">
        <v>1005</v>
      </c>
      <c r="G681" s="4" t="s">
        <v>1006</v>
      </c>
      <c r="H681" s="4" t="s">
        <v>177</v>
      </c>
      <c r="I681" s="4" t="s">
        <v>56</v>
      </c>
      <c r="J681" s="4">
        <v>1</v>
      </c>
      <c r="K681" s="4">
        <v>0</v>
      </c>
      <c r="L681" s="4">
        <f>J681+K681</f>
        <v>0</v>
      </c>
      <c r="M681" s="4" t="s">
        <v>968</v>
      </c>
      <c r="N681" s="4"/>
      <c r="O681" s="4">
        <v>1</v>
      </c>
      <c r="P681" s="4" t="s">
        <v>43</v>
      </c>
      <c r="Q681" s="4" t="s">
        <v>44</v>
      </c>
      <c r="R681" s="7">
        <v>1050000</v>
      </c>
      <c r="S681" s="7">
        <v>0</v>
      </c>
      <c r="T681" s="7">
        <f>R681-S681</f>
        <v>0</v>
      </c>
      <c r="U681" s="7">
        <f>T681*O681</f>
        <v>0</v>
      </c>
    </row>
    <row r="682" spans="1:21">
      <c r="A682" s="4" t="s">
        <v>1007</v>
      </c>
      <c r="B682" s="4" t="s">
        <v>39</v>
      </c>
      <c r="C682" s="5">
        <v>45924.68876157407</v>
      </c>
      <c r="D682" s="5">
        <v>45924</v>
      </c>
      <c r="E682" s="6">
        <f>IF(AND(C682&lt;&gt;"",D682&lt;&gt;""),D682-C682,"")</f>
        <v>0</v>
      </c>
      <c r="F682" s="4" t="s">
        <v>55</v>
      </c>
      <c r="G682" s="4"/>
      <c r="H682" s="4"/>
      <c r="I682" s="4" t="s">
        <v>56</v>
      </c>
      <c r="J682" s="4">
        <v>1</v>
      </c>
      <c r="K682" s="4">
        <v>0</v>
      </c>
      <c r="L682" s="4">
        <f>J682+K682</f>
        <v>0</v>
      </c>
      <c r="M682" s="4" t="s">
        <v>968</v>
      </c>
      <c r="N682" s="4"/>
      <c r="O682" s="4">
        <v>1</v>
      </c>
      <c r="P682" s="4" t="s">
        <v>43</v>
      </c>
      <c r="Q682" s="4" t="s">
        <v>44</v>
      </c>
      <c r="R682" s="7">
        <v>1050000</v>
      </c>
      <c r="S682" s="7">
        <v>0</v>
      </c>
      <c r="T682" s="7">
        <f>R682-S682</f>
        <v>0</v>
      </c>
      <c r="U682" s="7">
        <f>T682*O682</f>
        <v>0</v>
      </c>
    </row>
    <row r="683" spans="1:21">
      <c r="A683" s="4" t="s">
        <v>1008</v>
      </c>
      <c r="B683" s="4" t="s">
        <v>48</v>
      </c>
      <c r="C683" s="5">
        <v>45924.68913194445</v>
      </c>
      <c r="D683" s="5">
        <v>45961</v>
      </c>
      <c r="E683" s="6">
        <f>IF(AND(C683&lt;&gt;"",D683&lt;&gt;""),D683-C683,"")</f>
        <v>0</v>
      </c>
      <c r="F683" s="4" t="s">
        <v>1009</v>
      </c>
      <c r="G683" s="4" t="s">
        <v>1010</v>
      </c>
      <c r="H683" s="4" t="s">
        <v>32</v>
      </c>
      <c r="I683" s="4" t="s">
        <v>33</v>
      </c>
      <c r="J683" s="4">
        <v>2</v>
      </c>
      <c r="K683" s="4">
        <v>0</v>
      </c>
      <c r="L683" s="4">
        <f>J683+K683</f>
        <v>0</v>
      </c>
      <c r="M683" s="4"/>
      <c r="N683" s="4"/>
      <c r="O683" s="4">
        <v>0</v>
      </c>
      <c r="P683" s="4"/>
      <c r="Q683" s="4"/>
      <c r="R683" s="7">
        <v>0</v>
      </c>
      <c r="S683" s="7">
        <v>0</v>
      </c>
      <c r="T683" s="7">
        <f>R683-S683</f>
        <v>0</v>
      </c>
      <c r="U683" s="7">
        <f>T683*O683</f>
        <v>0</v>
      </c>
    </row>
    <row r="684" spans="1:21">
      <c r="A684" s="4" t="s">
        <v>1011</v>
      </c>
      <c r="B684" s="4" t="s">
        <v>39</v>
      </c>
      <c r="C684" s="5">
        <v>45924.70428240741</v>
      </c>
      <c r="D684" s="5">
        <v>45924</v>
      </c>
      <c r="E684" s="6">
        <f>IF(AND(C684&lt;&gt;"",D684&lt;&gt;""),D684-C684,"")</f>
        <v>0</v>
      </c>
      <c r="F684" s="4" t="s">
        <v>1012</v>
      </c>
      <c r="G684" s="4" t="s">
        <v>1013</v>
      </c>
      <c r="H684" s="4" t="s">
        <v>177</v>
      </c>
      <c r="I684" s="4" t="s">
        <v>56</v>
      </c>
      <c r="J684" s="4">
        <v>1</v>
      </c>
      <c r="K684" s="4">
        <v>0</v>
      </c>
      <c r="L684" s="4">
        <f>J684+K684</f>
        <v>0</v>
      </c>
      <c r="M684" s="4" t="s">
        <v>968</v>
      </c>
      <c r="N684" s="4"/>
      <c r="O684" s="4">
        <v>1</v>
      </c>
      <c r="P684" s="4" t="s">
        <v>43</v>
      </c>
      <c r="Q684" s="4" t="s">
        <v>44</v>
      </c>
      <c r="R684" s="7">
        <v>1050000</v>
      </c>
      <c r="S684" s="7">
        <v>0</v>
      </c>
      <c r="T684" s="7">
        <f>R684-S684</f>
        <v>0</v>
      </c>
      <c r="U684" s="7">
        <f>T684*O684</f>
        <v>0</v>
      </c>
    </row>
    <row r="685" spans="1:21">
      <c r="A685" s="4" t="s">
        <v>1014</v>
      </c>
      <c r="B685" s="4" t="s">
        <v>48</v>
      </c>
      <c r="C685" s="5">
        <v>45924.70662037037</v>
      </c>
      <c r="D685" s="5">
        <v>45961</v>
      </c>
      <c r="E685" s="6">
        <f>IF(AND(C685&lt;&gt;"",D685&lt;&gt;""),D685-C685,"")</f>
        <v>0</v>
      </c>
      <c r="F685" s="4" t="s">
        <v>64</v>
      </c>
      <c r="G685" s="4" t="s">
        <v>475</v>
      </c>
      <c r="H685" s="4" t="s">
        <v>32</v>
      </c>
      <c r="I685" s="4" t="s">
        <v>33</v>
      </c>
      <c r="J685" s="4">
        <v>2</v>
      </c>
      <c r="K685" s="4">
        <v>0</v>
      </c>
      <c r="L685" s="4">
        <f>J685+K685</f>
        <v>0</v>
      </c>
      <c r="M685" s="4"/>
      <c r="N685" s="4"/>
      <c r="O685" s="4">
        <v>0</v>
      </c>
      <c r="P685" s="4"/>
      <c r="Q685" s="4"/>
      <c r="R685" s="7">
        <v>0</v>
      </c>
      <c r="S685" s="7">
        <v>0</v>
      </c>
      <c r="T685" s="7">
        <f>R685-S685</f>
        <v>0</v>
      </c>
      <c r="U685" s="7">
        <f>T685*O685</f>
        <v>0</v>
      </c>
    </row>
    <row r="686" spans="1:21">
      <c r="A686" s="4" t="s">
        <v>1015</v>
      </c>
      <c r="B686" s="4" t="s">
        <v>48</v>
      </c>
      <c r="C686" s="5">
        <v>45924.71174768519</v>
      </c>
      <c r="D686" s="5">
        <v>45961</v>
      </c>
      <c r="E686" s="6">
        <f>IF(AND(C686&lt;&gt;"",D686&lt;&gt;""),D686-C686,"")</f>
        <v>0</v>
      </c>
      <c r="F686" s="4" t="s">
        <v>64</v>
      </c>
      <c r="G686" s="4" t="s">
        <v>664</v>
      </c>
      <c r="H686" s="4" t="s">
        <v>32</v>
      </c>
      <c r="I686" s="4" t="s">
        <v>33</v>
      </c>
      <c r="J686" s="4">
        <v>2</v>
      </c>
      <c r="K686" s="4">
        <v>0</v>
      </c>
      <c r="L686" s="4">
        <f>J686+K686</f>
        <v>0</v>
      </c>
      <c r="M686" s="4"/>
      <c r="N686" s="4"/>
      <c r="O686" s="4">
        <v>0</v>
      </c>
      <c r="P686" s="4"/>
      <c r="Q686" s="4"/>
      <c r="R686" s="7">
        <v>0</v>
      </c>
      <c r="S686" s="7">
        <v>0</v>
      </c>
      <c r="T686" s="7">
        <f>R686-S686</f>
        <v>0</v>
      </c>
      <c r="U686" s="7">
        <f>T686*O686</f>
        <v>0</v>
      </c>
    </row>
    <row r="687" spans="1:21">
      <c r="A687" s="4" t="s">
        <v>1016</v>
      </c>
      <c r="B687" s="4" t="s">
        <v>39</v>
      </c>
      <c r="C687" s="5">
        <v>45924.715625</v>
      </c>
      <c r="D687" s="5">
        <v>45924</v>
      </c>
      <c r="E687" s="6">
        <f>IF(AND(C687&lt;&gt;"",D687&lt;&gt;""),D687-C687,"")</f>
        <v>0</v>
      </c>
      <c r="F687" s="4" t="s">
        <v>396</v>
      </c>
      <c r="G687" s="4"/>
      <c r="H687" s="4" t="s">
        <v>32</v>
      </c>
      <c r="I687" s="4" t="s">
        <v>33</v>
      </c>
      <c r="J687" s="4">
        <v>1</v>
      </c>
      <c r="K687" s="4">
        <v>0</v>
      </c>
      <c r="L687" s="4">
        <f>J687+K687</f>
        <v>0</v>
      </c>
      <c r="M687" s="4" t="s">
        <v>968</v>
      </c>
      <c r="N687" s="4"/>
      <c r="O687" s="4">
        <v>1</v>
      </c>
      <c r="P687" s="4" t="s">
        <v>43</v>
      </c>
      <c r="Q687" s="4" t="s">
        <v>44</v>
      </c>
      <c r="R687" s="7">
        <v>1050000</v>
      </c>
      <c r="S687" s="7">
        <v>0</v>
      </c>
      <c r="T687" s="7">
        <f>R687-S687</f>
        <v>0</v>
      </c>
      <c r="U687" s="7">
        <f>T687*O687</f>
        <v>0</v>
      </c>
    </row>
    <row r="688" spans="1:21">
      <c r="A688" s="4" t="s">
        <v>1017</v>
      </c>
      <c r="B688" s="4" t="s">
        <v>39</v>
      </c>
      <c r="C688" s="5">
        <v>45924.71876157408</v>
      </c>
      <c r="D688" s="5">
        <v>45924</v>
      </c>
      <c r="E688" s="6">
        <f>IF(AND(C688&lt;&gt;"",D688&lt;&gt;""),D688-C688,"")</f>
        <v>0</v>
      </c>
      <c r="F688" s="4" t="s">
        <v>1018</v>
      </c>
      <c r="G688" s="4" t="s">
        <v>1019</v>
      </c>
      <c r="H688" s="4" t="s">
        <v>177</v>
      </c>
      <c r="I688" s="4" t="s">
        <v>56</v>
      </c>
      <c r="J688" s="4">
        <v>1</v>
      </c>
      <c r="K688" s="4">
        <v>0</v>
      </c>
      <c r="L688" s="4">
        <f>J688+K688</f>
        <v>0</v>
      </c>
      <c r="M688" s="4" t="s">
        <v>968</v>
      </c>
      <c r="N688" s="4"/>
      <c r="O688" s="4">
        <v>1</v>
      </c>
      <c r="P688" s="4" t="s">
        <v>43</v>
      </c>
      <c r="Q688" s="4" t="s">
        <v>44</v>
      </c>
      <c r="R688" s="7">
        <v>1050000</v>
      </c>
      <c r="S688" s="7">
        <v>0</v>
      </c>
      <c r="T688" s="7">
        <f>R688-S688</f>
        <v>0</v>
      </c>
      <c r="U688" s="7">
        <f>T688*O688</f>
        <v>0</v>
      </c>
    </row>
    <row r="689" spans="1:21">
      <c r="A689" s="4" t="s">
        <v>1020</v>
      </c>
      <c r="B689" s="4" t="s">
        <v>39</v>
      </c>
      <c r="C689" s="5">
        <v>45924.75225694444</v>
      </c>
      <c r="D689" s="5">
        <v>45924</v>
      </c>
      <c r="E689" s="6">
        <f>IF(AND(C689&lt;&gt;"",D689&lt;&gt;""),D689-C689,"")</f>
        <v>0</v>
      </c>
      <c r="F689" s="4" t="s">
        <v>1021</v>
      </c>
      <c r="G689" s="4" t="s">
        <v>1022</v>
      </c>
      <c r="H689" s="4" t="s">
        <v>177</v>
      </c>
      <c r="I689" s="4" t="s">
        <v>56</v>
      </c>
      <c r="J689" s="4">
        <v>1</v>
      </c>
      <c r="K689" s="4">
        <v>0</v>
      </c>
      <c r="L689" s="4">
        <f>J689+K689</f>
        <v>0</v>
      </c>
      <c r="M689" s="4" t="s">
        <v>42</v>
      </c>
      <c r="N689" s="4"/>
      <c r="O689" s="4">
        <v>1</v>
      </c>
      <c r="P689" s="4" t="s">
        <v>43</v>
      </c>
      <c r="Q689" s="4"/>
      <c r="R689" s="7">
        <v>370000</v>
      </c>
      <c r="S689" s="7">
        <v>0</v>
      </c>
      <c r="T689" s="7">
        <f>R689-S689</f>
        <v>0</v>
      </c>
      <c r="U689" s="7">
        <f>T689*O689</f>
        <v>0</v>
      </c>
    </row>
    <row r="690" spans="1:21">
      <c r="A690" s="4" t="s">
        <v>1020</v>
      </c>
      <c r="B690" s="4" t="s">
        <v>39</v>
      </c>
      <c r="C690" s="5">
        <v>45924.75225694444</v>
      </c>
      <c r="D690" s="5">
        <v>45924</v>
      </c>
      <c r="E690" s="6">
        <f>IF(AND(C690&lt;&gt;"",D690&lt;&gt;""),D690-C690,"")</f>
        <v>0</v>
      </c>
      <c r="F690" s="4" t="s">
        <v>1021</v>
      </c>
      <c r="G690" s="4" t="s">
        <v>1022</v>
      </c>
      <c r="H690" s="4" t="s">
        <v>177</v>
      </c>
      <c r="I690" s="4" t="s">
        <v>56</v>
      </c>
      <c r="J690" s="4">
        <v>0</v>
      </c>
      <c r="K690" s="4">
        <v>0</v>
      </c>
      <c r="L690" s="4">
        <f>J690+K690</f>
        <v>0</v>
      </c>
      <c r="M690" s="4" t="s">
        <v>370</v>
      </c>
      <c r="N690" s="4"/>
      <c r="O690" s="4">
        <v>1</v>
      </c>
      <c r="P690" s="4" t="s">
        <v>43</v>
      </c>
      <c r="Q690" s="4"/>
      <c r="R690" s="7">
        <v>500000</v>
      </c>
      <c r="S690" s="7">
        <v>0</v>
      </c>
      <c r="T690" s="7">
        <f>R690-S690</f>
        <v>0</v>
      </c>
      <c r="U690" s="7">
        <f>T690*O690</f>
        <v>0</v>
      </c>
    </row>
    <row r="691" spans="1:21">
      <c r="A691" s="4" t="s">
        <v>1023</v>
      </c>
      <c r="B691" s="4" t="s">
        <v>39</v>
      </c>
      <c r="C691" s="5">
        <v>45924.75789351852</v>
      </c>
      <c r="D691" s="5">
        <v>45924</v>
      </c>
      <c r="E691" s="6">
        <f>IF(AND(C691&lt;&gt;"",D691&lt;&gt;""),D691-C691,"")</f>
        <v>0</v>
      </c>
      <c r="F691" s="4" t="s">
        <v>1021</v>
      </c>
      <c r="G691" s="4" t="s">
        <v>1022</v>
      </c>
      <c r="H691" s="4" t="s">
        <v>177</v>
      </c>
      <c r="I691" s="4" t="s">
        <v>56</v>
      </c>
      <c r="J691" s="4">
        <v>0</v>
      </c>
      <c r="K691" s="4">
        <v>0</v>
      </c>
      <c r="L691" s="4">
        <f>J691+K691</f>
        <v>0</v>
      </c>
      <c r="M691" s="4" t="s">
        <v>370</v>
      </c>
      <c r="N691" s="4"/>
      <c r="O691" s="4">
        <v>1</v>
      </c>
      <c r="P691" s="4" t="s">
        <v>135</v>
      </c>
      <c r="Q691" s="4"/>
      <c r="R691" s="7">
        <v>500000</v>
      </c>
      <c r="S691" s="7">
        <v>0</v>
      </c>
      <c r="T691" s="7">
        <f>R691-S691</f>
        <v>0</v>
      </c>
      <c r="U691" s="7">
        <f>T691*O691</f>
        <v>0</v>
      </c>
    </row>
    <row r="692" spans="1:21">
      <c r="A692" s="4" t="s">
        <v>1023</v>
      </c>
      <c r="B692" s="4" t="s">
        <v>39</v>
      </c>
      <c r="C692" s="5">
        <v>45924.75789351852</v>
      </c>
      <c r="D692" s="5">
        <v>45924</v>
      </c>
      <c r="E692" s="6">
        <f>IF(AND(C692&lt;&gt;"",D692&lt;&gt;""),D692-C692,"")</f>
        <v>0</v>
      </c>
      <c r="F692" s="4" t="s">
        <v>1021</v>
      </c>
      <c r="G692" s="4" t="s">
        <v>1022</v>
      </c>
      <c r="H692" s="4" t="s">
        <v>177</v>
      </c>
      <c r="I692" s="4" t="s">
        <v>56</v>
      </c>
      <c r="J692" s="4">
        <v>1</v>
      </c>
      <c r="K692" s="4">
        <v>0</v>
      </c>
      <c r="L692" s="4">
        <f>J692+K692</f>
        <v>0</v>
      </c>
      <c r="M692" s="4" t="s">
        <v>42</v>
      </c>
      <c r="N692" s="4"/>
      <c r="O692" s="4">
        <v>1</v>
      </c>
      <c r="P692" s="4" t="s">
        <v>135</v>
      </c>
      <c r="Q692" s="4"/>
      <c r="R692" s="7">
        <v>370000</v>
      </c>
      <c r="S692" s="7">
        <v>0</v>
      </c>
      <c r="T692" s="7">
        <f>R692-S692</f>
        <v>0</v>
      </c>
      <c r="U692" s="7">
        <f>T692*O692</f>
        <v>0</v>
      </c>
    </row>
    <row r="693" spans="1:21">
      <c r="A693" s="4" t="s">
        <v>1024</v>
      </c>
      <c r="B693" s="4" t="s">
        <v>39</v>
      </c>
      <c r="C693" s="5">
        <v>45924.75934027778</v>
      </c>
      <c r="D693" s="5">
        <v>45924</v>
      </c>
      <c r="E693" s="6">
        <f>IF(AND(C693&lt;&gt;"",D693&lt;&gt;""),D693-C693,"")</f>
        <v>0</v>
      </c>
      <c r="F693" s="4" t="s">
        <v>1021</v>
      </c>
      <c r="G693" s="4" t="s">
        <v>1022</v>
      </c>
      <c r="H693" s="4" t="s">
        <v>177</v>
      </c>
      <c r="I693" s="4" t="s">
        <v>56</v>
      </c>
      <c r="J693" s="4">
        <v>1</v>
      </c>
      <c r="K693" s="4">
        <v>0</v>
      </c>
      <c r="L693" s="4">
        <f>J693+K693</f>
        <v>0</v>
      </c>
      <c r="M693" s="4" t="s">
        <v>42</v>
      </c>
      <c r="N693" s="4"/>
      <c r="O693" s="4">
        <v>1</v>
      </c>
      <c r="P693" s="4" t="s">
        <v>135</v>
      </c>
      <c r="Q693" s="4"/>
      <c r="R693" s="7">
        <v>370000</v>
      </c>
      <c r="S693" s="7">
        <v>0</v>
      </c>
      <c r="T693" s="7">
        <f>R693-S693</f>
        <v>0</v>
      </c>
      <c r="U693" s="7">
        <f>T693*O693</f>
        <v>0</v>
      </c>
    </row>
    <row r="694" spans="1:21">
      <c r="A694" s="4" t="s">
        <v>1024</v>
      </c>
      <c r="B694" s="4" t="s">
        <v>39</v>
      </c>
      <c r="C694" s="5">
        <v>45924.75934027778</v>
      </c>
      <c r="D694" s="5">
        <v>45924</v>
      </c>
      <c r="E694" s="6">
        <f>IF(AND(C694&lt;&gt;"",D694&lt;&gt;""),D694-C694,"")</f>
        <v>0</v>
      </c>
      <c r="F694" s="4" t="s">
        <v>1021</v>
      </c>
      <c r="G694" s="4" t="s">
        <v>1022</v>
      </c>
      <c r="H694" s="4" t="s">
        <v>177</v>
      </c>
      <c r="I694" s="4" t="s">
        <v>56</v>
      </c>
      <c r="J694" s="4">
        <v>0</v>
      </c>
      <c r="K694" s="4">
        <v>0</v>
      </c>
      <c r="L694" s="4">
        <f>J694+K694</f>
        <v>0</v>
      </c>
      <c r="M694" s="4" t="s">
        <v>370</v>
      </c>
      <c r="N694" s="4"/>
      <c r="O694" s="4">
        <v>1</v>
      </c>
      <c r="P694" s="4" t="s">
        <v>135</v>
      </c>
      <c r="Q694" s="4"/>
      <c r="R694" s="7">
        <v>2500000</v>
      </c>
      <c r="S694" s="7">
        <v>0</v>
      </c>
      <c r="T694" s="7">
        <f>R694-S694</f>
        <v>0</v>
      </c>
      <c r="U694" s="7">
        <f>T694*O694</f>
        <v>0</v>
      </c>
    </row>
    <row r="695" spans="1:21">
      <c r="A695" s="4" t="s">
        <v>1025</v>
      </c>
      <c r="B695" s="4" t="s">
        <v>29</v>
      </c>
      <c r="C695" s="5">
        <v>45925.11917824074</v>
      </c>
      <c r="D695" s="5">
        <v>45961</v>
      </c>
      <c r="E695" s="6">
        <f>IF(AND(C695&lt;&gt;"",D695&lt;&gt;""),D695-C695,"")</f>
        <v>0</v>
      </c>
      <c r="F695" s="4" t="s">
        <v>162</v>
      </c>
      <c r="G695" s="4" t="s">
        <v>202</v>
      </c>
      <c r="H695" s="4" t="s">
        <v>32</v>
      </c>
      <c r="I695" s="4" t="s">
        <v>33</v>
      </c>
      <c r="J695" s="4">
        <v>2</v>
      </c>
      <c r="K695" s="4">
        <v>2</v>
      </c>
      <c r="L695" s="4">
        <f>J695+K695</f>
        <v>0</v>
      </c>
      <c r="M695" s="4"/>
      <c r="N695" s="4"/>
      <c r="O695" s="4">
        <v>0</v>
      </c>
      <c r="P695" s="4"/>
      <c r="Q695" s="4"/>
      <c r="R695" s="7">
        <v>0</v>
      </c>
      <c r="S695" s="7">
        <v>0</v>
      </c>
      <c r="T695" s="7">
        <f>R695-S695</f>
        <v>0</v>
      </c>
      <c r="U695" s="7">
        <f>T695*O695</f>
        <v>0</v>
      </c>
    </row>
    <row r="696" spans="1:21">
      <c r="A696" s="4" t="s">
        <v>1026</v>
      </c>
      <c r="B696" s="4" t="s">
        <v>122</v>
      </c>
      <c r="C696" s="5">
        <v>45925.22645833333</v>
      </c>
      <c r="D696" s="5">
        <v>45961</v>
      </c>
      <c r="E696" s="6">
        <f>IF(AND(C696&lt;&gt;"",D696&lt;&gt;""),D696-C696,"")</f>
        <v>0</v>
      </c>
      <c r="F696" s="4" t="s">
        <v>130</v>
      </c>
      <c r="G696" s="4" t="s">
        <v>62</v>
      </c>
      <c r="H696" s="4" t="s">
        <v>32</v>
      </c>
      <c r="I696" s="4" t="s">
        <v>33</v>
      </c>
      <c r="J696" s="4">
        <v>2</v>
      </c>
      <c r="K696" s="4">
        <v>0</v>
      </c>
      <c r="L696" s="4">
        <f>J696+K696</f>
        <v>0</v>
      </c>
      <c r="M696" s="4"/>
      <c r="N696" s="4"/>
      <c r="O696" s="4">
        <v>0</v>
      </c>
      <c r="P696" s="4"/>
      <c r="Q696" s="4"/>
      <c r="R696" s="7">
        <v>0</v>
      </c>
      <c r="S696" s="7">
        <v>0</v>
      </c>
      <c r="T696" s="7">
        <f>R696-S696</f>
        <v>0</v>
      </c>
      <c r="U696" s="7">
        <f>T696*O696</f>
        <v>0</v>
      </c>
    </row>
    <row r="697" spans="1:21">
      <c r="A697" s="4" t="s">
        <v>1027</v>
      </c>
      <c r="B697" s="4" t="s">
        <v>48</v>
      </c>
      <c r="C697" s="5">
        <v>45925.24402777778</v>
      </c>
      <c r="D697" s="5">
        <v>45961</v>
      </c>
      <c r="E697" s="6">
        <f>IF(AND(C697&lt;&gt;"",D697&lt;&gt;""),D697-C697,"")</f>
        <v>0</v>
      </c>
      <c r="F697" s="4" t="s">
        <v>64</v>
      </c>
      <c r="G697" s="4" t="s">
        <v>1028</v>
      </c>
      <c r="H697" s="4" t="s">
        <v>32</v>
      </c>
      <c r="I697" s="4" t="s">
        <v>33</v>
      </c>
      <c r="J697" s="4">
        <v>2</v>
      </c>
      <c r="K697" s="4">
        <v>0</v>
      </c>
      <c r="L697" s="4">
        <f>J697+K697</f>
        <v>0</v>
      </c>
      <c r="M697" s="4"/>
      <c r="N697" s="4"/>
      <c r="O697" s="4">
        <v>0</v>
      </c>
      <c r="P697" s="4"/>
      <c r="Q697" s="4"/>
      <c r="R697" s="7">
        <v>0</v>
      </c>
      <c r="S697" s="7">
        <v>0</v>
      </c>
      <c r="T697" s="7">
        <f>R697-S697</f>
        <v>0</v>
      </c>
      <c r="U697" s="7">
        <f>T697*O697</f>
        <v>0</v>
      </c>
    </row>
    <row r="698" spans="1:21">
      <c r="A698" s="4" t="s">
        <v>1029</v>
      </c>
      <c r="B698" s="4" t="s">
        <v>48</v>
      </c>
      <c r="C698" s="5">
        <v>45925.25525462963</v>
      </c>
      <c r="D698" s="5">
        <v>45961</v>
      </c>
      <c r="E698" s="6">
        <f>IF(AND(C698&lt;&gt;"",D698&lt;&gt;""),D698-C698,"")</f>
        <v>0</v>
      </c>
      <c r="F698" s="4" t="s">
        <v>64</v>
      </c>
      <c r="G698" s="4" t="s">
        <v>1030</v>
      </c>
      <c r="H698" s="4" t="s">
        <v>32</v>
      </c>
      <c r="I698" s="4" t="s">
        <v>33</v>
      </c>
      <c r="J698" s="4">
        <v>2</v>
      </c>
      <c r="K698" s="4">
        <v>0</v>
      </c>
      <c r="L698" s="4">
        <f>J698+K698</f>
        <v>0</v>
      </c>
      <c r="M698" s="4"/>
      <c r="N698" s="4"/>
      <c r="O698" s="4">
        <v>0</v>
      </c>
      <c r="P698" s="4"/>
      <c r="Q698" s="4"/>
      <c r="R698" s="7">
        <v>0</v>
      </c>
      <c r="S698" s="7">
        <v>0</v>
      </c>
      <c r="T698" s="7">
        <f>R698-S698</f>
        <v>0</v>
      </c>
      <c r="U698" s="7">
        <f>T698*O698</f>
        <v>0</v>
      </c>
    </row>
    <row r="699" spans="1:21">
      <c r="A699" s="4" t="s">
        <v>1031</v>
      </c>
      <c r="B699" s="4" t="s">
        <v>48</v>
      </c>
      <c r="C699" s="5">
        <v>45925.25983796296</v>
      </c>
      <c r="D699" s="5">
        <v>45961</v>
      </c>
      <c r="E699" s="6">
        <f>IF(AND(C699&lt;&gt;"",D699&lt;&gt;""),D699-C699,"")</f>
        <v>0</v>
      </c>
      <c r="F699" s="4" t="s">
        <v>64</v>
      </c>
      <c r="G699" s="4" t="s">
        <v>1032</v>
      </c>
      <c r="H699" s="4" t="s">
        <v>32</v>
      </c>
      <c r="I699" s="4" t="s">
        <v>33</v>
      </c>
      <c r="J699" s="4">
        <v>8</v>
      </c>
      <c r="K699" s="4">
        <v>0</v>
      </c>
      <c r="L699" s="4">
        <f>J699+K699</f>
        <v>0</v>
      </c>
      <c r="M699" s="4"/>
      <c r="N699" s="4"/>
      <c r="O699" s="4">
        <v>0</v>
      </c>
      <c r="P699" s="4"/>
      <c r="Q699" s="4"/>
      <c r="R699" s="7">
        <v>0</v>
      </c>
      <c r="S699" s="7">
        <v>0</v>
      </c>
      <c r="T699" s="7">
        <f>R699-S699</f>
        <v>0</v>
      </c>
      <c r="U699" s="7">
        <f>T699*O699</f>
        <v>0</v>
      </c>
    </row>
    <row r="700" spans="1:21">
      <c r="A700" s="4" t="s">
        <v>1033</v>
      </c>
      <c r="B700" s="4" t="s">
        <v>48</v>
      </c>
      <c r="C700" s="5">
        <v>45925.26329861111</v>
      </c>
      <c r="D700" s="5">
        <v>45961</v>
      </c>
      <c r="E700" s="6">
        <f>IF(AND(C700&lt;&gt;"",D700&lt;&gt;""),D700-C700,"")</f>
        <v>0</v>
      </c>
      <c r="F700" s="4" t="s">
        <v>372</v>
      </c>
      <c r="G700" s="4" t="s">
        <v>373</v>
      </c>
      <c r="H700" s="4" t="s">
        <v>32</v>
      </c>
      <c r="I700" s="4" t="s">
        <v>33</v>
      </c>
      <c r="J700" s="4">
        <v>9</v>
      </c>
      <c r="K700" s="4">
        <v>0</v>
      </c>
      <c r="L700" s="4">
        <f>J700+K700</f>
        <v>0</v>
      </c>
      <c r="M700" s="4"/>
      <c r="N700" s="4"/>
      <c r="O700" s="4">
        <v>0</v>
      </c>
      <c r="P700" s="4"/>
      <c r="Q700" s="4"/>
      <c r="R700" s="7">
        <v>0</v>
      </c>
      <c r="S700" s="7">
        <v>0</v>
      </c>
      <c r="T700" s="7">
        <f>R700-S700</f>
        <v>0</v>
      </c>
      <c r="U700" s="7">
        <f>T700*O700</f>
        <v>0</v>
      </c>
    </row>
    <row r="701" spans="1:21">
      <c r="A701" s="4" t="s">
        <v>1034</v>
      </c>
      <c r="B701" s="4" t="s">
        <v>48</v>
      </c>
      <c r="C701" s="5">
        <v>45925.26422453704</v>
      </c>
      <c r="D701" s="5">
        <v>45961</v>
      </c>
      <c r="E701" s="6">
        <f>IF(AND(C701&lt;&gt;"",D701&lt;&gt;""),D701-C701,"")</f>
        <v>0</v>
      </c>
      <c r="F701" s="4" t="s">
        <v>64</v>
      </c>
      <c r="G701" s="4" t="s">
        <v>1035</v>
      </c>
      <c r="H701" s="4" t="s">
        <v>32</v>
      </c>
      <c r="I701" s="4" t="s">
        <v>33</v>
      </c>
      <c r="J701" s="4">
        <v>2</v>
      </c>
      <c r="K701" s="4">
        <v>1</v>
      </c>
      <c r="L701" s="4">
        <f>J701+K701</f>
        <v>0</v>
      </c>
      <c r="M701" s="4"/>
      <c r="N701" s="4"/>
      <c r="O701" s="4">
        <v>0</v>
      </c>
      <c r="P701" s="4"/>
      <c r="Q701" s="4"/>
      <c r="R701" s="7">
        <v>0</v>
      </c>
      <c r="S701" s="7">
        <v>0</v>
      </c>
      <c r="T701" s="7">
        <f>R701-S701</f>
        <v>0</v>
      </c>
      <c r="U701" s="7">
        <f>T701*O701</f>
        <v>0</v>
      </c>
    </row>
    <row r="702" spans="1:21">
      <c r="A702" s="4" t="s">
        <v>1036</v>
      </c>
      <c r="B702" s="4" t="s">
        <v>122</v>
      </c>
      <c r="C702" s="5">
        <v>45925.27278935185</v>
      </c>
      <c r="D702" s="5">
        <v>45961</v>
      </c>
      <c r="E702" s="6">
        <f>IF(AND(C702&lt;&gt;"",D702&lt;&gt;""),D702-C702,"")</f>
        <v>0</v>
      </c>
      <c r="F702" s="4" t="s">
        <v>130</v>
      </c>
      <c r="G702" s="4" t="s">
        <v>62</v>
      </c>
      <c r="H702" s="4" t="s">
        <v>32</v>
      </c>
      <c r="I702" s="4" t="s">
        <v>33</v>
      </c>
      <c r="J702" s="4">
        <v>2</v>
      </c>
      <c r="K702" s="4">
        <v>0</v>
      </c>
      <c r="L702" s="4">
        <f>J702+K702</f>
        <v>0</v>
      </c>
      <c r="M702" s="4"/>
      <c r="N702" s="4"/>
      <c r="O702" s="4">
        <v>0</v>
      </c>
      <c r="P702" s="4"/>
      <c r="Q702" s="4"/>
      <c r="R702" s="7">
        <v>0</v>
      </c>
      <c r="S702" s="7">
        <v>0</v>
      </c>
      <c r="T702" s="7">
        <f>R702-S702</f>
        <v>0</v>
      </c>
      <c r="U702" s="7">
        <f>T702*O702</f>
        <v>0</v>
      </c>
    </row>
    <row r="703" spans="1:21">
      <c r="A703" s="4" t="s">
        <v>1037</v>
      </c>
      <c r="B703" s="4" t="s">
        <v>122</v>
      </c>
      <c r="C703" s="5">
        <v>45925.29486111111</v>
      </c>
      <c r="D703" s="5">
        <v>45961</v>
      </c>
      <c r="E703" s="6">
        <f>IF(AND(C703&lt;&gt;"",D703&lt;&gt;""),D703-C703,"")</f>
        <v>0</v>
      </c>
      <c r="F703" s="4" t="s">
        <v>130</v>
      </c>
      <c r="G703" s="4" t="s">
        <v>62</v>
      </c>
      <c r="H703" s="4" t="s">
        <v>32</v>
      </c>
      <c r="I703" s="4" t="s">
        <v>33</v>
      </c>
      <c r="J703" s="4">
        <v>2</v>
      </c>
      <c r="K703" s="4">
        <v>0</v>
      </c>
      <c r="L703" s="4">
        <f>J703+K703</f>
        <v>0</v>
      </c>
      <c r="M703" s="4"/>
      <c r="N703" s="4"/>
      <c r="O703" s="4">
        <v>0</v>
      </c>
      <c r="P703" s="4"/>
      <c r="Q703" s="4"/>
      <c r="R703" s="7">
        <v>0</v>
      </c>
      <c r="S703" s="7">
        <v>0</v>
      </c>
      <c r="T703" s="7">
        <f>R703-S703</f>
        <v>0</v>
      </c>
      <c r="U703" s="7">
        <f>T703*O703</f>
        <v>0</v>
      </c>
    </row>
    <row r="704" spans="1:21">
      <c r="A704" s="4" t="s">
        <v>1038</v>
      </c>
      <c r="B704" s="4"/>
      <c r="C704" s="5">
        <v>45925.29537037037</v>
      </c>
      <c r="D704" s="5">
        <v>45961</v>
      </c>
      <c r="E704" s="6">
        <f>IF(AND(C704&lt;&gt;"",D704&lt;&gt;""),D704-C704,"")</f>
        <v>0</v>
      </c>
      <c r="F704" s="4" t="s">
        <v>866</v>
      </c>
      <c r="G704" s="4"/>
      <c r="H704" s="4"/>
      <c r="I704" s="4" t="s">
        <v>56</v>
      </c>
      <c r="J704" s="4">
        <v>20</v>
      </c>
      <c r="K704" s="4">
        <v>0</v>
      </c>
      <c r="L704" s="4">
        <f>J704+K704</f>
        <v>0</v>
      </c>
      <c r="M704" s="4"/>
      <c r="N704" s="4"/>
      <c r="O704" s="4">
        <v>0</v>
      </c>
      <c r="P704" s="4"/>
      <c r="Q704" s="4"/>
      <c r="R704" s="7">
        <v>0</v>
      </c>
      <c r="S704" s="7">
        <v>0</v>
      </c>
      <c r="T704" s="7">
        <f>R704-S704</f>
        <v>0</v>
      </c>
      <c r="U704" s="7">
        <f>T704*O704</f>
        <v>0</v>
      </c>
    </row>
    <row r="705" spans="1:21">
      <c r="A705" s="4" t="s">
        <v>1039</v>
      </c>
      <c r="B705" s="4" t="s">
        <v>39</v>
      </c>
      <c r="C705" s="5">
        <v>45925.30760416666</v>
      </c>
      <c r="D705" s="5">
        <v>45925</v>
      </c>
      <c r="E705" s="6">
        <f>IF(AND(C705&lt;&gt;"",D705&lt;&gt;""),D705-C705,"")</f>
        <v>0</v>
      </c>
      <c r="F705" s="4" t="s">
        <v>1040</v>
      </c>
      <c r="G705" s="4" t="s">
        <v>1041</v>
      </c>
      <c r="H705" s="4" t="s">
        <v>32</v>
      </c>
      <c r="I705" s="4" t="s">
        <v>33</v>
      </c>
      <c r="J705" s="4">
        <v>0</v>
      </c>
      <c r="K705" s="4">
        <v>0</v>
      </c>
      <c r="L705" s="4">
        <f>J705+K705</f>
        <v>0</v>
      </c>
      <c r="M705" s="4" t="s">
        <v>884</v>
      </c>
      <c r="N705" s="4"/>
      <c r="O705" s="4">
        <v>1</v>
      </c>
      <c r="P705" s="4" t="s">
        <v>135</v>
      </c>
      <c r="Q705" s="4" t="s">
        <v>44</v>
      </c>
      <c r="R705" s="7">
        <v>625000</v>
      </c>
      <c r="S705" s="7">
        <v>0</v>
      </c>
      <c r="T705" s="7">
        <f>R705-S705</f>
        <v>0</v>
      </c>
      <c r="U705" s="7">
        <f>T705*O705</f>
        <v>0</v>
      </c>
    </row>
    <row r="706" spans="1:21">
      <c r="A706" s="4" t="s">
        <v>1039</v>
      </c>
      <c r="B706" s="4" t="s">
        <v>39</v>
      </c>
      <c r="C706" s="5">
        <v>45925.30760416666</v>
      </c>
      <c r="D706" s="5">
        <v>45925</v>
      </c>
      <c r="E706" s="6">
        <f>IF(AND(C706&lt;&gt;"",D706&lt;&gt;""),D706-C706,"")</f>
        <v>0</v>
      </c>
      <c r="F706" s="4" t="s">
        <v>1040</v>
      </c>
      <c r="G706" s="4" t="s">
        <v>1041</v>
      </c>
      <c r="H706" s="4" t="s">
        <v>32</v>
      </c>
      <c r="I706" s="4" t="s">
        <v>33</v>
      </c>
      <c r="J706" s="4">
        <v>0</v>
      </c>
      <c r="K706" s="4">
        <v>1</v>
      </c>
      <c r="L706" s="4">
        <f>J706+K706</f>
        <v>0</v>
      </c>
      <c r="M706" s="4" t="s">
        <v>46</v>
      </c>
      <c r="N706" s="4"/>
      <c r="O706" s="4">
        <v>1</v>
      </c>
      <c r="P706" s="4" t="s">
        <v>135</v>
      </c>
      <c r="Q706" s="4" t="s">
        <v>44</v>
      </c>
      <c r="R706" s="7">
        <v>325000</v>
      </c>
      <c r="S706" s="7">
        <v>0</v>
      </c>
      <c r="T706" s="7">
        <f>R706-S706</f>
        <v>0</v>
      </c>
      <c r="U706" s="7">
        <f>T706*O706</f>
        <v>0</v>
      </c>
    </row>
    <row r="707" spans="1:21">
      <c r="A707" s="4" t="s">
        <v>1039</v>
      </c>
      <c r="B707" s="4" t="s">
        <v>39</v>
      </c>
      <c r="C707" s="5">
        <v>45925.30760416666</v>
      </c>
      <c r="D707" s="5">
        <v>45925</v>
      </c>
      <c r="E707" s="6">
        <f>IF(AND(C707&lt;&gt;"",D707&lt;&gt;""),D707-C707,"")</f>
        <v>0</v>
      </c>
      <c r="F707" s="4" t="s">
        <v>1040</v>
      </c>
      <c r="G707" s="4" t="s">
        <v>1041</v>
      </c>
      <c r="H707" s="4" t="s">
        <v>32</v>
      </c>
      <c r="I707" s="4" t="s">
        <v>33</v>
      </c>
      <c r="J707" s="4">
        <v>1</v>
      </c>
      <c r="K707" s="4">
        <v>0</v>
      </c>
      <c r="L707" s="4">
        <f>J707+K707</f>
        <v>0</v>
      </c>
      <c r="M707" s="4" t="s">
        <v>80</v>
      </c>
      <c r="N707" s="4"/>
      <c r="O707" s="4">
        <v>1</v>
      </c>
      <c r="P707" s="4" t="s">
        <v>135</v>
      </c>
      <c r="Q707" s="4" t="s">
        <v>44</v>
      </c>
      <c r="R707" s="7">
        <v>610000</v>
      </c>
      <c r="S707" s="7">
        <v>0</v>
      </c>
      <c r="T707" s="7">
        <f>R707-S707</f>
        <v>0</v>
      </c>
      <c r="U707" s="7">
        <f>T707*O707</f>
        <v>0</v>
      </c>
    </row>
    <row r="708" spans="1:21">
      <c r="A708" s="4" t="s">
        <v>1042</v>
      </c>
      <c r="B708" s="4" t="s">
        <v>122</v>
      </c>
      <c r="C708" s="5">
        <v>45925.31902777778</v>
      </c>
      <c r="D708" s="5">
        <v>45961</v>
      </c>
      <c r="E708" s="6">
        <f>IF(AND(C708&lt;&gt;"",D708&lt;&gt;""),D708-C708,"")</f>
        <v>0</v>
      </c>
      <c r="F708" s="4" t="s">
        <v>1043</v>
      </c>
      <c r="G708" s="4" t="s">
        <v>1044</v>
      </c>
      <c r="H708" s="4" t="s">
        <v>32</v>
      </c>
      <c r="I708" s="4" t="s">
        <v>33</v>
      </c>
      <c r="J708" s="4">
        <v>11</v>
      </c>
      <c r="K708" s="4">
        <v>0</v>
      </c>
      <c r="L708" s="4">
        <f>J708+K708</f>
        <v>0</v>
      </c>
      <c r="M708" s="4"/>
      <c r="N708" s="4"/>
      <c r="O708" s="4">
        <v>0</v>
      </c>
      <c r="P708" s="4"/>
      <c r="Q708" s="4"/>
      <c r="R708" s="7">
        <v>0</v>
      </c>
      <c r="S708" s="7">
        <v>0</v>
      </c>
      <c r="T708" s="7">
        <f>R708-S708</f>
        <v>0</v>
      </c>
      <c r="U708" s="7">
        <f>T708*O708</f>
        <v>0</v>
      </c>
    </row>
    <row r="709" spans="1:21">
      <c r="A709" s="4" t="s">
        <v>1045</v>
      </c>
      <c r="B709" s="4"/>
      <c r="C709" s="5">
        <v>45925.31916666667</v>
      </c>
      <c r="D709" s="5">
        <v>45961</v>
      </c>
      <c r="E709" s="6">
        <f>IF(AND(C709&lt;&gt;"",D709&lt;&gt;""),D709-C709,"")</f>
        <v>0</v>
      </c>
      <c r="F709" s="4" t="s">
        <v>1046</v>
      </c>
      <c r="G709" s="4"/>
      <c r="H709" s="4" t="s">
        <v>32</v>
      </c>
      <c r="I709" s="4" t="s">
        <v>33</v>
      </c>
      <c r="J709" s="4">
        <v>11</v>
      </c>
      <c r="K709" s="4">
        <v>0</v>
      </c>
      <c r="L709" s="4">
        <f>J709+K709</f>
        <v>0</v>
      </c>
      <c r="M709" s="4"/>
      <c r="N709" s="4"/>
      <c r="O709" s="4">
        <v>0</v>
      </c>
      <c r="P709" s="4"/>
      <c r="Q709" s="4"/>
      <c r="R709" s="7">
        <v>0</v>
      </c>
      <c r="S709" s="7">
        <v>0</v>
      </c>
      <c r="T709" s="7">
        <f>R709-S709</f>
        <v>0</v>
      </c>
      <c r="U709" s="7">
        <f>T709*O709</f>
        <v>0</v>
      </c>
    </row>
    <row r="710" spans="1:21">
      <c r="A710" s="4" t="s">
        <v>1047</v>
      </c>
      <c r="B710" s="4" t="s">
        <v>122</v>
      </c>
      <c r="C710" s="5">
        <v>45925.33300925926</v>
      </c>
      <c r="D710" s="5">
        <v>45961</v>
      </c>
      <c r="E710" s="6">
        <f>IF(AND(C710&lt;&gt;"",D710&lt;&gt;""),D710-C710,"")</f>
        <v>0</v>
      </c>
      <c r="F710" s="4" t="s">
        <v>1048</v>
      </c>
      <c r="G710" s="4"/>
      <c r="H710" s="4"/>
      <c r="I710" s="4" t="s">
        <v>56</v>
      </c>
      <c r="J710" s="4">
        <v>2</v>
      </c>
      <c r="K710" s="4">
        <v>1</v>
      </c>
      <c r="L710" s="4">
        <f>J710+K710</f>
        <v>0</v>
      </c>
      <c r="M710" s="4"/>
      <c r="N710" s="4"/>
      <c r="O710" s="4">
        <v>0</v>
      </c>
      <c r="P710" s="4"/>
      <c r="Q710" s="4"/>
      <c r="R710" s="7">
        <v>0</v>
      </c>
      <c r="S710" s="7">
        <v>0</v>
      </c>
      <c r="T710" s="7">
        <f>R710-S710</f>
        <v>0</v>
      </c>
      <c r="U710" s="7">
        <f>T710*O710</f>
        <v>0</v>
      </c>
    </row>
    <row r="711" spans="1:21">
      <c r="A711" s="4" t="s">
        <v>1047</v>
      </c>
      <c r="B711" s="4" t="s">
        <v>122</v>
      </c>
      <c r="C711" s="5">
        <v>45925.33304398148</v>
      </c>
      <c r="D711" s="5">
        <v>45961</v>
      </c>
      <c r="E711" s="6">
        <f>IF(AND(C711&lt;&gt;"",D711&lt;&gt;""),D711-C711,"")</f>
        <v>0</v>
      </c>
      <c r="F711" s="4" t="s">
        <v>1049</v>
      </c>
      <c r="G711" s="4"/>
      <c r="H711" s="4"/>
      <c r="I711" s="4" t="s">
        <v>56</v>
      </c>
      <c r="J711" s="4">
        <v>2</v>
      </c>
      <c r="K711" s="4">
        <v>1</v>
      </c>
      <c r="L711" s="4">
        <f>J711+K711</f>
        <v>0</v>
      </c>
      <c r="M711" s="4"/>
      <c r="N711" s="4"/>
      <c r="O711" s="4">
        <v>0</v>
      </c>
      <c r="P711" s="4"/>
      <c r="Q711" s="4"/>
      <c r="R711" s="7">
        <v>0</v>
      </c>
      <c r="S711" s="7">
        <v>0</v>
      </c>
      <c r="T711" s="7">
        <f>R711-S711</f>
        <v>0</v>
      </c>
      <c r="U711" s="7">
        <f>T711*O711</f>
        <v>0</v>
      </c>
    </row>
    <row r="712" spans="1:21">
      <c r="A712" s="4" t="s">
        <v>1050</v>
      </c>
      <c r="B712" s="4" t="s">
        <v>122</v>
      </c>
      <c r="C712" s="5">
        <v>45925.3330787037</v>
      </c>
      <c r="D712" s="5">
        <v>45961</v>
      </c>
      <c r="E712" s="6">
        <f>IF(AND(C712&lt;&gt;"",D712&lt;&gt;""),D712-C712,"")</f>
        <v>0</v>
      </c>
      <c r="F712" s="4" t="s">
        <v>1051</v>
      </c>
      <c r="G712" s="4"/>
      <c r="H712" s="4"/>
      <c r="I712" s="4" t="s">
        <v>56</v>
      </c>
      <c r="J712" s="4">
        <v>2</v>
      </c>
      <c r="K712" s="4">
        <v>0</v>
      </c>
      <c r="L712" s="4">
        <f>J712+K712</f>
        <v>0</v>
      </c>
      <c r="M712" s="4"/>
      <c r="N712" s="4"/>
      <c r="O712" s="4">
        <v>0</v>
      </c>
      <c r="P712" s="4"/>
      <c r="Q712" s="4"/>
      <c r="R712" s="7">
        <v>0</v>
      </c>
      <c r="S712" s="7">
        <v>0</v>
      </c>
      <c r="T712" s="7">
        <f>R712-S712</f>
        <v>0</v>
      </c>
      <c r="U712" s="7">
        <f>T712*O712</f>
        <v>0</v>
      </c>
    </row>
    <row r="713" spans="1:21">
      <c r="A713" s="4" t="s">
        <v>1052</v>
      </c>
      <c r="B713" s="4" t="s">
        <v>122</v>
      </c>
      <c r="C713" s="5">
        <v>45925.34039351852</v>
      </c>
      <c r="D713" s="5">
        <v>45961</v>
      </c>
      <c r="E713" s="6">
        <f>IF(AND(C713&lt;&gt;"",D713&lt;&gt;""),D713-C713,"")</f>
        <v>0</v>
      </c>
      <c r="F713" s="4" t="s">
        <v>1049</v>
      </c>
      <c r="G713" s="4"/>
      <c r="H713" s="4"/>
      <c r="I713" s="4" t="s">
        <v>56</v>
      </c>
      <c r="J713" s="4">
        <v>2</v>
      </c>
      <c r="K713" s="4">
        <v>1</v>
      </c>
      <c r="L713" s="4">
        <f>J713+K713</f>
        <v>0</v>
      </c>
      <c r="M713" s="4"/>
      <c r="N713" s="4"/>
      <c r="O713" s="4">
        <v>0</v>
      </c>
      <c r="P713" s="4"/>
      <c r="Q713" s="4"/>
      <c r="R713" s="7">
        <v>0</v>
      </c>
      <c r="S713" s="7">
        <v>0</v>
      </c>
      <c r="T713" s="7">
        <f>R713-S713</f>
        <v>0</v>
      </c>
      <c r="U713" s="7">
        <f>T713*O713</f>
        <v>0</v>
      </c>
    </row>
    <row r="714" spans="1:21">
      <c r="A714" s="4" t="s">
        <v>1053</v>
      </c>
      <c r="B714" s="4" t="s">
        <v>122</v>
      </c>
      <c r="C714" s="5">
        <v>45925.34042824074</v>
      </c>
      <c r="D714" s="5">
        <v>45961</v>
      </c>
      <c r="E714" s="6">
        <f>IF(AND(C714&lt;&gt;"",D714&lt;&gt;""),D714-C714,"")</f>
        <v>0</v>
      </c>
      <c r="F714" s="4" t="s">
        <v>1051</v>
      </c>
      <c r="G714" s="4"/>
      <c r="H714" s="4"/>
      <c r="I714" s="4" t="s">
        <v>56</v>
      </c>
      <c r="J714" s="4">
        <v>2</v>
      </c>
      <c r="K714" s="4">
        <v>0</v>
      </c>
      <c r="L714" s="4">
        <f>J714+K714</f>
        <v>0</v>
      </c>
      <c r="M714" s="4"/>
      <c r="N714" s="4"/>
      <c r="O714" s="4">
        <v>0</v>
      </c>
      <c r="P714" s="4"/>
      <c r="Q714" s="4"/>
      <c r="R714" s="7">
        <v>0</v>
      </c>
      <c r="S714" s="7">
        <v>0</v>
      </c>
      <c r="T714" s="7">
        <f>R714-S714</f>
        <v>0</v>
      </c>
      <c r="U714" s="7">
        <f>T714*O714</f>
        <v>0</v>
      </c>
    </row>
    <row r="715" spans="1:21">
      <c r="A715" s="4" t="s">
        <v>1054</v>
      </c>
      <c r="B715" s="4" t="s">
        <v>122</v>
      </c>
      <c r="C715" s="5">
        <v>45925.34046296297</v>
      </c>
      <c r="D715" s="5">
        <v>45961</v>
      </c>
      <c r="E715" s="6">
        <f>IF(AND(C715&lt;&gt;"",D715&lt;&gt;""),D715-C715,"")</f>
        <v>0</v>
      </c>
      <c r="F715" s="4" t="s">
        <v>1048</v>
      </c>
      <c r="G715" s="4"/>
      <c r="H715" s="4"/>
      <c r="I715" s="4" t="s">
        <v>56</v>
      </c>
      <c r="J715" s="4">
        <v>2</v>
      </c>
      <c r="K715" s="4">
        <v>1</v>
      </c>
      <c r="L715" s="4">
        <f>J715+K715</f>
        <v>0</v>
      </c>
      <c r="M715" s="4"/>
      <c r="N715" s="4"/>
      <c r="O715" s="4">
        <v>0</v>
      </c>
      <c r="P715" s="4"/>
      <c r="Q715" s="4"/>
      <c r="R715" s="7">
        <v>0</v>
      </c>
      <c r="S715" s="7">
        <v>0</v>
      </c>
      <c r="T715" s="7">
        <f>R715-S715</f>
        <v>0</v>
      </c>
      <c r="U715" s="7">
        <f>T715*O715</f>
        <v>0</v>
      </c>
    </row>
    <row r="716" spans="1:21">
      <c r="A716" s="4" t="s">
        <v>1055</v>
      </c>
      <c r="B716" s="4" t="s">
        <v>39</v>
      </c>
      <c r="C716" s="5">
        <v>45925.37506944445</v>
      </c>
      <c r="D716" s="5">
        <v>45925</v>
      </c>
      <c r="E716" s="6">
        <f>IF(AND(C716&lt;&gt;"",D716&lt;&gt;""),D716-C716,"")</f>
        <v>0</v>
      </c>
      <c r="F716" s="4" t="s">
        <v>1056</v>
      </c>
      <c r="G716" s="4" t="s">
        <v>1057</v>
      </c>
      <c r="H716" s="4" t="s">
        <v>32</v>
      </c>
      <c r="I716" s="4" t="s">
        <v>33</v>
      </c>
      <c r="J716" s="4">
        <v>0</v>
      </c>
      <c r="K716" s="4">
        <v>1</v>
      </c>
      <c r="L716" s="4">
        <f>J716+K716</f>
        <v>0</v>
      </c>
      <c r="M716" s="4" t="s">
        <v>81</v>
      </c>
      <c r="N716" s="4"/>
      <c r="O716" s="4">
        <v>1</v>
      </c>
      <c r="P716" s="4" t="s">
        <v>135</v>
      </c>
      <c r="Q716" s="4" t="s">
        <v>44</v>
      </c>
      <c r="R716" s="7">
        <v>495000</v>
      </c>
      <c r="S716" s="7">
        <v>0</v>
      </c>
      <c r="T716" s="7">
        <f>R716-S716</f>
        <v>0</v>
      </c>
      <c r="U716" s="7">
        <f>T716*O716</f>
        <v>0</v>
      </c>
    </row>
    <row r="717" spans="1:21">
      <c r="A717" s="4" t="s">
        <v>1055</v>
      </c>
      <c r="B717" s="4" t="s">
        <v>39</v>
      </c>
      <c r="C717" s="5">
        <v>45925.37506944445</v>
      </c>
      <c r="D717" s="5">
        <v>45925</v>
      </c>
      <c r="E717" s="6">
        <f>IF(AND(C717&lt;&gt;"",D717&lt;&gt;""),D717-C717,"")</f>
        <v>0</v>
      </c>
      <c r="F717" s="4" t="s">
        <v>1056</v>
      </c>
      <c r="G717" s="4" t="s">
        <v>1057</v>
      </c>
      <c r="H717" s="4" t="s">
        <v>32</v>
      </c>
      <c r="I717" s="4" t="s">
        <v>33</v>
      </c>
      <c r="J717" s="4">
        <v>0</v>
      </c>
      <c r="K717" s="4">
        <v>1</v>
      </c>
      <c r="L717" s="4">
        <f>J717+K717</f>
        <v>0</v>
      </c>
      <c r="M717" s="4" t="s">
        <v>81</v>
      </c>
      <c r="N717" s="4"/>
      <c r="O717" s="4">
        <v>1</v>
      </c>
      <c r="P717" s="4" t="s">
        <v>135</v>
      </c>
      <c r="Q717" s="4" t="s">
        <v>44</v>
      </c>
      <c r="R717" s="7">
        <v>495000</v>
      </c>
      <c r="S717" s="7">
        <v>0</v>
      </c>
      <c r="T717" s="7">
        <f>R717-S717</f>
        <v>0</v>
      </c>
      <c r="U717" s="7">
        <f>T717*O717</f>
        <v>0</v>
      </c>
    </row>
    <row r="718" spans="1:21">
      <c r="A718" s="4" t="s">
        <v>1055</v>
      </c>
      <c r="B718" s="4" t="s">
        <v>39</v>
      </c>
      <c r="C718" s="5">
        <v>45925.37506944445</v>
      </c>
      <c r="D718" s="5">
        <v>45925</v>
      </c>
      <c r="E718" s="6">
        <f>IF(AND(C718&lt;&gt;"",D718&lt;&gt;""),D718-C718,"")</f>
        <v>0</v>
      </c>
      <c r="F718" s="4" t="s">
        <v>1056</v>
      </c>
      <c r="G718" s="4" t="s">
        <v>1057</v>
      </c>
      <c r="H718" s="4" t="s">
        <v>32</v>
      </c>
      <c r="I718" s="4" t="s">
        <v>33</v>
      </c>
      <c r="J718" s="4">
        <v>1</v>
      </c>
      <c r="K718" s="4">
        <v>0</v>
      </c>
      <c r="L718" s="4">
        <f>J718+K718</f>
        <v>0</v>
      </c>
      <c r="M718" s="4" t="s">
        <v>42</v>
      </c>
      <c r="N718" s="4"/>
      <c r="O718" s="4">
        <v>1</v>
      </c>
      <c r="P718" s="4" t="s">
        <v>135</v>
      </c>
      <c r="Q718" s="4" t="s">
        <v>44</v>
      </c>
      <c r="R718" s="7">
        <v>370000</v>
      </c>
      <c r="S718" s="7">
        <v>0</v>
      </c>
      <c r="T718" s="7">
        <f>R718-S718</f>
        <v>0</v>
      </c>
      <c r="U718" s="7">
        <f>T718*O718</f>
        <v>0</v>
      </c>
    </row>
    <row r="719" spans="1:21">
      <c r="A719" s="4" t="s">
        <v>1055</v>
      </c>
      <c r="B719" s="4" t="s">
        <v>39</v>
      </c>
      <c r="C719" s="5">
        <v>45925.37506944445</v>
      </c>
      <c r="D719" s="5">
        <v>45925</v>
      </c>
      <c r="E719" s="6">
        <f>IF(AND(C719&lt;&gt;"",D719&lt;&gt;""),D719-C719,"")</f>
        <v>0</v>
      </c>
      <c r="F719" s="4" t="s">
        <v>1056</v>
      </c>
      <c r="G719" s="4" t="s">
        <v>1057</v>
      </c>
      <c r="H719" s="4" t="s">
        <v>32</v>
      </c>
      <c r="I719" s="4" t="s">
        <v>33</v>
      </c>
      <c r="J719" s="4">
        <v>1</v>
      </c>
      <c r="K719" s="4">
        <v>0</v>
      </c>
      <c r="L719" s="4">
        <f>J719+K719</f>
        <v>0</v>
      </c>
      <c r="M719" s="4" t="s">
        <v>80</v>
      </c>
      <c r="N719" s="4"/>
      <c r="O719" s="4">
        <v>1</v>
      </c>
      <c r="P719" s="4" t="s">
        <v>135</v>
      </c>
      <c r="Q719" s="4" t="s">
        <v>44</v>
      </c>
      <c r="R719" s="7">
        <v>610000</v>
      </c>
      <c r="S719" s="7">
        <v>0</v>
      </c>
      <c r="T719" s="7">
        <f>R719-S719</f>
        <v>0</v>
      </c>
      <c r="U719" s="7">
        <f>T719*O719</f>
        <v>0</v>
      </c>
    </row>
    <row r="720" spans="1:21">
      <c r="A720" s="4" t="s">
        <v>1055</v>
      </c>
      <c r="B720" s="4" t="s">
        <v>39</v>
      </c>
      <c r="C720" s="5">
        <v>45925.37506944445</v>
      </c>
      <c r="D720" s="5">
        <v>45925</v>
      </c>
      <c r="E720" s="6">
        <f>IF(AND(C720&lt;&gt;"",D720&lt;&gt;""),D720-C720,"")</f>
        <v>0</v>
      </c>
      <c r="F720" s="4" t="s">
        <v>1056</v>
      </c>
      <c r="G720" s="4" t="s">
        <v>1057</v>
      </c>
      <c r="H720" s="4" t="s">
        <v>32</v>
      </c>
      <c r="I720" s="4" t="s">
        <v>33</v>
      </c>
      <c r="J720" s="4">
        <v>1</v>
      </c>
      <c r="K720" s="4">
        <v>0</v>
      </c>
      <c r="L720" s="4">
        <f>J720+K720</f>
        <v>0</v>
      </c>
      <c r="M720" s="4" t="s">
        <v>42</v>
      </c>
      <c r="N720" s="4"/>
      <c r="O720" s="4">
        <v>1</v>
      </c>
      <c r="P720" s="4" t="s">
        <v>135</v>
      </c>
      <c r="Q720" s="4" t="s">
        <v>44</v>
      </c>
      <c r="R720" s="7">
        <v>370000</v>
      </c>
      <c r="S720" s="7">
        <v>0</v>
      </c>
      <c r="T720" s="7">
        <f>R720-S720</f>
        <v>0</v>
      </c>
      <c r="U720" s="7">
        <f>T720*O720</f>
        <v>0</v>
      </c>
    </row>
    <row r="721" spans="1:21">
      <c r="A721" s="4" t="s">
        <v>1055</v>
      </c>
      <c r="B721" s="4" t="s">
        <v>39</v>
      </c>
      <c r="C721" s="5">
        <v>45925.37506944445</v>
      </c>
      <c r="D721" s="5">
        <v>45925</v>
      </c>
      <c r="E721" s="6">
        <f>IF(AND(C721&lt;&gt;"",D721&lt;&gt;""),D721-C721,"")</f>
        <v>0</v>
      </c>
      <c r="F721" s="4" t="s">
        <v>1056</v>
      </c>
      <c r="G721" s="4" t="s">
        <v>1057</v>
      </c>
      <c r="H721" s="4" t="s">
        <v>32</v>
      </c>
      <c r="I721" s="4" t="s">
        <v>33</v>
      </c>
      <c r="J721" s="4">
        <v>1</v>
      </c>
      <c r="K721" s="4">
        <v>0</v>
      </c>
      <c r="L721" s="4">
        <f>J721+K721</f>
        <v>0</v>
      </c>
      <c r="M721" s="4" t="s">
        <v>80</v>
      </c>
      <c r="N721" s="4"/>
      <c r="O721" s="4">
        <v>1</v>
      </c>
      <c r="P721" s="4" t="s">
        <v>135</v>
      </c>
      <c r="Q721" s="4" t="s">
        <v>44</v>
      </c>
      <c r="R721" s="7">
        <v>610000</v>
      </c>
      <c r="S721" s="7">
        <v>0</v>
      </c>
      <c r="T721" s="7">
        <f>R721-S721</f>
        <v>0</v>
      </c>
      <c r="U721" s="7">
        <f>T721*O721</f>
        <v>0</v>
      </c>
    </row>
    <row r="722" spans="1:21">
      <c r="A722" s="4" t="s">
        <v>1058</v>
      </c>
      <c r="B722" s="4" t="s">
        <v>29</v>
      </c>
      <c r="C722" s="5">
        <v>45925.54834490741</v>
      </c>
      <c r="D722" s="5">
        <v>45961</v>
      </c>
      <c r="E722" s="6">
        <f>IF(AND(C722&lt;&gt;"",D722&lt;&gt;""),D722-C722,"")</f>
        <v>0</v>
      </c>
      <c r="F722" s="4" t="s">
        <v>307</v>
      </c>
      <c r="G722" s="4" t="s">
        <v>308</v>
      </c>
      <c r="H722" s="4" t="s">
        <v>190</v>
      </c>
      <c r="I722" s="4" t="s">
        <v>56</v>
      </c>
      <c r="J722" s="4">
        <v>1</v>
      </c>
      <c r="K722" s="4">
        <v>0</v>
      </c>
      <c r="L722" s="4">
        <f>J722+K722</f>
        <v>0</v>
      </c>
      <c r="M722" s="4"/>
      <c r="N722" s="4"/>
      <c r="O722" s="4">
        <v>0</v>
      </c>
      <c r="P722" s="4"/>
      <c r="Q722" s="4"/>
      <c r="R722" s="7">
        <v>0</v>
      </c>
      <c r="S722" s="7">
        <v>0</v>
      </c>
      <c r="T722" s="7">
        <f>R722-S722</f>
        <v>0</v>
      </c>
      <c r="U722" s="7">
        <f>T722*O722</f>
        <v>0</v>
      </c>
    </row>
    <row r="723" spans="1:21">
      <c r="A723" s="4" t="s">
        <v>1059</v>
      </c>
      <c r="B723" s="4" t="s">
        <v>29</v>
      </c>
      <c r="C723" s="5">
        <v>45925.54849537037</v>
      </c>
      <c r="D723" s="5">
        <v>45961</v>
      </c>
      <c r="E723" s="6">
        <f>IF(AND(C723&lt;&gt;"",D723&lt;&gt;""),D723-C723,"")</f>
        <v>0</v>
      </c>
      <c r="F723" s="4" t="s">
        <v>307</v>
      </c>
      <c r="G723" s="4" t="s">
        <v>308</v>
      </c>
      <c r="H723" s="4" t="s">
        <v>190</v>
      </c>
      <c r="I723" s="4" t="s">
        <v>56</v>
      </c>
      <c r="J723" s="4">
        <v>1</v>
      </c>
      <c r="K723" s="4">
        <v>0</v>
      </c>
      <c r="L723" s="4">
        <f>J723+K723</f>
        <v>0</v>
      </c>
      <c r="M723" s="4"/>
      <c r="N723" s="4"/>
      <c r="O723" s="4">
        <v>0</v>
      </c>
      <c r="P723" s="4"/>
      <c r="Q723" s="4"/>
      <c r="R723" s="7">
        <v>0</v>
      </c>
      <c r="S723" s="7">
        <v>0</v>
      </c>
      <c r="T723" s="7">
        <f>R723-S723</f>
        <v>0</v>
      </c>
      <c r="U723" s="7">
        <f>T723*O723</f>
        <v>0</v>
      </c>
    </row>
    <row r="724" spans="1:21">
      <c r="A724" s="4" t="s">
        <v>1060</v>
      </c>
      <c r="B724" s="4" t="s">
        <v>48</v>
      </c>
      <c r="C724" s="5">
        <v>45925.58435185185</v>
      </c>
      <c r="D724" s="5">
        <v>45961</v>
      </c>
      <c r="E724" s="6">
        <f>IF(AND(C724&lt;&gt;"",D724&lt;&gt;""),D724-C724,"")</f>
        <v>0</v>
      </c>
      <c r="F724" s="4" t="s">
        <v>165</v>
      </c>
      <c r="G724" s="4" t="s">
        <v>65</v>
      </c>
      <c r="H724" s="4" t="s">
        <v>32</v>
      </c>
      <c r="I724" s="4" t="s">
        <v>33</v>
      </c>
      <c r="J724" s="4">
        <v>2</v>
      </c>
      <c r="K724" s="4">
        <v>0</v>
      </c>
      <c r="L724" s="4">
        <f>J724+K724</f>
        <v>0</v>
      </c>
      <c r="M724" s="4"/>
      <c r="N724" s="4"/>
      <c r="O724" s="4">
        <v>0</v>
      </c>
      <c r="P724" s="4"/>
      <c r="Q724" s="4"/>
      <c r="R724" s="7">
        <v>0</v>
      </c>
      <c r="S724" s="7">
        <v>0</v>
      </c>
      <c r="T724" s="7">
        <f>R724-S724</f>
        <v>0</v>
      </c>
      <c r="U724" s="7">
        <f>T724*O724</f>
        <v>0</v>
      </c>
    </row>
    <row r="725" spans="1:21">
      <c r="A725" s="4" t="s">
        <v>1061</v>
      </c>
      <c r="B725" s="4" t="s">
        <v>48</v>
      </c>
      <c r="C725" s="5">
        <v>45925.5858912037</v>
      </c>
      <c r="D725" s="5">
        <v>45961</v>
      </c>
      <c r="E725" s="6">
        <f>IF(AND(C725&lt;&gt;"",D725&lt;&gt;""),D725-C725,"")</f>
        <v>0</v>
      </c>
      <c r="F725" s="4" t="s">
        <v>30</v>
      </c>
      <c r="G725" s="4" t="s">
        <v>31</v>
      </c>
      <c r="H725" s="4" t="s">
        <v>32</v>
      </c>
      <c r="I725" s="4" t="s">
        <v>33</v>
      </c>
      <c r="J725" s="4">
        <v>2</v>
      </c>
      <c r="K725" s="4">
        <v>0</v>
      </c>
      <c r="L725" s="4">
        <f>J725+K725</f>
        <v>0</v>
      </c>
      <c r="M725" s="4"/>
      <c r="N725" s="4"/>
      <c r="O725" s="4">
        <v>0</v>
      </c>
      <c r="P725" s="4"/>
      <c r="Q725" s="4"/>
      <c r="R725" s="7">
        <v>0</v>
      </c>
      <c r="S725" s="7">
        <v>0</v>
      </c>
      <c r="T725" s="7">
        <f>R725-S725</f>
        <v>0</v>
      </c>
      <c r="U725" s="7">
        <f>T725*O725</f>
        <v>0</v>
      </c>
    </row>
    <row r="726" spans="1:21">
      <c r="A726" s="4" t="s">
        <v>1062</v>
      </c>
      <c r="B726" s="4" t="s">
        <v>103</v>
      </c>
      <c r="C726" s="5">
        <v>45925.62608796296</v>
      </c>
      <c r="D726" s="5">
        <v>45961</v>
      </c>
      <c r="E726" s="6">
        <f>IF(AND(C726&lt;&gt;"",D726&lt;&gt;""),D726-C726,"")</f>
        <v>0</v>
      </c>
      <c r="F726" s="4" t="s">
        <v>201</v>
      </c>
      <c r="G726" s="4" t="s">
        <v>202</v>
      </c>
      <c r="H726" s="4" t="s">
        <v>32</v>
      </c>
      <c r="I726" s="4" t="s">
        <v>33</v>
      </c>
      <c r="J726" s="4">
        <v>20</v>
      </c>
      <c r="K726" s="4">
        <v>0</v>
      </c>
      <c r="L726" s="4">
        <f>J726+K726</f>
        <v>0</v>
      </c>
      <c r="M726" s="4"/>
      <c r="N726" s="4"/>
      <c r="O726" s="4">
        <v>0</v>
      </c>
      <c r="P726" s="4"/>
      <c r="Q726" s="4"/>
      <c r="R726" s="7">
        <v>0</v>
      </c>
      <c r="S726" s="7">
        <v>0</v>
      </c>
      <c r="T726" s="7">
        <f>R726-S726</f>
        <v>0</v>
      </c>
      <c r="U726" s="7">
        <f>T726*O726</f>
        <v>0</v>
      </c>
    </row>
    <row r="727" spans="1:21">
      <c r="A727" s="4" t="s">
        <v>1063</v>
      </c>
      <c r="B727" s="4" t="s">
        <v>39</v>
      </c>
      <c r="C727" s="5">
        <v>45926.16846064815</v>
      </c>
      <c r="D727" s="5">
        <v>45926</v>
      </c>
      <c r="E727" s="6">
        <f>IF(AND(C727&lt;&gt;"",D727&lt;&gt;""),D727-C727,"")</f>
        <v>0</v>
      </c>
      <c r="F727" s="4" t="s">
        <v>78</v>
      </c>
      <c r="G727" s="4" t="s">
        <v>79</v>
      </c>
      <c r="H727" s="4"/>
      <c r="I727" s="4" t="s">
        <v>56</v>
      </c>
      <c r="J727" s="4">
        <v>1</v>
      </c>
      <c r="K727" s="4">
        <v>0</v>
      </c>
      <c r="L727" s="4">
        <f>J727+K727</f>
        <v>0</v>
      </c>
      <c r="M727" s="4" t="s">
        <v>80</v>
      </c>
      <c r="N727" s="4"/>
      <c r="O727" s="4">
        <v>1</v>
      </c>
      <c r="P727" s="4" t="s">
        <v>43</v>
      </c>
      <c r="Q727" s="4" t="s">
        <v>44</v>
      </c>
      <c r="R727" s="7">
        <v>610000</v>
      </c>
      <c r="S727" s="7">
        <v>61000</v>
      </c>
      <c r="T727" s="7">
        <f>R727-S727</f>
        <v>0</v>
      </c>
      <c r="U727" s="7">
        <f>T727*O727</f>
        <v>0</v>
      </c>
    </row>
    <row r="728" spans="1:21">
      <c r="A728" s="4" t="s">
        <v>1063</v>
      </c>
      <c r="B728" s="4" t="s">
        <v>39</v>
      </c>
      <c r="C728" s="5">
        <v>45926.16846064815</v>
      </c>
      <c r="D728" s="5">
        <v>45926</v>
      </c>
      <c r="E728" s="6">
        <f>IF(AND(C728&lt;&gt;"",D728&lt;&gt;""),D728-C728,"")</f>
        <v>0</v>
      </c>
      <c r="F728" s="4" t="s">
        <v>78</v>
      </c>
      <c r="G728" s="4" t="s">
        <v>79</v>
      </c>
      <c r="H728" s="4"/>
      <c r="I728" s="4" t="s">
        <v>56</v>
      </c>
      <c r="J728" s="4">
        <v>1</v>
      </c>
      <c r="K728" s="4">
        <v>0</v>
      </c>
      <c r="L728" s="4">
        <f>J728+K728</f>
        <v>0</v>
      </c>
      <c r="M728" s="4" t="s">
        <v>80</v>
      </c>
      <c r="N728" s="4"/>
      <c r="O728" s="4">
        <v>1</v>
      </c>
      <c r="P728" s="4" t="s">
        <v>43</v>
      </c>
      <c r="Q728" s="4" t="s">
        <v>44</v>
      </c>
      <c r="R728" s="7">
        <v>610000</v>
      </c>
      <c r="S728" s="7">
        <v>0</v>
      </c>
      <c r="T728" s="7">
        <f>R728-S728</f>
        <v>0</v>
      </c>
      <c r="U728" s="7">
        <f>T728*O728</f>
        <v>0</v>
      </c>
    </row>
    <row r="729" spans="1:21">
      <c r="A729" s="4" t="s">
        <v>1063</v>
      </c>
      <c r="B729" s="4" t="s">
        <v>39</v>
      </c>
      <c r="C729" s="5">
        <v>45926.16846064815</v>
      </c>
      <c r="D729" s="5">
        <v>45926</v>
      </c>
      <c r="E729" s="6">
        <f>IF(AND(C729&lt;&gt;"",D729&lt;&gt;""),D729-C729,"")</f>
        <v>0</v>
      </c>
      <c r="F729" s="4" t="s">
        <v>78</v>
      </c>
      <c r="G729" s="4" t="s">
        <v>79</v>
      </c>
      <c r="H729" s="4"/>
      <c r="I729" s="4" t="s">
        <v>56</v>
      </c>
      <c r="J729" s="4">
        <v>0</v>
      </c>
      <c r="K729" s="4">
        <v>0</v>
      </c>
      <c r="L729" s="4">
        <f>J729+K729</f>
        <v>0</v>
      </c>
      <c r="M729" s="4" t="s">
        <v>870</v>
      </c>
      <c r="N729" s="4"/>
      <c r="O729" s="4">
        <v>1</v>
      </c>
      <c r="P729" s="4" t="s">
        <v>43</v>
      </c>
      <c r="Q729" s="4" t="s">
        <v>44</v>
      </c>
      <c r="R729" s="7">
        <v>-100000</v>
      </c>
      <c r="S729" s="7">
        <v>0</v>
      </c>
      <c r="T729" s="7">
        <f>R729-S729</f>
        <v>0</v>
      </c>
      <c r="U729" s="7">
        <f>T729*O729</f>
        <v>0</v>
      </c>
    </row>
    <row r="730" spans="1:21">
      <c r="A730" s="4" t="s">
        <v>1064</v>
      </c>
      <c r="B730" s="4" t="s">
        <v>39</v>
      </c>
      <c r="C730" s="5">
        <v>45926.17013888889</v>
      </c>
      <c r="D730" s="5">
        <v>45926</v>
      </c>
      <c r="E730" s="6">
        <f>IF(AND(C730&lt;&gt;"",D730&lt;&gt;""),D730-C730,"")</f>
        <v>0</v>
      </c>
      <c r="F730" s="4" t="s">
        <v>1065</v>
      </c>
      <c r="G730" s="4" t="s">
        <v>1066</v>
      </c>
      <c r="H730" s="4" t="s">
        <v>190</v>
      </c>
      <c r="I730" s="4" t="s">
        <v>56</v>
      </c>
      <c r="J730" s="4">
        <v>1</v>
      </c>
      <c r="K730" s="4">
        <v>0</v>
      </c>
      <c r="L730" s="4">
        <f>J730+K730</f>
        <v>0</v>
      </c>
      <c r="M730" s="4" t="s">
        <v>80</v>
      </c>
      <c r="N730" s="4"/>
      <c r="O730" s="4">
        <v>1</v>
      </c>
      <c r="P730" s="4" t="s">
        <v>43</v>
      </c>
      <c r="Q730" s="4" t="s">
        <v>44</v>
      </c>
      <c r="R730" s="7">
        <v>610000</v>
      </c>
      <c r="S730" s="7">
        <v>0</v>
      </c>
      <c r="T730" s="7">
        <f>R730-S730</f>
        <v>0</v>
      </c>
      <c r="U730" s="7">
        <f>T730*O730</f>
        <v>0</v>
      </c>
    </row>
    <row r="731" spans="1:21">
      <c r="A731" s="4" t="s">
        <v>1064</v>
      </c>
      <c r="B731" s="4" t="s">
        <v>39</v>
      </c>
      <c r="C731" s="5">
        <v>45926.17013888889</v>
      </c>
      <c r="D731" s="5">
        <v>45926</v>
      </c>
      <c r="E731" s="6">
        <f>IF(AND(C731&lt;&gt;"",D731&lt;&gt;""),D731-C731,"")</f>
        <v>0</v>
      </c>
      <c r="F731" s="4" t="s">
        <v>1065</v>
      </c>
      <c r="G731" s="4" t="s">
        <v>1066</v>
      </c>
      <c r="H731" s="4" t="s">
        <v>190</v>
      </c>
      <c r="I731" s="4" t="s">
        <v>56</v>
      </c>
      <c r="J731" s="4">
        <v>0</v>
      </c>
      <c r="K731" s="4">
        <v>0</v>
      </c>
      <c r="L731" s="4">
        <f>J731+K731</f>
        <v>0</v>
      </c>
      <c r="M731" s="4" t="s">
        <v>870</v>
      </c>
      <c r="N731" s="4"/>
      <c r="O731" s="4">
        <v>1</v>
      </c>
      <c r="P731" s="4" t="s">
        <v>43</v>
      </c>
      <c r="Q731" s="4" t="s">
        <v>44</v>
      </c>
      <c r="R731" s="7">
        <v>-100000</v>
      </c>
      <c r="S731" s="7">
        <v>0</v>
      </c>
      <c r="T731" s="7">
        <f>R731-S731</f>
        <v>0</v>
      </c>
      <c r="U731" s="7">
        <f>T731*O731</f>
        <v>0</v>
      </c>
    </row>
    <row r="732" spans="1:21">
      <c r="A732" s="4" t="s">
        <v>1064</v>
      </c>
      <c r="B732" s="4" t="s">
        <v>39</v>
      </c>
      <c r="C732" s="5">
        <v>45926.17013888889</v>
      </c>
      <c r="D732" s="5">
        <v>45926</v>
      </c>
      <c r="E732" s="6">
        <f>IF(AND(C732&lt;&gt;"",D732&lt;&gt;""),D732-C732,"")</f>
        <v>0</v>
      </c>
      <c r="F732" s="4" t="s">
        <v>1065</v>
      </c>
      <c r="G732" s="4" t="s">
        <v>1066</v>
      </c>
      <c r="H732" s="4" t="s">
        <v>190</v>
      </c>
      <c r="I732" s="4" t="s">
        <v>56</v>
      </c>
      <c r="J732" s="4">
        <v>1</v>
      </c>
      <c r="K732" s="4">
        <v>0</v>
      </c>
      <c r="L732" s="4">
        <f>J732+K732</f>
        <v>0</v>
      </c>
      <c r="M732" s="4" t="s">
        <v>80</v>
      </c>
      <c r="N732" s="4"/>
      <c r="O732" s="4">
        <v>1</v>
      </c>
      <c r="P732" s="4" t="s">
        <v>43</v>
      </c>
      <c r="Q732" s="4" t="s">
        <v>44</v>
      </c>
      <c r="R732" s="7">
        <v>610000</v>
      </c>
      <c r="S732" s="7">
        <v>61000</v>
      </c>
      <c r="T732" s="7">
        <f>R732-S732</f>
        <v>0</v>
      </c>
      <c r="U732" s="7">
        <f>T732*O732</f>
        <v>0</v>
      </c>
    </row>
    <row r="733" spans="1:21">
      <c r="A733" s="4" t="s">
        <v>1067</v>
      </c>
      <c r="B733" s="4" t="s">
        <v>48</v>
      </c>
      <c r="C733" s="5">
        <v>45926.2</v>
      </c>
      <c r="D733" s="5">
        <v>45961</v>
      </c>
      <c r="E733" s="6">
        <f>IF(AND(C733&lt;&gt;"",D733&lt;&gt;""),D733-C733,"")</f>
        <v>0</v>
      </c>
      <c r="F733" s="4" t="s">
        <v>1068</v>
      </c>
      <c r="G733" s="4" t="s">
        <v>1069</v>
      </c>
      <c r="H733" s="4" t="s">
        <v>32</v>
      </c>
      <c r="I733" s="4" t="s">
        <v>33</v>
      </c>
      <c r="J733" s="4">
        <v>2</v>
      </c>
      <c r="K733" s="4">
        <v>0</v>
      </c>
      <c r="L733" s="4">
        <f>J733+K733</f>
        <v>0</v>
      </c>
      <c r="M733" s="4"/>
      <c r="N733" s="4"/>
      <c r="O733" s="4">
        <v>0</v>
      </c>
      <c r="P733" s="4"/>
      <c r="Q733" s="4"/>
      <c r="R733" s="7">
        <v>0</v>
      </c>
      <c r="S733" s="7">
        <v>0</v>
      </c>
      <c r="T733" s="7">
        <f>R733-S733</f>
        <v>0</v>
      </c>
      <c r="U733" s="7">
        <f>T733*O733</f>
        <v>0</v>
      </c>
    </row>
    <row r="734" spans="1:21">
      <c r="A734" s="4" t="s">
        <v>1070</v>
      </c>
      <c r="B734" s="4" t="s">
        <v>39</v>
      </c>
      <c r="C734" s="5">
        <v>45926.20946759259</v>
      </c>
      <c r="D734" s="5">
        <v>45926</v>
      </c>
      <c r="E734" s="6">
        <f>IF(AND(C734&lt;&gt;"",D734&lt;&gt;""),D734-C734,"")</f>
        <v>0</v>
      </c>
      <c r="F734" s="4" t="s">
        <v>1071</v>
      </c>
      <c r="G734" s="4"/>
      <c r="H734" s="4"/>
      <c r="I734" s="4" t="s">
        <v>56</v>
      </c>
      <c r="J734" s="4">
        <v>0</v>
      </c>
      <c r="K734" s="4">
        <v>0</v>
      </c>
      <c r="L734" s="4">
        <f>J734+K734</f>
        <v>0</v>
      </c>
      <c r="M734" s="4" t="s">
        <v>1072</v>
      </c>
      <c r="N734" s="4"/>
      <c r="O734" s="4">
        <v>1</v>
      </c>
      <c r="P734" s="4" t="s">
        <v>135</v>
      </c>
      <c r="Q734" s="4"/>
      <c r="R734" s="7">
        <v>1250000</v>
      </c>
      <c r="S734" s="7">
        <v>0</v>
      </c>
      <c r="T734" s="7">
        <f>R734-S734</f>
        <v>0</v>
      </c>
      <c r="U734" s="7">
        <f>T734*O734</f>
        <v>0</v>
      </c>
    </row>
    <row r="735" spans="1:21">
      <c r="A735" s="4" t="s">
        <v>1073</v>
      </c>
      <c r="B735" s="4" t="s">
        <v>39</v>
      </c>
      <c r="C735" s="5">
        <v>45926.2787962963</v>
      </c>
      <c r="D735" s="5">
        <v>45926</v>
      </c>
      <c r="E735" s="6">
        <f>IF(AND(C735&lt;&gt;"",D735&lt;&gt;""),D735-C735,"")</f>
        <v>0</v>
      </c>
      <c r="F735" s="4" t="s">
        <v>1074</v>
      </c>
      <c r="G735" s="4"/>
      <c r="H735" s="4"/>
      <c r="I735" s="4" t="s">
        <v>56</v>
      </c>
      <c r="J735" s="4">
        <v>0</v>
      </c>
      <c r="K735" s="4">
        <v>0</v>
      </c>
      <c r="L735" s="4">
        <f>J735+K735</f>
        <v>0</v>
      </c>
      <c r="M735" s="4" t="s">
        <v>1075</v>
      </c>
      <c r="N735" s="4"/>
      <c r="O735" s="4">
        <v>1</v>
      </c>
      <c r="P735" s="4" t="s">
        <v>43</v>
      </c>
      <c r="Q735" s="4"/>
      <c r="R735" s="7">
        <v>1250000</v>
      </c>
      <c r="S735" s="7">
        <v>0</v>
      </c>
      <c r="T735" s="7">
        <f>R735-S735</f>
        <v>0</v>
      </c>
      <c r="U735" s="7">
        <f>T735*O735</f>
        <v>0</v>
      </c>
    </row>
    <row r="736" spans="1:21">
      <c r="A736" s="4" t="s">
        <v>1076</v>
      </c>
      <c r="B736" s="4" t="s">
        <v>39</v>
      </c>
      <c r="C736" s="5">
        <v>45926.28210648148</v>
      </c>
      <c r="D736" s="5">
        <v>45926</v>
      </c>
      <c r="E736" s="6">
        <f>IF(AND(C736&lt;&gt;"",D736&lt;&gt;""),D736-C736,"")</f>
        <v>0</v>
      </c>
      <c r="F736" s="4" t="s">
        <v>1077</v>
      </c>
      <c r="G736" s="4"/>
      <c r="H736" s="4"/>
      <c r="I736" s="4" t="s">
        <v>56</v>
      </c>
      <c r="J736" s="4">
        <v>0</v>
      </c>
      <c r="K736" s="4">
        <v>0</v>
      </c>
      <c r="L736" s="4">
        <f>J736+K736</f>
        <v>0</v>
      </c>
      <c r="M736" s="4" t="s">
        <v>1078</v>
      </c>
      <c r="N736" s="4"/>
      <c r="O736" s="4">
        <v>1</v>
      </c>
      <c r="P736" s="4" t="s">
        <v>43</v>
      </c>
      <c r="Q736" s="4"/>
      <c r="R736" s="7">
        <v>250000</v>
      </c>
      <c r="S736" s="7">
        <v>0</v>
      </c>
      <c r="T736" s="7">
        <f>R736-S736</f>
        <v>0</v>
      </c>
      <c r="U736" s="7">
        <f>T736*O736</f>
        <v>0</v>
      </c>
    </row>
    <row r="737" spans="1:21">
      <c r="A737" s="4" t="s">
        <v>1079</v>
      </c>
      <c r="B737" s="4" t="s">
        <v>39</v>
      </c>
      <c r="C737" s="5">
        <v>45926.28297453704</v>
      </c>
      <c r="D737" s="5">
        <v>45926</v>
      </c>
      <c r="E737" s="6">
        <f>IF(AND(C737&lt;&gt;"",D737&lt;&gt;""),D737-C737,"")</f>
        <v>0</v>
      </c>
      <c r="F737" s="4" t="s">
        <v>733</v>
      </c>
      <c r="G737" s="4"/>
      <c r="H737" s="4"/>
      <c r="I737" s="4" t="s">
        <v>56</v>
      </c>
      <c r="J737" s="4">
        <v>0</v>
      </c>
      <c r="K737" s="4">
        <v>0</v>
      </c>
      <c r="L737" s="4">
        <f>J737+K737</f>
        <v>0</v>
      </c>
      <c r="M737" s="4" t="s">
        <v>1080</v>
      </c>
      <c r="N737" s="4"/>
      <c r="O737" s="4">
        <v>1</v>
      </c>
      <c r="P737" s="4" t="s">
        <v>43</v>
      </c>
      <c r="Q737" s="4"/>
      <c r="R737" s="7">
        <v>750000</v>
      </c>
      <c r="S737" s="7">
        <v>0</v>
      </c>
      <c r="T737" s="7">
        <f>R737-S737</f>
        <v>0</v>
      </c>
      <c r="U737" s="7">
        <f>T737*O737</f>
        <v>0</v>
      </c>
    </row>
    <row r="738" spans="1:21">
      <c r="A738" s="4" t="s">
        <v>1081</v>
      </c>
      <c r="B738" s="4" t="s">
        <v>48</v>
      </c>
      <c r="C738" s="5">
        <v>45926.36498842593</v>
      </c>
      <c r="D738" s="5">
        <v>45961</v>
      </c>
      <c r="E738" s="6">
        <f>IF(AND(C738&lt;&gt;"",D738&lt;&gt;""),D738-C738,"")</f>
        <v>0</v>
      </c>
      <c r="F738" s="4" t="s">
        <v>201</v>
      </c>
      <c r="G738" s="4" t="s">
        <v>202</v>
      </c>
      <c r="H738" s="4" t="s">
        <v>32</v>
      </c>
      <c r="I738" s="4" t="s">
        <v>33</v>
      </c>
      <c r="J738" s="4">
        <v>2</v>
      </c>
      <c r="K738" s="4">
        <v>0</v>
      </c>
      <c r="L738" s="4">
        <f>J738+K738</f>
        <v>0</v>
      </c>
      <c r="M738" s="4"/>
      <c r="N738" s="4"/>
      <c r="O738" s="4">
        <v>0</v>
      </c>
      <c r="P738" s="4"/>
      <c r="Q738" s="4"/>
      <c r="R738" s="7">
        <v>0</v>
      </c>
      <c r="S738" s="7">
        <v>0</v>
      </c>
      <c r="T738" s="7">
        <f>R738-S738</f>
        <v>0</v>
      </c>
      <c r="U738" s="7">
        <f>T738*O738</f>
        <v>0</v>
      </c>
    </row>
    <row r="739" spans="1:21">
      <c r="A739" s="4" t="s">
        <v>1082</v>
      </c>
      <c r="B739" s="4" t="s">
        <v>48</v>
      </c>
      <c r="C739" s="5">
        <v>45926.38262731482</v>
      </c>
      <c r="D739" s="5">
        <v>45961</v>
      </c>
      <c r="E739" s="6">
        <f>IF(AND(C739&lt;&gt;"",D739&lt;&gt;""),D739-C739,"")</f>
        <v>0</v>
      </c>
      <c r="F739" s="4" t="s">
        <v>286</v>
      </c>
      <c r="G739" s="4" t="s">
        <v>287</v>
      </c>
      <c r="H739" s="4" t="s">
        <v>32</v>
      </c>
      <c r="I739" s="4" t="s">
        <v>33</v>
      </c>
      <c r="J739" s="4">
        <v>3</v>
      </c>
      <c r="K739" s="4">
        <v>0</v>
      </c>
      <c r="L739" s="4">
        <f>J739+K739</f>
        <v>0</v>
      </c>
      <c r="M739" s="4"/>
      <c r="N739" s="4"/>
      <c r="O739" s="4">
        <v>0</v>
      </c>
      <c r="P739" s="4"/>
      <c r="Q739" s="4"/>
      <c r="R739" s="7">
        <v>0</v>
      </c>
      <c r="S739" s="7">
        <v>0</v>
      </c>
      <c r="T739" s="7">
        <f>R739-S739</f>
        <v>0</v>
      </c>
      <c r="U739" s="7">
        <f>T739*O739</f>
        <v>0</v>
      </c>
    </row>
    <row r="740" spans="1:21">
      <c r="A740" s="4" t="s">
        <v>1083</v>
      </c>
      <c r="B740" s="4" t="s">
        <v>48</v>
      </c>
      <c r="C740" s="5">
        <v>45926.41214120371</v>
      </c>
      <c r="D740" s="5">
        <v>45961</v>
      </c>
      <c r="E740" s="6">
        <f>IF(AND(C740&lt;&gt;"",D740&lt;&gt;""),D740-C740,"")</f>
        <v>0</v>
      </c>
      <c r="F740" s="4" t="s">
        <v>162</v>
      </c>
      <c r="G740" s="4" t="s">
        <v>202</v>
      </c>
      <c r="H740" s="4" t="s">
        <v>32</v>
      </c>
      <c r="I740" s="4" t="s">
        <v>33</v>
      </c>
      <c r="J740" s="4">
        <v>7</v>
      </c>
      <c r="K740" s="4">
        <v>0</v>
      </c>
      <c r="L740" s="4">
        <f>J740+K740</f>
        <v>0</v>
      </c>
      <c r="M740" s="4"/>
      <c r="N740" s="4"/>
      <c r="O740" s="4">
        <v>0</v>
      </c>
      <c r="P740" s="4"/>
      <c r="Q740" s="4"/>
      <c r="R740" s="7">
        <v>0</v>
      </c>
      <c r="S740" s="7">
        <v>0</v>
      </c>
      <c r="T740" s="7">
        <f>R740-S740</f>
        <v>0</v>
      </c>
      <c r="U740" s="7">
        <f>T740*O740</f>
        <v>0</v>
      </c>
    </row>
    <row r="741" spans="1:21">
      <c r="A741" s="4" t="s">
        <v>1084</v>
      </c>
      <c r="B741" s="4" t="s">
        <v>48</v>
      </c>
      <c r="C741" s="5">
        <v>45926.41443287037</v>
      </c>
      <c r="D741" s="5">
        <v>45961</v>
      </c>
      <c r="E741" s="6">
        <f>IF(AND(C741&lt;&gt;"",D741&lt;&gt;""),D741-C741,"")</f>
        <v>0</v>
      </c>
      <c r="F741" s="4" t="s">
        <v>234</v>
      </c>
      <c r="G741" s="4" t="s">
        <v>235</v>
      </c>
      <c r="H741" s="4" t="s">
        <v>32</v>
      </c>
      <c r="I741" s="4" t="s">
        <v>33</v>
      </c>
      <c r="J741" s="4">
        <v>3</v>
      </c>
      <c r="K741" s="4">
        <v>0</v>
      </c>
      <c r="L741" s="4">
        <f>J741+K741</f>
        <v>0</v>
      </c>
      <c r="M741" s="4"/>
      <c r="N741" s="4"/>
      <c r="O741" s="4">
        <v>0</v>
      </c>
      <c r="P741" s="4"/>
      <c r="Q741" s="4"/>
      <c r="R741" s="7">
        <v>0</v>
      </c>
      <c r="S741" s="7">
        <v>0</v>
      </c>
      <c r="T741" s="7">
        <f>R741-S741</f>
        <v>0</v>
      </c>
      <c r="U741" s="7">
        <f>T741*O741</f>
        <v>0</v>
      </c>
    </row>
    <row r="742" spans="1:21">
      <c r="A742" s="4" t="s">
        <v>1085</v>
      </c>
      <c r="B742" s="4" t="s">
        <v>48</v>
      </c>
      <c r="C742" s="5">
        <v>45926.41730324074</v>
      </c>
      <c r="D742" s="5">
        <v>45961</v>
      </c>
      <c r="E742" s="6">
        <f>IF(AND(C742&lt;&gt;"",D742&lt;&gt;""),D742-C742,"")</f>
        <v>0</v>
      </c>
      <c r="F742" s="4" t="s">
        <v>162</v>
      </c>
      <c r="G742" s="4" t="s">
        <v>202</v>
      </c>
      <c r="H742" s="4" t="s">
        <v>32</v>
      </c>
      <c r="I742" s="4" t="s">
        <v>33</v>
      </c>
      <c r="J742" s="4">
        <v>7</v>
      </c>
      <c r="K742" s="4">
        <v>0</v>
      </c>
      <c r="L742" s="4">
        <f>J742+K742</f>
        <v>0</v>
      </c>
      <c r="M742" s="4"/>
      <c r="N742" s="4"/>
      <c r="O742" s="4">
        <v>0</v>
      </c>
      <c r="P742" s="4"/>
      <c r="Q742" s="4"/>
      <c r="R742" s="7">
        <v>0</v>
      </c>
      <c r="S742" s="7">
        <v>0</v>
      </c>
      <c r="T742" s="7">
        <f>R742-S742</f>
        <v>0</v>
      </c>
      <c r="U742" s="7">
        <f>T742*O742</f>
        <v>0</v>
      </c>
    </row>
    <row r="743" spans="1:21">
      <c r="A743" s="4" t="s">
        <v>1086</v>
      </c>
      <c r="B743" s="4" t="s">
        <v>48</v>
      </c>
      <c r="C743" s="5">
        <v>45926.715625</v>
      </c>
      <c r="D743" s="5">
        <v>45961</v>
      </c>
      <c r="E743" s="6">
        <f>IF(AND(C743&lt;&gt;"",D743&lt;&gt;""),D743-C743,"")</f>
        <v>0</v>
      </c>
      <c r="F743" s="4" t="s">
        <v>1087</v>
      </c>
      <c r="G743" s="4" t="s">
        <v>1088</v>
      </c>
      <c r="H743" s="4" t="s">
        <v>32</v>
      </c>
      <c r="I743" s="4" t="s">
        <v>33</v>
      </c>
      <c r="J743" s="4">
        <v>2</v>
      </c>
      <c r="K743" s="4">
        <v>2</v>
      </c>
      <c r="L743" s="4">
        <f>J743+K743</f>
        <v>0</v>
      </c>
      <c r="M743" s="4"/>
      <c r="N743" s="4"/>
      <c r="O743" s="4">
        <v>0</v>
      </c>
      <c r="P743" s="4"/>
      <c r="Q743" s="4"/>
      <c r="R743" s="7">
        <v>0</v>
      </c>
      <c r="S743" s="7">
        <v>0</v>
      </c>
      <c r="T743" s="7">
        <f>R743-S743</f>
        <v>0</v>
      </c>
      <c r="U743" s="7">
        <f>T743*O743</f>
        <v>0</v>
      </c>
    </row>
    <row r="744" spans="1:21">
      <c r="A744" s="4" t="s">
        <v>1089</v>
      </c>
      <c r="B744" s="4" t="s">
        <v>48</v>
      </c>
      <c r="C744" s="5">
        <v>45926.72211805556</v>
      </c>
      <c r="D744" s="5">
        <v>45961</v>
      </c>
      <c r="E744" s="6">
        <f>IF(AND(C744&lt;&gt;"",D744&lt;&gt;""),D744-C744,"")</f>
        <v>0</v>
      </c>
      <c r="F744" s="4" t="s">
        <v>162</v>
      </c>
      <c r="G744" s="4" t="s">
        <v>202</v>
      </c>
      <c r="H744" s="4" t="s">
        <v>32</v>
      </c>
      <c r="I744" s="4" t="s">
        <v>33</v>
      </c>
      <c r="J744" s="4">
        <v>2</v>
      </c>
      <c r="K744" s="4">
        <v>2</v>
      </c>
      <c r="L744" s="4">
        <f>J744+K744</f>
        <v>0</v>
      </c>
      <c r="M744" s="4"/>
      <c r="N744" s="4"/>
      <c r="O744" s="4">
        <v>0</v>
      </c>
      <c r="P744" s="4"/>
      <c r="Q744" s="4"/>
      <c r="R744" s="7">
        <v>0</v>
      </c>
      <c r="S744" s="7">
        <v>0</v>
      </c>
      <c r="T744" s="7">
        <f>R744-S744</f>
        <v>0</v>
      </c>
      <c r="U744" s="7">
        <f>T744*O744</f>
        <v>0</v>
      </c>
    </row>
    <row r="745" spans="1:21">
      <c r="A745" s="4" t="s">
        <v>1090</v>
      </c>
      <c r="B745" s="4" t="s">
        <v>48</v>
      </c>
      <c r="C745" s="5">
        <v>45927.23995370371</v>
      </c>
      <c r="D745" s="5">
        <v>45961</v>
      </c>
      <c r="E745" s="6">
        <f>IF(AND(C745&lt;&gt;"",D745&lt;&gt;""),D745-C745,"")</f>
        <v>0</v>
      </c>
      <c r="F745" s="4" t="s">
        <v>234</v>
      </c>
      <c r="G745" s="4" t="s">
        <v>235</v>
      </c>
      <c r="H745" s="4" t="s">
        <v>32</v>
      </c>
      <c r="I745" s="4" t="s">
        <v>33</v>
      </c>
      <c r="J745" s="4">
        <v>2</v>
      </c>
      <c r="K745" s="4">
        <v>0</v>
      </c>
      <c r="L745" s="4">
        <f>J745+K745</f>
        <v>0</v>
      </c>
      <c r="M745" s="4"/>
      <c r="N745" s="4"/>
      <c r="O745" s="4">
        <v>0</v>
      </c>
      <c r="P745" s="4"/>
      <c r="Q745" s="4"/>
      <c r="R745" s="7">
        <v>0</v>
      </c>
      <c r="S745" s="7">
        <v>0</v>
      </c>
      <c r="T745" s="7">
        <f>R745-S745</f>
        <v>0</v>
      </c>
      <c r="U745" s="7">
        <f>T745*O745</f>
        <v>0</v>
      </c>
    </row>
    <row r="746" spans="1:21">
      <c r="A746" s="4" t="s">
        <v>1091</v>
      </c>
      <c r="B746" s="4" t="s">
        <v>48</v>
      </c>
      <c r="C746" s="5">
        <v>45927.24552083333</v>
      </c>
      <c r="D746" s="5">
        <v>45961</v>
      </c>
      <c r="E746" s="6">
        <f>IF(AND(C746&lt;&gt;"",D746&lt;&gt;""),D746-C746,"")</f>
        <v>0</v>
      </c>
      <c r="F746" s="4" t="s">
        <v>219</v>
      </c>
      <c r="G746" s="4" t="s">
        <v>220</v>
      </c>
      <c r="H746" s="4" t="s">
        <v>32</v>
      </c>
      <c r="I746" s="4" t="s">
        <v>33</v>
      </c>
      <c r="J746" s="4">
        <v>2</v>
      </c>
      <c r="K746" s="4">
        <v>0</v>
      </c>
      <c r="L746" s="4">
        <f>J746+K746</f>
        <v>0</v>
      </c>
      <c r="M746" s="4"/>
      <c r="N746" s="4"/>
      <c r="O746" s="4">
        <v>0</v>
      </c>
      <c r="P746" s="4"/>
      <c r="Q746" s="4"/>
      <c r="R746" s="7">
        <v>0</v>
      </c>
      <c r="S746" s="7">
        <v>0</v>
      </c>
      <c r="T746" s="7">
        <f>R746-S746</f>
        <v>0</v>
      </c>
      <c r="U746" s="7">
        <f>T746*O746</f>
        <v>0</v>
      </c>
    </row>
    <row r="747" spans="1:21">
      <c r="A747" s="4" t="s">
        <v>1092</v>
      </c>
      <c r="B747" s="4" t="s">
        <v>48</v>
      </c>
      <c r="C747" s="5">
        <v>45927.24618055556</v>
      </c>
      <c r="D747" s="5">
        <v>45961</v>
      </c>
      <c r="E747" s="6">
        <f>IF(AND(C747&lt;&gt;"",D747&lt;&gt;""),D747-C747,"")</f>
        <v>0</v>
      </c>
      <c r="F747" s="4" t="s">
        <v>201</v>
      </c>
      <c r="G747" s="4" t="s">
        <v>202</v>
      </c>
      <c r="H747" s="4" t="s">
        <v>32</v>
      </c>
      <c r="I747" s="4" t="s">
        <v>33</v>
      </c>
      <c r="J747" s="4">
        <v>2</v>
      </c>
      <c r="K747" s="4">
        <v>0</v>
      </c>
      <c r="L747" s="4">
        <f>J747+K747</f>
        <v>0</v>
      </c>
      <c r="M747" s="4"/>
      <c r="N747" s="4"/>
      <c r="O747" s="4">
        <v>0</v>
      </c>
      <c r="P747" s="4"/>
      <c r="Q747" s="4"/>
      <c r="R747" s="7">
        <v>0</v>
      </c>
      <c r="S747" s="7">
        <v>0</v>
      </c>
      <c r="T747" s="7">
        <f>R747-S747</f>
        <v>0</v>
      </c>
      <c r="U747" s="7">
        <f>T747*O747</f>
        <v>0</v>
      </c>
    </row>
    <row r="748" spans="1:21">
      <c r="A748" s="4" t="s">
        <v>1093</v>
      </c>
      <c r="B748" s="4" t="s">
        <v>48</v>
      </c>
      <c r="C748" s="5">
        <v>45927.62546296296</v>
      </c>
      <c r="D748" s="5">
        <v>45961</v>
      </c>
      <c r="E748" s="6">
        <f>IF(AND(C748&lt;&gt;"",D748&lt;&gt;""),D748-C748,"")</f>
        <v>0</v>
      </c>
      <c r="F748" s="4" t="s">
        <v>64</v>
      </c>
      <c r="G748" s="4" t="s">
        <v>1094</v>
      </c>
      <c r="H748" s="4" t="s">
        <v>32</v>
      </c>
      <c r="I748" s="4" t="s">
        <v>33</v>
      </c>
      <c r="J748" s="4">
        <v>1</v>
      </c>
      <c r="K748" s="4">
        <v>0</v>
      </c>
      <c r="L748" s="4">
        <f>J748+K748</f>
        <v>0</v>
      </c>
      <c r="M748" s="4"/>
      <c r="N748" s="4"/>
      <c r="O748" s="4">
        <v>0</v>
      </c>
      <c r="P748" s="4"/>
      <c r="Q748" s="4"/>
      <c r="R748" s="7">
        <v>0</v>
      </c>
      <c r="S748" s="7">
        <v>0</v>
      </c>
      <c r="T748" s="7">
        <f>R748-S748</f>
        <v>0</v>
      </c>
      <c r="U748" s="7">
        <f>T748*O748</f>
        <v>0</v>
      </c>
    </row>
    <row r="749" spans="1:21">
      <c r="A749" s="4" t="s">
        <v>1095</v>
      </c>
      <c r="B749" s="4" t="s">
        <v>39</v>
      </c>
      <c r="C749" s="5">
        <v>45927.63684027778</v>
      </c>
      <c r="D749" s="5">
        <v>45927</v>
      </c>
      <c r="E749" s="6">
        <f>IF(AND(C749&lt;&gt;"",D749&lt;&gt;""),D749-C749,"")</f>
        <v>0</v>
      </c>
      <c r="F749" s="4" t="s">
        <v>1096</v>
      </c>
      <c r="G749" s="4" t="s">
        <v>1097</v>
      </c>
      <c r="H749" s="4" t="s">
        <v>177</v>
      </c>
      <c r="I749" s="4" t="s">
        <v>56</v>
      </c>
      <c r="J749" s="4">
        <v>0</v>
      </c>
      <c r="K749" s="4">
        <v>0</v>
      </c>
      <c r="L749" s="4">
        <f>J749+K749</f>
        <v>0</v>
      </c>
      <c r="M749" s="4" t="s">
        <v>370</v>
      </c>
      <c r="N749" s="4"/>
      <c r="O749" s="4">
        <v>1</v>
      </c>
      <c r="P749" s="4" t="s">
        <v>135</v>
      </c>
      <c r="Q749" s="4"/>
      <c r="R749" s="7">
        <v>5000000</v>
      </c>
      <c r="S749" s="7">
        <v>0</v>
      </c>
      <c r="T749" s="7">
        <f>R749-S749</f>
        <v>0</v>
      </c>
      <c r="U749" s="7">
        <f>T749*O749</f>
        <v>0</v>
      </c>
    </row>
    <row r="750" spans="1:21">
      <c r="A750" s="4" t="s">
        <v>1095</v>
      </c>
      <c r="B750" s="4" t="s">
        <v>39</v>
      </c>
      <c r="C750" s="5">
        <v>45927.63684027778</v>
      </c>
      <c r="D750" s="5">
        <v>45927</v>
      </c>
      <c r="E750" s="6">
        <f>IF(AND(C750&lt;&gt;"",D750&lt;&gt;""),D750-C750,"")</f>
        <v>0</v>
      </c>
      <c r="F750" s="4" t="s">
        <v>1096</v>
      </c>
      <c r="G750" s="4" t="s">
        <v>1097</v>
      </c>
      <c r="H750" s="4" t="s">
        <v>177</v>
      </c>
      <c r="I750" s="4" t="s">
        <v>56</v>
      </c>
      <c r="J750" s="4">
        <v>1</v>
      </c>
      <c r="K750" s="4">
        <v>0</v>
      </c>
      <c r="L750" s="4">
        <f>J750+K750</f>
        <v>0</v>
      </c>
      <c r="M750" s="4" t="s">
        <v>42</v>
      </c>
      <c r="N750" s="4"/>
      <c r="O750" s="4">
        <v>1</v>
      </c>
      <c r="P750" s="4" t="s">
        <v>135</v>
      </c>
      <c r="Q750" s="4"/>
      <c r="R750" s="7">
        <v>370000</v>
      </c>
      <c r="S750" s="7">
        <v>0</v>
      </c>
      <c r="T750" s="7">
        <f>R750-S750</f>
        <v>0</v>
      </c>
      <c r="U750" s="7">
        <f>T750*O750</f>
        <v>0</v>
      </c>
    </row>
    <row r="751" spans="1:21">
      <c r="A751" s="4" t="s">
        <v>1098</v>
      </c>
      <c r="B751" s="4" t="s">
        <v>48</v>
      </c>
      <c r="C751" s="5">
        <v>45928.18452546297</v>
      </c>
      <c r="D751" s="5">
        <v>45961</v>
      </c>
      <c r="E751" s="6">
        <f>IF(AND(C751&lt;&gt;"",D751&lt;&gt;""),D751-C751,"")</f>
        <v>0</v>
      </c>
      <c r="F751" s="4" t="s">
        <v>234</v>
      </c>
      <c r="G751" s="4" t="s">
        <v>235</v>
      </c>
      <c r="H751" s="4" t="s">
        <v>32</v>
      </c>
      <c r="I751" s="4" t="s">
        <v>33</v>
      </c>
      <c r="J751" s="4">
        <v>1</v>
      </c>
      <c r="K751" s="4">
        <v>0</v>
      </c>
      <c r="L751" s="4">
        <f>J751+K751</f>
        <v>0</v>
      </c>
      <c r="M751" s="4"/>
      <c r="N751" s="4"/>
      <c r="O751" s="4">
        <v>0</v>
      </c>
      <c r="P751" s="4"/>
      <c r="Q751" s="4"/>
      <c r="R751" s="7">
        <v>0</v>
      </c>
      <c r="S751" s="7">
        <v>0</v>
      </c>
      <c r="T751" s="7">
        <f>R751-S751</f>
        <v>0</v>
      </c>
      <c r="U751" s="7">
        <f>T751*O751</f>
        <v>0</v>
      </c>
    </row>
    <row r="752" spans="1:21">
      <c r="A752" s="4" t="s">
        <v>1099</v>
      </c>
      <c r="B752" s="4" t="s">
        <v>39</v>
      </c>
      <c r="C752" s="5">
        <v>45928.30509259259</v>
      </c>
      <c r="D752" s="5">
        <v>45928</v>
      </c>
      <c r="E752" s="6">
        <f>IF(AND(C752&lt;&gt;"",D752&lt;&gt;""),D752-C752,"")</f>
        <v>0</v>
      </c>
      <c r="F752" s="4" t="s">
        <v>162</v>
      </c>
      <c r="G752" s="4" t="s">
        <v>163</v>
      </c>
      <c r="H752" s="4" t="s">
        <v>32</v>
      </c>
      <c r="I752" s="4" t="s">
        <v>33</v>
      </c>
      <c r="J752" s="4">
        <v>1</v>
      </c>
      <c r="K752" s="4">
        <v>0</v>
      </c>
      <c r="L752" s="4">
        <f>J752+K752</f>
        <v>0</v>
      </c>
      <c r="M752" s="4" t="s">
        <v>1100</v>
      </c>
      <c r="N752" s="4"/>
      <c r="O752" s="4">
        <v>1</v>
      </c>
      <c r="P752" s="4" t="s">
        <v>43</v>
      </c>
      <c r="Q752" s="4" t="s">
        <v>44</v>
      </c>
      <c r="R752" s="7">
        <v>1500000</v>
      </c>
      <c r="S752" s="7">
        <v>0</v>
      </c>
      <c r="T752" s="7">
        <f>R752-S752</f>
        <v>0</v>
      </c>
      <c r="U752" s="7">
        <f>T752*O752</f>
        <v>0</v>
      </c>
    </row>
    <row r="753" spans="1:21">
      <c r="A753" s="4" t="s">
        <v>1099</v>
      </c>
      <c r="B753" s="4" t="s">
        <v>39</v>
      </c>
      <c r="C753" s="5">
        <v>45928.30509259259</v>
      </c>
      <c r="D753" s="5">
        <v>45928</v>
      </c>
      <c r="E753" s="6">
        <f>IF(AND(C753&lt;&gt;"",D753&lt;&gt;""),D753-C753,"")</f>
        <v>0</v>
      </c>
      <c r="F753" s="4" t="s">
        <v>162</v>
      </c>
      <c r="G753" s="4" t="s">
        <v>163</v>
      </c>
      <c r="H753" s="4" t="s">
        <v>32</v>
      </c>
      <c r="I753" s="4" t="s">
        <v>33</v>
      </c>
      <c r="J753" s="4">
        <v>1</v>
      </c>
      <c r="K753" s="4">
        <v>0</v>
      </c>
      <c r="L753" s="4">
        <f>J753+K753</f>
        <v>0</v>
      </c>
      <c r="M753" s="4" t="s">
        <v>976</v>
      </c>
      <c r="N753" s="4"/>
      <c r="O753" s="4">
        <v>1</v>
      </c>
      <c r="P753" s="4" t="s">
        <v>43</v>
      </c>
      <c r="Q753" s="4" t="s">
        <v>44</v>
      </c>
      <c r="R753" s="7">
        <v>0</v>
      </c>
      <c r="S753" s="7">
        <v>0</v>
      </c>
      <c r="T753" s="7">
        <f>R753-S753</f>
        <v>0</v>
      </c>
      <c r="U753" s="7">
        <f>T753*O753</f>
        <v>0</v>
      </c>
    </row>
    <row r="754" spans="1:21">
      <c r="A754" s="4" t="s">
        <v>1101</v>
      </c>
      <c r="B754" s="4"/>
      <c r="C754" s="5">
        <v>45928.30694444444</v>
      </c>
      <c r="D754" s="5">
        <v>45961</v>
      </c>
      <c r="E754" s="6">
        <f>IF(AND(C754&lt;&gt;"",D754&lt;&gt;""),D754-C754,"")</f>
        <v>0</v>
      </c>
      <c r="F754" s="4" t="s">
        <v>874</v>
      </c>
      <c r="G754" s="4" t="s">
        <v>875</v>
      </c>
      <c r="H754" s="4" t="s">
        <v>32</v>
      </c>
      <c r="I754" s="4" t="s">
        <v>33</v>
      </c>
      <c r="J754" s="4">
        <v>1</v>
      </c>
      <c r="K754" s="4">
        <v>0</v>
      </c>
      <c r="L754" s="4">
        <f>J754+K754</f>
        <v>0</v>
      </c>
      <c r="M754" s="4"/>
      <c r="N754" s="4"/>
      <c r="O754" s="4">
        <v>0</v>
      </c>
      <c r="P754" s="4"/>
      <c r="Q754" s="4"/>
      <c r="R754" s="7">
        <v>0</v>
      </c>
      <c r="S754" s="7">
        <v>0</v>
      </c>
      <c r="T754" s="7">
        <f>R754-S754</f>
        <v>0</v>
      </c>
      <c r="U754" s="7">
        <f>T754*O754</f>
        <v>0</v>
      </c>
    </row>
    <row r="755" spans="1:21">
      <c r="A755" s="4" t="s">
        <v>1102</v>
      </c>
      <c r="B755" s="4" t="s">
        <v>39</v>
      </c>
      <c r="C755" s="5">
        <v>45928.33813657407</v>
      </c>
      <c r="D755" s="5">
        <v>45928</v>
      </c>
      <c r="E755" s="6">
        <f>IF(AND(C755&lt;&gt;"",D755&lt;&gt;""),D755-C755,"")</f>
        <v>0</v>
      </c>
      <c r="F755" s="4" t="s">
        <v>130</v>
      </c>
      <c r="G755" s="4" t="s">
        <v>62</v>
      </c>
      <c r="H755" s="4" t="s">
        <v>32</v>
      </c>
      <c r="I755" s="4" t="s">
        <v>33</v>
      </c>
      <c r="J755" s="4">
        <v>1</v>
      </c>
      <c r="K755" s="4">
        <v>0</v>
      </c>
      <c r="L755" s="4">
        <f>J755+K755</f>
        <v>0</v>
      </c>
      <c r="M755" s="4" t="s">
        <v>976</v>
      </c>
      <c r="N755" s="4"/>
      <c r="O755" s="4">
        <v>1</v>
      </c>
      <c r="P755" s="4" t="s">
        <v>43</v>
      </c>
      <c r="Q755" s="4" t="s">
        <v>44</v>
      </c>
      <c r="R755" s="7">
        <v>0</v>
      </c>
      <c r="S755" s="7">
        <v>0</v>
      </c>
      <c r="T755" s="7">
        <f>R755-S755</f>
        <v>0</v>
      </c>
      <c r="U755" s="7">
        <f>T755*O755</f>
        <v>0</v>
      </c>
    </row>
    <row r="756" spans="1:21">
      <c r="A756" s="4" t="s">
        <v>1102</v>
      </c>
      <c r="B756" s="4" t="s">
        <v>39</v>
      </c>
      <c r="C756" s="5">
        <v>45928.33813657407</v>
      </c>
      <c r="D756" s="5">
        <v>45928</v>
      </c>
      <c r="E756" s="6">
        <f>IF(AND(C756&lt;&gt;"",D756&lt;&gt;""),D756-C756,"")</f>
        <v>0</v>
      </c>
      <c r="F756" s="4" t="s">
        <v>130</v>
      </c>
      <c r="G756" s="4" t="s">
        <v>62</v>
      </c>
      <c r="H756" s="4" t="s">
        <v>32</v>
      </c>
      <c r="I756" s="4" t="s">
        <v>33</v>
      </c>
      <c r="J756" s="4">
        <v>1</v>
      </c>
      <c r="K756" s="4">
        <v>0</v>
      </c>
      <c r="L756" s="4">
        <f>J756+K756</f>
        <v>0</v>
      </c>
      <c r="M756" s="4" t="s">
        <v>1100</v>
      </c>
      <c r="N756" s="4"/>
      <c r="O756" s="4">
        <v>1</v>
      </c>
      <c r="P756" s="4" t="s">
        <v>43</v>
      </c>
      <c r="Q756" s="4" t="s">
        <v>44</v>
      </c>
      <c r="R756" s="7">
        <v>1500000</v>
      </c>
      <c r="S756" s="7">
        <v>0</v>
      </c>
      <c r="T756" s="7">
        <f>R756-S756</f>
        <v>0</v>
      </c>
      <c r="U756" s="7">
        <f>T756*O756</f>
        <v>0</v>
      </c>
    </row>
    <row r="757" spans="1:21">
      <c r="A757" s="4" t="s">
        <v>1103</v>
      </c>
      <c r="B757" s="4" t="s">
        <v>48</v>
      </c>
      <c r="C757" s="5">
        <v>45928.59361111111</v>
      </c>
      <c r="D757" s="5">
        <v>45961</v>
      </c>
      <c r="E757" s="6">
        <f>IF(AND(C757&lt;&gt;"",D757&lt;&gt;""),D757-C757,"")</f>
        <v>0</v>
      </c>
      <c r="F757" s="4" t="s">
        <v>201</v>
      </c>
      <c r="G757" s="4" t="s">
        <v>202</v>
      </c>
      <c r="H757" s="4" t="s">
        <v>32</v>
      </c>
      <c r="I757" s="4" t="s">
        <v>33</v>
      </c>
      <c r="J757" s="4">
        <v>2</v>
      </c>
      <c r="K757" s="4">
        <v>0</v>
      </c>
      <c r="L757" s="4">
        <f>J757+K757</f>
        <v>0</v>
      </c>
      <c r="M757" s="4"/>
      <c r="N757" s="4"/>
      <c r="O757" s="4">
        <v>0</v>
      </c>
      <c r="P757" s="4"/>
      <c r="Q757" s="4"/>
      <c r="R757" s="7">
        <v>0</v>
      </c>
      <c r="S757" s="7">
        <v>0</v>
      </c>
      <c r="T757" s="7">
        <f>R757-S757</f>
        <v>0</v>
      </c>
      <c r="U757" s="7">
        <f>T757*O757</f>
        <v>0</v>
      </c>
    </row>
    <row r="758" spans="1:21">
      <c r="A758" s="4" t="s">
        <v>1104</v>
      </c>
      <c r="B758" s="4" t="s">
        <v>48</v>
      </c>
      <c r="C758" s="5">
        <v>45928.7074074074</v>
      </c>
      <c r="D758" s="5">
        <v>45961</v>
      </c>
      <c r="E758" s="6">
        <f>IF(AND(C758&lt;&gt;"",D758&lt;&gt;""),D758-C758,"")</f>
        <v>0</v>
      </c>
      <c r="F758" s="4" t="s">
        <v>234</v>
      </c>
      <c r="G758" s="4" t="s">
        <v>235</v>
      </c>
      <c r="H758" s="4" t="s">
        <v>32</v>
      </c>
      <c r="I758" s="4" t="s">
        <v>33</v>
      </c>
      <c r="J758" s="4">
        <v>7</v>
      </c>
      <c r="K758" s="4">
        <v>0</v>
      </c>
      <c r="L758" s="4">
        <f>J758+K758</f>
        <v>0</v>
      </c>
      <c r="M758" s="4"/>
      <c r="N758" s="4"/>
      <c r="O758" s="4">
        <v>0</v>
      </c>
      <c r="P758" s="4"/>
      <c r="Q758" s="4"/>
      <c r="R758" s="7">
        <v>0</v>
      </c>
      <c r="S758" s="7">
        <v>0</v>
      </c>
      <c r="T758" s="7">
        <f>R758-S758</f>
        <v>0</v>
      </c>
      <c r="U758" s="7">
        <f>T758*O758</f>
        <v>0</v>
      </c>
    </row>
    <row r="759" spans="1:21">
      <c r="A759" s="4" t="s">
        <v>1105</v>
      </c>
      <c r="B759" s="4" t="s">
        <v>29</v>
      </c>
      <c r="C759" s="5">
        <v>45928.82421296297</v>
      </c>
      <c r="D759" s="5">
        <v>45961</v>
      </c>
      <c r="E759" s="6">
        <f>IF(AND(C759&lt;&gt;"",D759&lt;&gt;""),D759-C759,"")</f>
        <v>0</v>
      </c>
      <c r="F759" s="4" t="s">
        <v>162</v>
      </c>
      <c r="G759" s="4" t="s">
        <v>202</v>
      </c>
      <c r="H759" s="4" t="s">
        <v>32</v>
      </c>
      <c r="I759" s="4" t="s">
        <v>33</v>
      </c>
      <c r="J759" s="4">
        <v>2</v>
      </c>
      <c r="K759" s="4">
        <v>21</v>
      </c>
      <c r="L759" s="4">
        <f>J759+K759</f>
        <v>0</v>
      </c>
      <c r="M759" s="4"/>
      <c r="N759" s="4"/>
      <c r="O759" s="4">
        <v>0</v>
      </c>
      <c r="P759" s="4"/>
      <c r="Q759" s="4"/>
      <c r="R759" s="7">
        <v>0</v>
      </c>
      <c r="S759" s="7">
        <v>0</v>
      </c>
      <c r="T759" s="7">
        <f>R759-S759</f>
        <v>0</v>
      </c>
      <c r="U759" s="7">
        <f>T759*O759</f>
        <v>0</v>
      </c>
    </row>
    <row r="760" spans="1:21">
      <c r="A760" s="4" t="s">
        <v>1106</v>
      </c>
      <c r="B760" s="4" t="s">
        <v>29</v>
      </c>
      <c r="C760" s="5">
        <v>45928.82422453703</v>
      </c>
      <c r="D760" s="5">
        <v>45961</v>
      </c>
      <c r="E760" s="6">
        <f>IF(AND(C760&lt;&gt;"",D760&lt;&gt;""),D760-C760,"")</f>
        <v>0</v>
      </c>
      <c r="F760" s="4" t="s">
        <v>162</v>
      </c>
      <c r="G760" s="4" t="s">
        <v>202</v>
      </c>
      <c r="H760" s="4" t="s">
        <v>32</v>
      </c>
      <c r="I760" s="4" t="s">
        <v>33</v>
      </c>
      <c r="J760" s="4">
        <v>2</v>
      </c>
      <c r="K760" s="4">
        <v>2</v>
      </c>
      <c r="L760" s="4">
        <f>J760+K760</f>
        <v>0</v>
      </c>
      <c r="M760" s="4"/>
      <c r="N760" s="4"/>
      <c r="O760" s="4">
        <v>0</v>
      </c>
      <c r="P760" s="4"/>
      <c r="Q760" s="4"/>
      <c r="R760" s="7">
        <v>0</v>
      </c>
      <c r="S760" s="7">
        <v>0</v>
      </c>
      <c r="T760" s="7">
        <f>R760-S760</f>
        <v>0</v>
      </c>
      <c r="U760" s="7">
        <f>T760*O760</f>
        <v>0</v>
      </c>
    </row>
    <row r="761" spans="1:21">
      <c r="A761" s="4" t="s">
        <v>1107</v>
      </c>
      <c r="B761" s="4" t="s">
        <v>29</v>
      </c>
      <c r="C761" s="5">
        <v>45929.37524305555</v>
      </c>
      <c r="D761" s="5">
        <v>45961</v>
      </c>
      <c r="E761" s="6">
        <f>IF(AND(C761&lt;&gt;"",D761&lt;&gt;""),D761-C761,"")</f>
        <v>0</v>
      </c>
      <c r="F761" s="4" t="s">
        <v>307</v>
      </c>
      <c r="G761" s="4" t="s">
        <v>308</v>
      </c>
      <c r="H761" s="4" t="s">
        <v>190</v>
      </c>
      <c r="I761" s="4" t="s">
        <v>56</v>
      </c>
      <c r="J761" s="4">
        <v>1</v>
      </c>
      <c r="K761" s="4">
        <v>0</v>
      </c>
      <c r="L761" s="4">
        <f>J761+K761</f>
        <v>0</v>
      </c>
      <c r="M761" s="4"/>
      <c r="N761" s="4"/>
      <c r="O761" s="4">
        <v>0</v>
      </c>
      <c r="P761" s="4"/>
      <c r="Q761" s="4"/>
      <c r="R761" s="7">
        <v>0</v>
      </c>
      <c r="S761" s="7">
        <v>0</v>
      </c>
      <c r="T761" s="7">
        <f>R761-S761</f>
        <v>0</v>
      </c>
      <c r="U761" s="7">
        <f>T761*O761</f>
        <v>0</v>
      </c>
    </row>
    <row r="762" spans="1:21">
      <c r="A762" s="4" t="s">
        <v>1108</v>
      </c>
      <c r="B762" s="4" t="s">
        <v>48</v>
      </c>
      <c r="C762" s="5">
        <v>45929.38680555556</v>
      </c>
      <c r="D762" s="5">
        <v>45961</v>
      </c>
      <c r="E762" s="6">
        <f>IF(AND(C762&lt;&gt;"",D762&lt;&gt;""),D762-C762,"")</f>
        <v>0</v>
      </c>
      <c r="F762" s="4" t="s">
        <v>40</v>
      </c>
      <c r="G762" s="4" t="s">
        <v>41</v>
      </c>
      <c r="H762" s="4" t="s">
        <v>32</v>
      </c>
      <c r="I762" s="4" t="s">
        <v>33</v>
      </c>
      <c r="J762" s="4">
        <v>4</v>
      </c>
      <c r="K762" s="4">
        <v>0</v>
      </c>
      <c r="L762" s="4">
        <f>J762+K762</f>
        <v>0</v>
      </c>
      <c r="M762" s="4"/>
      <c r="N762" s="4"/>
      <c r="O762" s="4">
        <v>0</v>
      </c>
      <c r="P762" s="4"/>
      <c r="Q762" s="4"/>
      <c r="R762" s="7">
        <v>0</v>
      </c>
      <c r="S762" s="7">
        <v>0</v>
      </c>
      <c r="T762" s="7">
        <f>R762-S762</f>
        <v>0</v>
      </c>
      <c r="U762" s="7">
        <f>T762*O762</f>
        <v>0</v>
      </c>
    </row>
    <row r="763" spans="1:21">
      <c r="A763" s="4" t="s">
        <v>1109</v>
      </c>
      <c r="B763" s="4" t="s">
        <v>39</v>
      </c>
      <c r="C763" s="5">
        <v>45929.3993287037</v>
      </c>
      <c r="D763" s="5">
        <v>45929</v>
      </c>
      <c r="E763" s="6">
        <f>IF(AND(C763&lt;&gt;"",D763&lt;&gt;""),D763-C763,"")</f>
        <v>0</v>
      </c>
      <c r="F763" s="4" t="s">
        <v>175</v>
      </c>
      <c r="G763" s="4" t="s">
        <v>176</v>
      </c>
      <c r="H763" s="4" t="s">
        <v>177</v>
      </c>
      <c r="I763" s="4" t="s">
        <v>56</v>
      </c>
      <c r="J763" s="4">
        <v>5</v>
      </c>
      <c r="K763" s="4">
        <v>0</v>
      </c>
      <c r="L763" s="4">
        <f>J763+K763</f>
        <v>0</v>
      </c>
      <c r="M763" s="4" t="s">
        <v>80</v>
      </c>
      <c r="N763" s="4"/>
      <c r="O763" s="4">
        <v>5</v>
      </c>
      <c r="P763" s="4" t="s">
        <v>135</v>
      </c>
      <c r="Q763" s="4" t="s">
        <v>44</v>
      </c>
      <c r="R763" s="7">
        <v>610000</v>
      </c>
      <c r="S763" s="7">
        <v>122000</v>
      </c>
      <c r="T763" s="7">
        <f>R763-S763</f>
        <v>0</v>
      </c>
      <c r="U763" s="7">
        <f>T763*O763</f>
        <v>0</v>
      </c>
    </row>
    <row r="764" spans="1:21">
      <c r="A764" s="4" t="s">
        <v>1110</v>
      </c>
      <c r="B764" s="4" t="s">
        <v>29</v>
      </c>
      <c r="C764" s="5">
        <v>45929.54688657408</v>
      </c>
      <c r="D764" s="5">
        <v>45961</v>
      </c>
      <c r="E764" s="6">
        <f>IF(AND(C764&lt;&gt;"",D764&lt;&gt;""),D764-C764,"")</f>
        <v>0</v>
      </c>
      <c r="F764" s="4" t="s">
        <v>307</v>
      </c>
      <c r="G764" s="4" t="s">
        <v>308</v>
      </c>
      <c r="H764" s="4" t="s">
        <v>190</v>
      </c>
      <c r="I764" s="4" t="s">
        <v>56</v>
      </c>
      <c r="J764" s="4">
        <v>1</v>
      </c>
      <c r="K764" s="4">
        <v>0</v>
      </c>
      <c r="L764" s="4">
        <f>J764+K764</f>
        <v>0</v>
      </c>
      <c r="M764" s="4"/>
      <c r="N764" s="4"/>
      <c r="O764" s="4">
        <v>0</v>
      </c>
      <c r="P764" s="4"/>
      <c r="Q764" s="4"/>
      <c r="R764" s="7">
        <v>0</v>
      </c>
      <c r="S764" s="7">
        <v>0</v>
      </c>
      <c r="T764" s="7">
        <f>R764-S764</f>
        <v>0</v>
      </c>
      <c r="U764" s="7">
        <f>T764*O764</f>
        <v>0</v>
      </c>
    </row>
    <row r="765" spans="1:21">
      <c r="A765" s="4" t="s">
        <v>1111</v>
      </c>
      <c r="B765" s="4" t="s">
        <v>29</v>
      </c>
      <c r="C765" s="5">
        <v>45929.63351851852</v>
      </c>
      <c r="D765" s="5">
        <v>45961</v>
      </c>
      <c r="E765" s="6">
        <f>IF(AND(C765&lt;&gt;"",D765&lt;&gt;""),D765-C765,"")</f>
        <v>0</v>
      </c>
      <c r="F765" s="4" t="s">
        <v>292</v>
      </c>
      <c r="G765" s="4" t="s">
        <v>293</v>
      </c>
      <c r="H765" s="4" t="s">
        <v>32</v>
      </c>
      <c r="I765" s="4" t="s">
        <v>33</v>
      </c>
      <c r="J765" s="4">
        <v>2</v>
      </c>
      <c r="K765" s="4">
        <v>1</v>
      </c>
      <c r="L765" s="4">
        <f>J765+K765</f>
        <v>0</v>
      </c>
      <c r="M765" s="4"/>
      <c r="N765" s="4"/>
      <c r="O765" s="4">
        <v>0</v>
      </c>
      <c r="P765" s="4"/>
      <c r="Q765" s="4"/>
      <c r="R765" s="7">
        <v>0</v>
      </c>
      <c r="S765" s="7">
        <v>0</v>
      </c>
      <c r="T765" s="7">
        <f>R765-S765</f>
        <v>0</v>
      </c>
      <c r="U765" s="7">
        <f>T765*O765</f>
        <v>0</v>
      </c>
    </row>
    <row r="766" spans="1:21">
      <c r="A766" s="4" t="s">
        <v>1112</v>
      </c>
      <c r="B766" s="4" t="s">
        <v>29</v>
      </c>
      <c r="C766" s="5">
        <v>45929.63760416667</v>
      </c>
      <c r="D766" s="5">
        <v>45961</v>
      </c>
      <c r="E766" s="6">
        <f>IF(AND(C766&lt;&gt;"",D766&lt;&gt;""),D766-C766,"")</f>
        <v>0</v>
      </c>
      <c r="F766" s="4" t="s">
        <v>234</v>
      </c>
      <c r="G766" s="4" t="s">
        <v>235</v>
      </c>
      <c r="H766" s="4" t="s">
        <v>32</v>
      </c>
      <c r="I766" s="4" t="s">
        <v>33</v>
      </c>
      <c r="J766" s="4">
        <v>2</v>
      </c>
      <c r="K766" s="4">
        <v>1</v>
      </c>
      <c r="L766" s="4">
        <f>J766+K766</f>
        <v>0</v>
      </c>
      <c r="M766" s="4"/>
      <c r="N766" s="4"/>
      <c r="O766" s="4">
        <v>0</v>
      </c>
      <c r="P766" s="4"/>
      <c r="Q766" s="4"/>
      <c r="R766" s="7">
        <v>0</v>
      </c>
      <c r="S766" s="7">
        <v>0</v>
      </c>
      <c r="T766" s="7">
        <f>R766-S766</f>
        <v>0</v>
      </c>
      <c r="U766" s="7">
        <f>T766*O766</f>
        <v>0</v>
      </c>
    </row>
    <row r="767" spans="1:21">
      <c r="A767" s="4" t="s">
        <v>1113</v>
      </c>
      <c r="B767" s="4" t="s">
        <v>48</v>
      </c>
      <c r="C767" s="5">
        <v>45930.11707175926</v>
      </c>
      <c r="D767" s="5">
        <v>45961</v>
      </c>
      <c r="E767" s="6">
        <f>IF(AND(C767&lt;&gt;"",D767&lt;&gt;""),D767-C767,"")</f>
        <v>0</v>
      </c>
      <c r="F767" s="4" t="s">
        <v>64</v>
      </c>
      <c r="G767" s="4" t="s">
        <v>1114</v>
      </c>
      <c r="H767" s="4" t="s">
        <v>32</v>
      </c>
      <c r="I767" s="4" t="s">
        <v>33</v>
      </c>
      <c r="J767" s="4">
        <v>1</v>
      </c>
      <c r="K767" s="4">
        <v>1</v>
      </c>
      <c r="L767" s="4">
        <f>J767+K767</f>
        <v>0</v>
      </c>
      <c r="M767" s="4"/>
      <c r="N767" s="4"/>
      <c r="O767" s="4">
        <v>0</v>
      </c>
      <c r="P767" s="4"/>
      <c r="Q767" s="4"/>
      <c r="R767" s="7">
        <v>0</v>
      </c>
      <c r="S767" s="7">
        <v>0</v>
      </c>
      <c r="T767" s="7">
        <f>R767-S767</f>
        <v>0</v>
      </c>
      <c r="U767" s="7">
        <f>T767*O767</f>
        <v>0</v>
      </c>
    </row>
    <row r="768" spans="1:21">
      <c r="A768" s="4" t="s">
        <v>1115</v>
      </c>
      <c r="B768" s="4" t="s">
        <v>48</v>
      </c>
      <c r="C768" s="5">
        <v>45930.12021990741</v>
      </c>
      <c r="D768" s="5">
        <v>45961</v>
      </c>
      <c r="E768" s="6">
        <f>IF(AND(C768&lt;&gt;"",D768&lt;&gt;""),D768-C768,"")</f>
        <v>0</v>
      </c>
      <c r="F768" s="4" t="s">
        <v>64</v>
      </c>
      <c r="G768" s="4" t="s">
        <v>1116</v>
      </c>
      <c r="H768" s="4" t="s">
        <v>32</v>
      </c>
      <c r="I768" s="4" t="s">
        <v>33</v>
      </c>
      <c r="J768" s="4">
        <v>1</v>
      </c>
      <c r="K768" s="4">
        <v>1</v>
      </c>
      <c r="L768" s="4">
        <f>J768+K768</f>
        <v>0</v>
      </c>
      <c r="M768" s="4"/>
      <c r="N768" s="4"/>
      <c r="O768" s="4">
        <v>0</v>
      </c>
      <c r="P768" s="4"/>
      <c r="Q768" s="4"/>
      <c r="R768" s="7">
        <v>0</v>
      </c>
      <c r="S768" s="7">
        <v>0</v>
      </c>
      <c r="T768" s="7">
        <f>R768-S768</f>
        <v>0</v>
      </c>
      <c r="U768" s="7">
        <f>T768*O768</f>
        <v>0</v>
      </c>
    </row>
    <row r="769" spans="1:21">
      <c r="A769" s="4" t="s">
        <v>1117</v>
      </c>
      <c r="B769" s="4" t="s">
        <v>39</v>
      </c>
      <c r="C769" s="5">
        <v>45930.12722222223</v>
      </c>
      <c r="D769" s="5">
        <v>45930</v>
      </c>
      <c r="E769" s="6">
        <f>IF(AND(C769&lt;&gt;"",D769&lt;&gt;""),D769-C769,"")</f>
        <v>0</v>
      </c>
      <c r="F769" s="4" t="s">
        <v>414</v>
      </c>
      <c r="G769" s="4" t="s">
        <v>415</v>
      </c>
      <c r="H769" s="4" t="s">
        <v>190</v>
      </c>
      <c r="I769" s="4" t="s">
        <v>56</v>
      </c>
      <c r="J769" s="4">
        <v>0</v>
      </c>
      <c r="K769" s="4">
        <v>1</v>
      </c>
      <c r="L769" s="4">
        <f>J769+K769</f>
        <v>0</v>
      </c>
      <c r="M769" s="4" t="s">
        <v>81</v>
      </c>
      <c r="N769" s="4"/>
      <c r="O769" s="4">
        <v>1</v>
      </c>
      <c r="P769" s="4" t="s">
        <v>43</v>
      </c>
      <c r="Q769" s="4" t="s">
        <v>44</v>
      </c>
      <c r="R769" s="7">
        <v>495000</v>
      </c>
      <c r="S769" s="7">
        <v>495000</v>
      </c>
      <c r="T769" s="7">
        <f>R769-S769</f>
        <v>0</v>
      </c>
      <c r="U769" s="7">
        <f>T769*O769</f>
        <v>0</v>
      </c>
    </row>
    <row r="770" spans="1:21">
      <c r="A770" s="4" t="s">
        <v>1117</v>
      </c>
      <c r="B770" s="4" t="s">
        <v>39</v>
      </c>
      <c r="C770" s="5">
        <v>45930.12722222223</v>
      </c>
      <c r="D770" s="5">
        <v>45930</v>
      </c>
      <c r="E770" s="6">
        <f>IF(AND(C770&lt;&gt;"",D770&lt;&gt;""),D770-C770,"")</f>
        <v>0</v>
      </c>
      <c r="F770" s="4" t="s">
        <v>414</v>
      </c>
      <c r="G770" s="4" t="s">
        <v>415</v>
      </c>
      <c r="H770" s="4" t="s">
        <v>190</v>
      </c>
      <c r="I770" s="4" t="s">
        <v>56</v>
      </c>
      <c r="J770" s="4">
        <v>1</v>
      </c>
      <c r="K770" s="4">
        <v>0</v>
      </c>
      <c r="L770" s="4">
        <f>J770+K770</f>
        <v>0</v>
      </c>
      <c r="M770" s="4" t="s">
        <v>42</v>
      </c>
      <c r="N770" s="4"/>
      <c r="O770" s="4">
        <v>1</v>
      </c>
      <c r="P770" s="4" t="s">
        <v>43</v>
      </c>
      <c r="Q770" s="4" t="s">
        <v>44</v>
      </c>
      <c r="R770" s="7">
        <v>370000</v>
      </c>
      <c r="S770" s="7">
        <v>370000</v>
      </c>
      <c r="T770" s="7">
        <f>R770-S770</f>
        <v>0</v>
      </c>
      <c r="U770" s="7">
        <f>T770*O770</f>
        <v>0</v>
      </c>
    </row>
    <row r="771" spans="1:21">
      <c r="A771" s="4" t="s">
        <v>1118</v>
      </c>
      <c r="B771" s="4" t="s">
        <v>48</v>
      </c>
      <c r="C771" s="5">
        <v>45930.12773148148</v>
      </c>
      <c r="D771" s="5">
        <v>45961</v>
      </c>
      <c r="E771" s="6">
        <f>IF(AND(C771&lt;&gt;"",D771&lt;&gt;""),D771-C771,"")</f>
        <v>0</v>
      </c>
      <c r="F771" s="4" t="s">
        <v>64</v>
      </c>
      <c r="G771" s="4" t="s">
        <v>1119</v>
      </c>
      <c r="H771" s="4" t="s">
        <v>32</v>
      </c>
      <c r="I771" s="4" t="s">
        <v>33</v>
      </c>
      <c r="J771" s="4">
        <v>2</v>
      </c>
      <c r="K771" s="4">
        <v>0</v>
      </c>
      <c r="L771" s="4">
        <f>J771+K771</f>
        <v>0</v>
      </c>
      <c r="M771" s="4"/>
      <c r="N771" s="4"/>
      <c r="O771" s="4">
        <v>0</v>
      </c>
      <c r="P771" s="4"/>
      <c r="Q771" s="4"/>
      <c r="R771" s="7">
        <v>0</v>
      </c>
      <c r="S771" s="7">
        <v>0</v>
      </c>
      <c r="T771" s="7">
        <f>R771-S771</f>
        <v>0</v>
      </c>
      <c r="U771" s="7">
        <f>T771*O771</f>
        <v>0</v>
      </c>
    </row>
    <row r="772" spans="1:21">
      <c r="A772" s="4" t="s">
        <v>1120</v>
      </c>
      <c r="B772" s="4" t="s">
        <v>39</v>
      </c>
      <c r="C772" s="5">
        <v>45930.13211805555</v>
      </c>
      <c r="D772" s="5">
        <v>45930</v>
      </c>
      <c r="E772" s="6">
        <f>IF(AND(C772&lt;&gt;"",D772&lt;&gt;""),D772-C772,"")</f>
        <v>0</v>
      </c>
      <c r="F772" s="4" t="s">
        <v>1121</v>
      </c>
      <c r="G772" s="4" t="s">
        <v>1122</v>
      </c>
      <c r="H772" s="4" t="s">
        <v>190</v>
      </c>
      <c r="I772" s="4" t="s">
        <v>56</v>
      </c>
      <c r="J772" s="4">
        <v>1</v>
      </c>
      <c r="K772" s="4">
        <v>0</v>
      </c>
      <c r="L772" s="4">
        <f>J772+K772</f>
        <v>0</v>
      </c>
      <c r="M772" s="4" t="s">
        <v>80</v>
      </c>
      <c r="N772" s="4"/>
      <c r="O772" s="4">
        <v>1</v>
      </c>
      <c r="P772" s="4" t="s">
        <v>43</v>
      </c>
      <c r="Q772" s="4" t="s">
        <v>44</v>
      </c>
      <c r="R772" s="7">
        <v>610000</v>
      </c>
      <c r="S772" s="7">
        <v>0</v>
      </c>
      <c r="T772" s="7">
        <f>R772-S772</f>
        <v>0</v>
      </c>
      <c r="U772" s="7">
        <f>T772*O772</f>
        <v>0</v>
      </c>
    </row>
    <row r="773" spans="1:21">
      <c r="A773" s="4" t="s">
        <v>1120</v>
      </c>
      <c r="B773" s="4" t="s">
        <v>39</v>
      </c>
      <c r="C773" s="5">
        <v>45930.13211805555</v>
      </c>
      <c r="D773" s="5">
        <v>45930</v>
      </c>
      <c r="E773" s="6">
        <f>IF(AND(C773&lt;&gt;"",D773&lt;&gt;""),D773-C773,"")</f>
        <v>0</v>
      </c>
      <c r="F773" s="4" t="s">
        <v>1121</v>
      </c>
      <c r="G773" s="4" t="s">
        <v>1122</v>
      </c>
      <c r="H773" s="4" t="s">
        <v>190</v>
      </c>
      <c r="I773" s="4" t="s">
        <v>56</v>
      </c>
      <c r="J773" s="4">
        <v>0</v>
      </c>
      <c r="K773" s="4">
        <v>0</v>
      </c>
      <c r="L773" s="4">
        <f>J773+K773</f>
        <v>0</v>
      </c>
      <c r="M773" s="4" t="s">
        <v>1123</v>
      </c>
      <c r="N773" s="4" t="s">
        <v>1124</v>
      </c>
      <c r="O773" s="4">
        <v>1</v>
      </c>
      <c r="P773" s="4" t="s">
        <v>43</v>
      </c>
      <c r="Q773" s="4" t="s">
        <v>44</v>
      </c>
      <c r="R773" s="7">
        <v>-50000</v>
      </c>
      <c r="S773" s="7">
        <v>0</v>
      </c>
      <c r="T773" s="7">
        <f>R773-S773</f>
        <v>0</v>
      </c>
      <c r="U773" s="7">
        <f>T773*O773</f>
        <v>0</v>
      </c>
    </row>
    <row r="774" spans="1:21">
      <c r="A774" s="4" t="s">
        <v>1125</v>
      </c>
      <c r="B774" s="4" t="s">
        <v>39</v>
      </c>
      <c r="C774" s="5">
        <v>45930.13814814815</v>
      </c>
      <c r="D774" s="5">
        <v>45930</v>
      </c>
      <c r="E774" s="6">
        <f>IF(AND(C774&lt;&gt;"",D774&lt;&gt;""),D774-C774,"")</f>
        <v>0</v>
      </c>
      <c r="F774" s="4" t="s">
        <v>1121</v>
      </c>
      <c r="G774" s="4" t="s">
        <v>1122</v>
      </c>
      <c r="H774" s="4" t="s">
        <v>190</v>
      </c>
      <c r="I774" s="4" t="s">
        <v>56</v>
      </c>
      <c r="J774" s="4">
        <v>1</v>
      </c>
      <c r="K774" s="4">
        <v>0</v>
      </c>
      <c r="L774" s="4">
        <f>J774+K774</f>
        <v>0</v>
      </c>
      <c r="M774" s="4" t="s">
        <v>80</v>
      </c>
      <c r="N774" s="4"/>
      <c r="O774" s="4">
        <v>1</v>
      </c>
      <c r="P774" s="4" t="s">
        <v>43</v>
      </c>
      <c r="Q774" s="4" t="s">
        <v>44</v>
      </c>
      <c r="R774" s="7">
        <v>610000</v>
      </c>
      <c r="S774" s="7">
        <v>610000</v>
      </c>
      <c r="T774" s="7">
        <f>R774-S774</f>
        <v>0</v>
      </c>
      <c r="U774" s="7">
        <f>T774*O774</f>
        <v>0</v>
      </c>
    </row>
    <row r="775" spans="1:21">
      <c r="A775" s="4" t="s">
        <v>1126</v>
      </c>
      <c r="B775" s="4" t="s">
        <v>39</v>
      </c>
      <c r="C775" s="5">
        <v>45930.14236111111</v>
      </c>
      <c r="D775" s="5">
        <v>45930</v>
      </c>
      <c r="E775" s="6">
        <f>IF(AND(C775&lt;&gt;"",D775&lt;&gt;""),D775-C775,"")</f>
        <v>0</v>
      </c>
      <c r="F775" s="4" t="s">
        <v>1077</v>
      </c>
      <c r="G775" s="4"/>
      <c r="H775" s="4"/>
      <c r="I775" s="4" t="s">
        <v>56</v>
      </c>
      <c r="J775" s="4">
        <v>1</v>
      </c>
      <c r="K775" s="4">
        <v>0</v>
      </c>
      <c r="L775" s="4">
        <f>J775+K775</f>
        <v>0</v>
      </c>
      <c r="M775" s="4" t="s">
        <v>80</v>
      </c>
      <c r="N775" s="4"/>
      <c r="O775" s="4">
        <v>1</v>
      </c>
      <c r="P775" s="4" t="s">
        <v>43</v>
      </c>
      <c r="Q775" s="4"/>
      <c r="R775" s="7">
        <v>610000</v>
      </c>
      <c r="S775" s="7">
        <v>610000</v>
      </c>
      <c r="T775" s="7">
        <f>R775-S775</f>
        <v>0</v>
      </c>
      <c r="U775" s="7">
        <f>T775*O775</f>
        <v>0</v>
      </c>
    </row>
    <row r="776" spans="1:21">
      <c r="A776" s="4" t="s">
        <v>1127</v>
      </c>
      <c r="B776" s="4" t="s">
        <v>39</v>
      </c>
      <c r="C776" s="5">
        <v>45930.15398148148</v>
      </c>
      <c r="D776" s="5">
        <v>45930</v>
      </c>
      <c r="E776" s="6">
        <f>IF(AND(C776&lt;&gt;"",D776&lt;&gt;""),D776-C776,"")</f>
        <v>0</v>
      </c>
      <c r="F776" s="4" t="s">
        <v>1128</v>
      </c>
      <c r="G776" s="4"/>
      <c r="H776" s="4"/>
      <c r="I776" s="4" t="s">
        <v>56</v>
      </c>
      <c r="J776" s="4">
        <v>0</v>
      </c>
      <c r="K776" s="4">
        <v>0</v>
      </c>
      <c r="L776" s="4">
        <f>J776+K776</f>
        <v>0</v>
      </c>
      <c r="M776" s="4" t="s">
        <v>1123</v>
      </c>
      <c r="N776" s="4" t="s">
        <v>1124</v>
      </c>
      <c r="O776" s="4">
        <v>1</v>
      </c>
      <c r="P776" s="4" t="s">
        <v>43</v>
      </c>
      <c r="Q776" s="4"/>
      <c r="R776" s="7">
        <v>-50000</v>
      </c>
      <c r="S776" s="7">
        <v>0</v>
      </c>
      <c r="T776" s="7">
        <f>R776-S776</f>
        <v>0</v>
      </c>
      <c r="U776" s="7">
        <f>T776*O776</f>
        <v>0</v>
      </c>
    </row>
    <row r="777" spans="1:21">
      <c r="A777" s="4" t="s">
        <v>1127</v>
      </c>
      <c r="B777" s="4" t="s">
        <v>39</v>
      </c>
      <c r="C777" s="5">
        <v>45930.15398148148</v>
      </c>
      <c r="D777" s="5">
        <v>45930</v>
      </c>
      <c r="E777" s="6">
        <f>IF(AND(C777&lt;&gt;"",D777&lt;&gt;""),D777-C777,"")</f>
        <v>0</v>
      </c>
      <c r="F777" s="4" t="s">
        <v>1128</v>
      </c>
      <c r="G777" s="4"/>
      <c r="H777" s="4"/>
      <c r="I777" s="4" t="s">
        <v>56</v>
      </c>
      <c r="J777" s="4">
        <v>1</v>
      </c>
      <c r="K777" s="4">
        <v>0</v>
      </c>
      <c r="L777" s="4">
        <f>J777+K777</f>
        <v>0</v>
      </c>
      <c r="M777" s="4" t="s">
        <v>80</v>
      </c>
      <c r="N777" s="4"/>
      <c r="O777" s="4">
        <v>1</v>
      </c>
      <c r="P777" s="4" t="s">
        <v>43</v>
      </c>
      <c r="Q777" s="4"/>
      <c r="R777" s="7">
        <v>610000</v>
      </c>
      <c r="S777" s="7">
        <v>0</v>
      </c>
      <c r="T777" s="7">
        <f>R777-S777</f>
        <v>0</v>
      </c>
      <c r="U777" s="7">
        <f>T777*O777</f>
        <v>0</v>
      </c>
    </row>
    <row r="778" spans="1:21">
      <c r="A778" s="4" t="s">
        <v>1129</v>
      </c>
      <c r="B778" s="4" t="s">
        <v>39</v>
      </c>
      <c r="C778" s="5">
        <v>45930.15883101852</v>
      </c>
      <c r="D778" s="5">
        <v>45961</v>
      </c>
      <c r="E778" s="6">
        <f>IF(AND(C778&lt;&gt;"",D778&lt;&gt;""),D778-C778,"")</f>
        <v>0</v>
      </c>
      <c r="F778" s="4" t="s">
        <v>1130</v>
      </c>
      <c r="G778" s="4" t="s">
        <v>1131</v>
      </c>
      <c r="H778" s="4" t="s">
        <v>32</v>
      </c>
      <c r="I778" s="4" t="s">
        <v>33</v>
      </c>
      <c r="J778" s="4">
        <v>3</v>
      </c>
      <c r="K778" s="4">
        <v>0</v>
      </c>
      <c r="L778" s="4">
        <f>J778+K778</f>
        <v>0</v>
      </c>
      <c r="M778" s="4"/>
      <c r="N778" s="4"/>
      <c r="O778" s="4">
        <v>0</v>
      </c>
      <c r="P778" s="4"/>
      <c r="Q778" s="4"/>
      <c r="R778" s="7">
        <v>0</v>
      </c>
      <c r="S778" s="7">
        <v>0</v>
      </c>
      <c r="T778" s="7">
        <f>R778-S778</f>
        <v>0</v>
      </c>
      <c r="U778" s="7">
        <f>T778*O778</f>
        <v>0</v>
      </c>
    </row>
    <row r="779" spans="1:21">
      <c r="A779" s="4" t="s">
        <v>1132</v>
      </c>
      <c r="B779" s="4" t="s">
        <v>39</v>
      </c>
      <c r="C779" s="5">
        <v>45930.16146990741</v>
      </c>
      <c r="D779" s="5">
        <v>45961</v>
      </c>
      <c r="E779" s="6">
        <f>IF(AND(C779&lt;&gt;"",D779&lt;&gt;""),D779-C779,"")</f>
        <v>0</v>
      </c>
      <c r="F779" s="4" t="s">
        <v>1133</v>
      </c>
      <c r="G779" s="4" t="s">
        <v>482</v>
      </c>
      <c r="H779" s="4" t="s">
        <v>190</v>
      </c>
      <c r="I779" s="4" t="s">
        <v>56</v>
      </c>
      <c r="J779" s="4">
        <v>3</v>
      </c>
      <c r="K779" s="4">
        <v>0</v>
      </c>
      <c r="L779" s="4">
        <f>J779+K779</f>
        <v>0</v>
      </c>
      <c r="M779" s="4"/>
      <c r="N779" s="4"/>
      <c r="O779" s="4">
        <v>0</v>
      </c>
      <c r="P779" s="4"/>
      <c r="Q779" s="4"/>
      <c r="R779" s="7">
        <v>0</v>
      </c>
      <c r="S779" s="7">
        <v>0</v>
      </c>
      <c r="T779" s="7">
        <f>R779-S779</f>
        <v>0</v>
      </c>
      <c r="U779" s="7">
        <f>T779*O779</f>
        <v>0</v>
      </c>
    </row>
    <row r="780" spans="1:21">
      <c r="A780" s="4" t="s">
        <v>1134</v>
      </c>
      <c r="B780" s="4" t="s">
        <v>48</v>
      </c>
      <c r="C780" s="5">
        <v>45930.16454861111</v>
      </c>
      <c r="D780" s="5">
        <v>45961</v>
      </c>
      <c r="E780" s="6">
        <f>IF(AND(C780&lt;&gt;"",D780&lt;&gt;""),D780-C780,"")</f>
        <v>0</v>
      </c>
      <c r="F780" s="4" t="s">
        <v>64</v>
      </c>
      <c r="G780" s="4" t="s">
        <v>1135</v>
      </c>
      <c r="H780" s="4" t="s">
        <v>32</v>
      </c>
      <c r="I780" s="4" t="s">
        <v>33</v>
      </c>
      <c r="J780" s="4">
        <v>2</v>
      </c>
      <c r="K780" s="4">
        <v>2</v>
      </c>
      <c r="L780" s="4">
        <f>J780+K780</f>
        <v>0</v>
      </c>
      <c r="M780" s="4"/>
      <c r="N780" s="4"/>
      <c r="O780" s="4">
        <v>0</v>
      </c>
      <c r="P780" s="4"/>
      <c r="Q780" s="4"/>
      <c r="R780" s="7">
        <v>0</v>
      </c>
      <c r="S780" s="7">
        <v>0</v>
      </c>
      <c r="T780" s="7">
        <f>R780-S780</f>
        <v>0</v>
      </c>
      <c r="U780" s="7">
        <f>T780*O780</f>
        <v>0</v>
      </c>
    </row>
    <row r="781" spans="1:21">
      <c r="A781" s="4" t="s">
        <v>1136</v>
      </c>
      <c r="B781" s="4" t="s">
        <v>48</v>
      </c>
      <c r="C781" s="5">
        <v>45930.16709490741</v>
      </c>
      <c r="D781" s="5">
        <v>45961</v>
      </c>
      <c r="E781" s="6">
        <f>IF(AND(C781&lt;&gt;"",D781&lt;&gt;""),D781-C781,"")</f>
        <v>0</v>
      </c>
      <c r="F781" s="4" t="s">
        <v>64</v>
      </c>
      <c r="G781" s="4" t="s">
        <v>1137</v>
      </c>
      <c r="H781" s="4" t="s">
        <v>32</v>
      </c>
      <c r="I781" s="4" t="s">
        <v>33</v>
      </c>
      <c r="J781" s="4">
        <v>2</v>
      </c>
      <c r="K781" s="4">
        <v>0</v>
      </c>
      <c r="L781" s="4">
        <f>J781+K781</f>
        <v>0</v>
      </c>
      <c r="M781" s="4"/>
      <c r="N781" s="4"/>
      <c r="O781" s="4">
        <v>0</v>
      </c>
      <c r="P781" s="4"/>
      <c r="Q781" s="4"/>
      <c r="R781" s="7">
        <v>0</v>
      </c>
      <c r="S781" s="7">
        <v>0</v>
      </c>
      <c r="T781" s="7">
        <f>R781-S781</f>
        <v>0</v>
      </c>
      <c r="U781" s="7">
        <f>T781*O781</f>
        <v>0</v>
      </c>
    </row>
    <row r="782" spans="1:21">
      <c r="A782" s="4" t="s">
        <v>1138</v>
      </c>
      <c r="B782" s="4" t="s">
        <v>48</v>
      </c>
      <c r="C782" s="5">
        <v>45930.16894675926</v>
      </c>
      <c r="D782" s="5">
        <v>45961</v>
      </c>
      <c r="E782" s="6">
        <f>IF(AND(C782&lt;&gt;"",D782&lt;&gt;""),D782-C782,"")</f>
        <v>0</v>
      </c>
      <c r="F782" s="4" t="s">
        <v>1139</v>
      </c>
      <c r="G782" s="4" t="s">
        <v>1140</v>
      </c>
      <c r="H782" s="4" t="s">
        <v>32</v>
      </c>
      <c r="I782" s="4" t="s">
        <v>33</v>
      </c>
      <c r="J782" s="4">
        <v>3</v>
      </c>
      <c r="K782" s="4">
        <v>0</v>
      </c>
      <c r="L782" s="4">
        <f>J782+K782</f>
        <v>0</v>
      </c>
      <c r="M782" s="4"/>
      <c r="N782" s="4"/>
      <c r="O782" s="4">
        <v>0</v>
      </c>
      <c r="P782" s="4"/>
      <c r="Q782" s="4"/>
      <c r="R782" s="7">
        <v>0</v>
      </c>
      <c r="S782" s="7">
        <v>0</v>
      </c>
      <c r="T782" s="7">
        <f>R782-S782</f>
        <v>0</v>
      </c>
      <c r="U782" s="7">
        <f>T782*O782</f>
        <v>0</v>
      </c>
    </row>
    <row r="783" spans="1:21">
      <c r="A783" s="4" t="s">
        <v>1141</v>
      </c>
      <c r="B783" s="4" t="s">
        <v>39</v>
      </c>
      <c r="C783" s="5">
        <v>45930.18181712963</v>
      </c>
      <c r="D783" s="5">
        <v>45930</v>
      </c>
      <c r="E783" s="6">
        <f>IF(AND(C783&lt;&gt;"",D783&lt;&gt;""),D783-C783,"")</f>
        <v>0</v>
      </c>
      <c r="F783" s="4" t="s">
        <v>1018</v>
      </c>
      <c r="G783" s="4" t="s">
        <v>1019</v>
      </c>
      <c r="H783" s="4" t="s">
        <v>177</v>
      </c>
      <c r="I783" s="4" t="s">
        <v>56</v>
      </c>
      <c r="J783" s="4">
        <v>1</v>
      </c>
      <c r="K783" s="4">
        <v>0</v>
      </c>
      <c r="L783" s="4">
        <f>J783+K783</f>
        <v>0</v>
      </c>
      <c r="M783" s="4" t="s">
        <v>976</v>
      </c>
      <c r="N783" s="4"/>
      <c r="O783" s="4">
        <v>1</v>
      </c>
      <c r="P783" s="4" t="s">
        <v>43</v>
      </c>
      <c r="Q783" s="4" t="s">
        <v>44</v>
      </c>
      <c r="R783" s="7">
        <v>1500000</v>
      </c>
      <c r="S783" s="7">
        <v>0</v>
      </c>
      <c r="T783" s="7">
        <f>R783-S783</f>
        <v>0</v>
      </c>
      <c r="U783" s="7">
        <f>T783*O783</f>
        <v>0</v>
      </c>
    </row>
    <row r="784" spans="1:21">
      <c r="A784" s="4" t="s">
        <v>1142</v>
      </c>
      <c r="B784" s="4" t="s">
        <v>48</v>
      </c>
      <c r="C784" s="5">
        <v>45930.20349537037</v>
      </c>
      <c r="D784" s="5">
        <v>45961</v>
      </c>
      <c r="E784" s="6">
        <f>IF(AND(C784&lt;&gt;"",D784&lt;&gt;""),D784-C784,"")</f>
        <v>0</v>
      </c>
      <c r="F784" s="4" t="s">
        <v>1143</v>
      </c>
      <c r="G784" s="4" t="s">
        <v>1144</v>
      </c>
      <c r="H784" s="4" t="s">
        <v>32</v>
      </c>
      <c r="I784" s="4" t="s">
        <v>33</v>
      </c>
      <c r="J784" s="4">
        <v>3</v>
      </c>
      <c r="K784" s="4">
        <v>0</v>
      </c>
      <c r="L784" s="4">
        <f>J784+K784</f>
        <v>0</v>
      </c>
      <c r="M784" s="4"/>
      <c r="N784" s="4"/>
      <c r="O784" s="4">
        <v>0</v>
      </c>
      <c r="P784" s="4"/>
      <c r="Q784" s="4"/>
      <c r="R784" s="7">
        <v>0</v>
      </c>
      <c r="S784" s="7">
        <v>0</v>
      </c>
      <c r="T784" s="7">
        <f>R784-S784</f>
        <v>0</v>
      </c>
      <c r="U784" s="7">
        <f>T784*O784</f>
        <v>0</v>
      </c>
    </row>
    <row r="785" spans="1:21">
      <c r="A785" s="4" t="s">
        <v>1145</v>
      </c>
      <c r="B785" s="4" t="s">
        <v>48</v>
      </c>
      <c r="C785" s="5">
        <v>45930.2071875</v>
      </c>
      <c r="D785" s="5">
        <v>45961</v>
      </c>
      <c r="E785" s="6">
        <f>IF(AND(C785&lt;&gt;"",D785&lt;&gt;""),D785-C785,"")</f>
        <v>0</v>
      </c>
      <c r="F785" s="4" t="s">
        <v>162</v>
      </c>
      <c r="G785" s="4" t="s">
        <v>202</v>
      </c>
      <c r="H785" s="4" t="s">
        <v>32</v>
      </c>
      <c r="I785" s="4" t="s">
        <v>33</v>
      </c>
      <c r="J785" s="4">
        <v>3</v>
      </c>
      <c r="K785" s="4">
        <v>0</v>
      </c>
      <c r="L785" s="4">
        <f>J785+K785</f>
        <v>0</v>
      </c>
      <c r="M785" s="4"/>
      <c r="N785" s="4"/>
      <c r="O785" s="4">
        <v>0</v>
      </c>
      <c r="P785" s="4"/>
      <c r="Q785" s="4"/>
      <c r="R785" s="7">
        <v>0</v>
      </c>
      <c r="S785" s="7">
        <v>0</v>
      </c>
      <c r="T785" s="7">
        <f>R785-S785</f>
        <v>0</v>
      </c>
      <c r="U785" s="7">
        <f>T785*O785</f>
        <v>0</v>
      </c>
    </row>
    <row r="786" spans="1:21">
      <c r="A786" s="4" t="s">
        <v>1146</v>
      </c>
      <c r="B786" s="4" t="s">
        <v>29</v>
      </c>
      <c r="C786" s="5">
        <v>45930.21195601852</v>
      </c>
      <c r="D786" s="5">
        <v>45961</v>
      </c>
      <c r="E786" s="6">
        <f>IF(AND(C786&lt;&gt;"",D786&lt;&gt;""),D786-C786,"")</f>
        <v>0</v>
      </c>
      <c r="F786" s="4" t="s">
        <v>307</v>
      </c>
      <c r="G786" s="4" t="s">
        <v>308</v>
      </c>
      <c r="H786" s="4" t="s">
        <v>190</v>
      </c>
      <c r="I786" s="4" t="s">
        <v>56</v>
      </c>
      <c r="J786" s="4">
        <v>1</v>
      </c>
      <c r="K786" s="4">
        <v>0</v>
      </c>
      <c r="L786" s="4">
        <f>J786+K786</f>
        <v>0</v>
      </c>
      <c r="M786" s="4"/>
      <c r="N786" s="4"/>
      <c r="O786" s="4">
        <v>0</v>
      </c>
      <c r="P786" s="4"/>
      <c r="Q786" s="4"/>
      <c r="R786" s="7">
        <v>0</v>
      </c>
      <c r="S786" s="7">
        <v>0</v>
      </c>
      <c r="T786" s="7">
        <f>R786-S786</f>
        <v>0</v>
      </c>
      <c r="U786" s="7">
        <f>T786*O786</f>
        <v>0</v>
      </c>
    </row>
    <row r="787" spans="1:21">
      <c r="A787" s="4" t="s">
        <v>1147</v>
      </c>
      <c r="B787" s="4" t="s">
        <v>48</v>
      </c>
      <c r="C787" s="5">
        <v>45930.22188657407</v>
      </c>
      <c r="D787" s="5">
        <v>45961</v>
      </c>
      <c r="E787" s="6">
        <f>IF(AND(C787&lt;&gt;"",D787&lt;&gt;""),D787-C787,"")</f>
        <v>0</v>
      </c>
      <c r="F787" s="4" t="s">
        <v>1148</v>
      </c>
      <c r="G787" s="4" t="s">
        <v>1149</v>
      </c>
      <c r="H787" s="4" t="s">
        <v>32</v>
      </c>
      <c r="I787" s="4" t="s">
        <v>33</v>
      </c>
      <c r="J787" s="4">
        <v>2</v>
      </c>
      <c r="K787" s="4">
        <v>0</v>
      </c>
      <c r="L787" s="4">
        <f>J787+K787</f>
        <v>0</v>
      </c>
      <c r="M787" s="4"/>
      <c r="N787" s="4"/>
      <c r="O787" s="4">
        <v>0</v>
      </c>
      <c r="P787" s="4"/>
      <c r="Q787" s="4"/>
      <c r="R787" s="7">
        <v>0</v>
      </c>
      <c r="S787" s="7">
        <v>0</v>
      </c>
      <c r="T787" s="7">
        <f>R787-S787</f>
        <v>0</v>
      </c>
      <c r="U787" s="7">
        <f>T787*O787</f>
        <v>0</v>
      </c>
    </row>
    <row r="788" spans="1:21">
      <c r="A788" s="4" t="s">
        <v>1150</v>
      </c>
      <c r="B788" s="4" t="s">
        <v>29</v>
      </c>
      <c r="C788" s="5">
        <v>45930.23519675926</v>
      </c>
      <c r="D788" s="5">
        <v>45961</v>
      </c>
      <c r="E788" s="6">
        <f>IF(AND(C788&lt;&gt;"",D788&lt;&gt;""),D788-C788,"")</f>
        <v>0</v>
      </c>
      <c r="F788" s="4" t="s">
        <v>307</v>
      </c>
      <c r="G788" s="4" t="s">
        <v>308</v>
      </c>
      <c r="H788" s="4" t="s">
        <v>190</v>
      </c>
      <c r="I788" s="4" t="s">
        <v>56</v>
      </c>
      <c r="J788" s="4">
        <v>1</v>
      </c>
      <c r="K788" s="4">
        <v>0</v>
      </c>
      <c r="L788" s="4">
        <f>J788+K788</f>
        <v>0</v>
      </c>
      <c r="M788" s="4"/>
      <c r="N788" s="4"/>
      <c r="O788" s="4">
        <v>0</v>
      </c>
      <c r="P788" s="4"/>
      <c r="Q788" s="4"/>
      <c r="R788" s="7">
        <v>0</v>
      </c>
      <c r="S788" s="7">
        <v>0</v>
      </c>
      <c r="T788" s="7">
        <f>R788-S788</f>
        <v>0</v>
      </c>
      <c r="U788" s="7">
        <f>T788*O788</f>
        <v>0</v>
      </c>
    </row>
    <row r="789" spans="1:21">
      <c r="A789" s="4" t="s">
        <v>1151</v>
      </c>
      <c r="B789" s="4" t="s">
        <v>39</v>
      </c>
      <c r="C789" s="5">
        <v>45930.23648148148</v>
      </c>
      <c r="D789" s="5">
        <v>45930</v>
      </c>
      <c r="E789" s="6">
        <f>IF(AND(C789&lt;&gt;"",D789&lt;&gt;""),D789-C789,"")</f>
        <v>0</v>
      </c>
      <c r="F789" s="4" t="s">
        <v>1152</v>
      </c>
      <c r="G789" s="4" t="s">
        <v>1153</v>
      </c>
      <c r="H789" s="4" t="s">
        <v>32</v>
      </c>
      <c r="I789" s="4" t="s">
        <v>33</v>
      </c>
      <c r="J789" s="4">
        <v>1</v>
      </c>
      <c r="K789" s="4">
        <v>0</v>
      </c>
      <c r="L789" s="4">
        <f>J789+K789</f>
        <v>0</v>
      </c>
      <c r="M789" s="4" t="s">
        <v>976</v>
      </c>
      <c r="N789" s="4"/>
      <c r="O789" s="4">
        <v>1</v>
      </c>
      <c r="P789" s="4" t="s">
        <v>43</v>
      </c>
      <c r="Q789" s="4" t="s">
        <v>44</v>
      </c>
      <c r="R789" s="7">
        <v>1500000</v>
      </c>
      <c r="S789" s="7">
        <v>0</v>
      </c>
      <c r="T789" s="7">
        <f>R789-S789</f>
        <v>0</v>
      </c>
      <c r="U789" s="7">
        <f>T789*O789</f>
        <v>0</v>
      </c>
    </row>
    <row r="790" spans="1:21">
      <c r="A790" s="4" t="s">
        <v>1154</v>
      </c>
      <c r="B790" s="4"/>
      <c r="C790" s="5">
        <v>45930.24207175926</v>
      </c>
      <c r="D790" s="5">
        <v>45961</v>
      </c>
      <c r="E790" s="6">
        <f>IF(AND(C790&lt;&gt;"",D790&lt;&gt;""),D790-C790,"")</f>
        <v>0</v>
      </c>
      <c r="F790" s="4" t="s">
        <v>1155</v>
      </c>
      <c r="G790" s="4" t="s">
        <v>1156</v>
      </c>
      <c r="H790" s="4" t="s">
        <v>32</v>
      </c>
      <c r="I790" s="4" t="s">
        <v>33</v>
      </c>
      <c r="J790" s="4">
        <v>3</v>
      </c>
      <c r="K790" s="4">
        <v>0</v>
      </c>
      <c r="L790" s="4">
        <f>J790+K790</f>
        <v>0</v>
      </c>
      <c r="M790" s="4"/>
      <c r="N790" s="4"/>
      <c r="O790" s="4">
        <v>0</v>
      </c>
      <c r="P790" s="4"/>
      <c r="Q790" s="4"/>
      <c r="R790" s="7">
        <v>0</v>
      </c>
      <c r="S790" s="7">
        <v>0</v>
      </c>
      <c r="T790" s="7">
        <f>R790-S790</f>
        <v>0</v>
      </c>
      <c r="U790" s="7">
        <f>T790*O790</f>
        <v>0</v>
      </c>
    </row>
    <row r="791" spans="1:21">
      <c r="A791" s="4" t="s">
        <v>1157</v>
      </c>
      <c r="B791" s="4" t="s">
        <v>48</v>
      </c>
      <c r="C791" s="5">
        <v>45930.25049768519</v>
      </c>
      <c r="D791" s="5">
        <v>45961</v>
      </c>
      <c r="E791" s="6">
        <f>IF(AND(C791&lt;&gt;"",D791&lt;&gt;""),D791-C791,"")</f>
        <v>0</v>
      </c>
      <c r="F791" s="4" t="s">
        <v>1158</v>
      </c>
      <c r="G791" s="4" t="s">
        <v>1159</v>
      </c>
      <c r="H791" s="4" t="s">
        <v>32</v>
      </c>
      <c r="I791" s="4" t="s">
        <v>33</v>
      </c>
      <c r="J791" s="4">
        <v>3</v>
      </c>
      <c r="K791" s="4">
        <v>0</v>
      </c>
      <c r="L791" s="4">
        <f>J791+K791</f>
        <v>0</v>
      </c>
      <c r="M791" s="4"/>
      <c r="N791" s="4"/>
      <c r="O791" s="4">
        <v>0</v>
      </c>
      <c r="P791" s="4"/>
      <c r="Q791" s="4"/>
      <c r="R791" s="7">
        <v>0</v>
      </c>
      <c r="S791" s="7">
        <v>0</v>
      </c>
      <c r="T791" s="7">
        <f>R791-S791</f>
        <v>0</v>
      </c>
      <c r="U791" s="7">
        <f>T791*O791</f>
        <v>0</v>
      </c>
    </row>
    <row r="792" spans="1:21">
      <c r="A792" s="4" t="s">
        <v>1160</v>
      </c>
      <c r="B792" s="4" t="s">
        <v>48</v>
      </c>
      <c r="C792" s="5">
        <v>45930.25072916667</v>
      </c>
      <c r="D792" s="5">
        <v>45961</v>
      </c>
      <c r="E792" s="6">
        <f>IF(AND(C792&lt;&gt;"",D792&lt;&gt;""),D792-C792,"")</f>
        <v>0</v>
      </c>
      <c r="F792" s="4" t="s">
        <v>1161</v>
      </c>
      <c r="G792" s="4" t="s">
        <v>1162</v>
      </c>
      <c r="H792" s="4" t="s">
        <v>32</v>
      </c>
      <c r="I792" s="4" t="s">
        <v>33</v>
      </c>
      <c r="J792" s="4">
        <v>3</v>
      </c>
      <c r="K792" s="4">
        <v>0</v>
      </c>
      <c r="L792" s="4">
        <f>J792+K792</f>
        <v>0</v>
      </c>
      <c r="M792" s="4"/>
      <c r="N792" s="4"/>
      <c r="O792" s="4">
        <v>0</v>
      </c>
      <c r="P792" s="4"/>
      <c r="Q792" s="4"/>
      <c r="R792" s="7">
        <v>0</v>
      </c>
      <c r="S792" s="7">
        <v>0</v>
      </c>
      <c r="T792" s="7">
        <f>R792-S792</f>
        <v>0</v>
      </c>
      <c r="U792" s="7">
        <f>T792*O792</f>
        <v>0</v>
      </c>
    </row>
    <row r="793" spans="1:21">
      <c r="A793" s="4" t="s">
        <v>1163</v>
      </c>
      <c r="B793" s="4" t="s">
        <v>48</v>
      </c>
      <c r="C793" s="5">
        <v>45930.25153935186</v>
      </c>
      <c r="D793" s="5">
        <v>45961</v>
      </c>
      <c r="E793" s="6">
        <f>IF(AND(C793&lt;&gt;"",D793&lt;&gt;""),D793-C793,"")</f>
        <v>0</v>
      </c>
      <c r="F793" s="4" t="s">
        <v>64</v>
      </c>
      <c r="G793" s="4" t="s">
        <v>1164</v>
      </c>
      <c r="H793" s="4" t="s">
        <v>32</v>
      </c>
      <c r="I793" s="4" t="s">
        <v>33</v>
      </c>
      <c r="J793" s="4">
        <v>6</v>
      </c>
      <c r="K793" s="4">
        <v>0</v>
      </c>
      <c r="L793" s="4">
        <f>J793+K793</f>
        <v>0</v>
      </c>
      <c r="M793" s="4"/>
      <c r="N793" s="4"/>
      <c r="O793" s="4">
        <v>0</v>
      </c>
      <c r="P793" s="4"/>
      <c r="Q793" s="4"/>
      <c r="R793" s="7">
        <v>0</v>
      </c>
      <c r="S793" s="7">
        <v>0</v>
      </c>
      <c r="T793" s="7">
        <f>R793-S793</f>
        <v>0</v>
      </c>
      <c r="U793" s="7">
        <f>T793*O793</f>
        <v>0</v>
      </c>
    </row>
    <row r="794" spans="1:21">
      <c r="A794" s="4" t="s">
        <v>1165</v>
      </c>
      <c r="B794" s="4" t="s">
        <v>48</v>
      </c>
      <c r="C794" s="5">
        <v>45930.25444444444</v>
      </c>
      <c r="D794" s="5">
        <v>45961</v>
      </c>
      <c r="E794" s="6">
        <f>IF(AND(C794&lt;&gt;"",D794&lt;&gt;""),D794-C794,"")</f>
        <v>0</v>
      </c>
      <c r="F794" s="4" t="s">
        <v>201</v>
      </c>
      <c r="G794" s="4" t="s">
        <v>202</v>
      </c>
      <c r="H794" s="4" t="s">
        <v>32</v>
      </c>
      <c r="I794" s="4" t="s">
        <v>33</v>
      </c>
      <c r="J794" s="4">
        <v>6</v>
      </c>
      <c r="K794" s="4">
        <v>0</v>
      </c>
      <c r="L794" s="4">
        <f>J794+K794</f>
        <v>0</v>
      </c>
      <c r="M794" s="4"/>
      <c r="N794" s="4"/>
      <c r="O794" s="4">
        <v>0</v>
      </c>
      <c r="P794" s="4"/>
      <c r="Q794" s="4"/>
      <c r="R794" s="7">
        <v>0</v>
      </c>
      <c r="S794" s="7">
        <v>0</v>
      </c>
      <c r="T794" s="7">
        <f>R794-S794</f>
        <v>0</v>
      </c>
      <c r="U794" s="7">
        <f>T794*O794</f>
        <v>0</v>
      </c>
    </row>
    <row r="795" spans="1:21">
      <c r="A795" s="4" t="s">
        <v>1166</v>
      </c>
      <c r="B795" s="4" t="s">
        <v>39</v>
      </c>
      <c r="C795" s="5">
        <v>45930.26304398148</v>
      </c>
      <c r="D795" s="5">
        <v>45930</v>
      </c>
      <c r="E795" s="6">
        <f>IF(AND(C795&lt;&gt;"",D795&lt;&gt;""),D795-C795,"")</f>
        <v>0</v>
      </c>
      <c r="F795" s="4" t="s">
        <v>1167</v>
      </c>
      <c r="G795" s="4"/>
      <c r="H795" s="4"/>
      <c r="I795" s="4" t="s">
        <v>56</v>
      </c>
      <c r="J795" s="4">
        <v>0</v>
      </c>
      <c r="K795" s="4">
        <v>0</v>
      </c>
      <c r="L795" s="4">
        <f>J795+K795</f>
        <v>0</v>
      </c>
      <c r="M795" s="4" t="s">
        <v>247</v>
      </c>
      <c r="N795" s="4"/>
      <c r="O795" s="4">
        <v>1</v>
      </c>
      <c r="P795" s="4" t="s">
        <v>135</v>
      </c>
      <c r="Q795" s="4"/>
      <c r="R795" s="7">
        <v>75000</v>
      </c>
      <c r="S795" s="7">
        <v>0</v>
      </c>
      <c r="T795" s="7">
        <f>R795-S795</f>
        <v>0</v>
      </c>
      <c r="U795" s="7">
        <f>T795*O795</f>
        <v>0</v>
      </c>
    </row>
    <row r="796" spans="1:21">
      <c r="A796" s="4" t="s">
        <v>1168</v>
      </c>
      <c r="B796" s="4" t="s">
        <v>29</v>
      </c>
      <c r="C796" s="5">
        <v>45930.27542824074</v>
      </c>
      <c r="D796" s="5">
        <v>45961</v>
      </c>
      <c r="E796" s="6">
        <f>IF(AND(C796&lt;&gt;"",D796&lt;&gt;""),D796-C796,"")</f>
        <v>0</v>
      </c>
      <c r="F796" s="4" t="s">
        <v>162</v>
      </c>
      <c r="G796" s="4" t="s">
        <v>202</v>
      </c>
      <c r="H796" s="4" t="s">
        <v>32</v>
      </c>
      <c r="I796" s="4" t="s">
        <v>33</v>
      </c>
      <c r="J796" s="4">
        <v>1</v>
      </c>
      <c r="K796" s="4">
        <v>1</v>
      </c>
      <c r="L796" s="4">
        <f>J796+K796</f>
        <v>0</v>
      </c>
      <c r="M796" s="4"/>
      <c r="N796" s="4"/>
      <c r="O796" s="4">
        <v>0</v>
      </c>
      <c r="P796" s="4"/>
      <c r="Q796" s="4"/>
      <c r="R796" s="7">
        <v>0</v>
      </c>
      <c r="S796" s="7">
        <v>0</v>
      </c>
      <c r="T796" s="7">
        <f>R796-S796</f>
        <v>0</v>
      </c>
      <c r="U796" s="7">
        <f>T796*O796</f>
        <v>0</v>
      </c>
    </row>
    <row r="797" spans="1:21">
      <c r="A797" s="4" t="s">
        <v>1169</v>
      </c>
      <c r="B797" s="4" t="s">
        <v>29</v>
      </c>
      <c r="C797" s="5">
        <v>45930.28336805556</v>
      </c>
      <c r="D797" s="5">
        <v>45961</v>
      </c>
      <c r="E797" s="6">
        <f>IF(AND(C797&lt;&gt;"",D797&lt;&gt;""),D797-C797,"")</f>
        <v>0</v>
      </c>
      <c r="F797" s="4" t="s">
        <v>162</v>
      </c>
      <c r="G797" s="4" t="s">
        <v>202</v>
      </c>
      <c r="H797" s="4" t="s">
        <v>32</v>
      </c>
      <c r="I797" s="4" t="s">
        <v>33</v>
      </c>
      <c r="J797" s="4">
        <v>1</v>
      </c>
      <c r="K797" s="4">
        <v>1</v>
      </c>
      <c r="L797" s="4">
        <f>J797+K797</f>
        <v>0</v>
      </c>
      <c r="M797" s="4"/>
      <c r="N797" s="4"/>
      <c r="O797" s="4">
        <v>0</v>
      </c>
      <c r="P797" s="4"/>
      <c r="Q797" s="4"/>
      <c r="R797" s="7">
        <v>0</v>
      </c>
      <c r="S797" s="7">
        <v>0</v>
      </c>
      <c r="T797" s="7">
        <f>R797-S797</f>
        <v>0</v>
      </c>
      <c r="U797" s="7">
        <f>T797*O797</f>
        <v>0</v>
      </c>
    </row>
    <row r="798" spans="1:21">
      <c r="A798" s="4" t="s">
        <v>1170</v>
      </c>
      <c r="B798" s="4" t="s">
        <v>29</v>
      </c>
      <c r="C798" s="5">
        <v>45930.28454861111</v>
      </c>
      <c r="D798" s="5">
        <v>45961</v>
      </c>
      <c r="E798" s="6">
        <f>IF(AND(C798&lt;&gt;"",D798&lt;&gt;""),D798-C798,"")</f>
        <v>0</v>
      </c>
      <c r="F798" s="4" t="s">
        <v>201</v>
      </c>
      <c r="G798" s="4" t="s">
        <v>202</v>
      </c>
      <c r="H798" s="4" t="s">
        <v>32</v>
      </c>
      <c r="I798" s="4" t="s">
        <v>33</v>
      </c>
      <c r="J798" s="4">
        <v>2</v>
      </c>
      <c r="K798" s="4">
        <v>2</v>
      </c>
      <c r="L798" s="4">
        <f>J798+K798</f>
        <v>0</v>
      </c>
      <c r="M798" s="4"/>
      <c r="N798" s="4"/>
      <c r="O798" s="4">
        <v>0</v>
      </c>
      <c r="P798" s="4"/>
      <c r="Q798" s="4"/>
      <c r="R798" s="7">
        <v>0</v>
      </c>
      <c r="S798" s="7">
        <v>0</v>
      </c>
      <c r="T798" s="7">
        <f>R798-S798</f>
        <v>0</v>
      </c>
      <c r="U798" s="7">
        <f>T798*O798</f>
        <v>0</v>
      </c>
    </row>
    <row r="799" spans="1:21">
      <c r="A799" s="4" t="s">
        <v>1171</v>
      </c>
      <c r="B799" s="4" t="s">
        <v>29</v>
      </c>
      <c r="C799" s="5">
        <v>45930.2852199074</v>
      </c>
      <c r="D799" s="5">
        <v>45961</v>
      </c>
      <c r="E799" s="6">
        <f>IF(AND(C799&lt;&gt;"",D799&lt;&gt;""),D799-C799,"")</f>
        <v>0</v>
      </c>
      <c r="F799" s="4" t="s">
        <v>1172</v>
      </c>
      <c r="G799" s="4" t="s">
        <v>1173</v>
      </c>
      <c r="H799" s="4"/>
      <c r="I799" s="4" t="s">
        <v>56</v>
      </c>
      <c r="J799" s="4">
        <v>1</v>
      </c>
      <c r="K799" s="4">
        <v>1</v>
      </c>
      <c r="L799" s="4">
        <f>J799+K799</f>
        <v>0</v>
      </c>
      <c r="M799" s="4"/>
      <c r="N799" s="4"/>
      <c r="O799" s="4">
        <v>0</v>
      </c>
      <c r="P799" s="4"/>
      <c r="Q799" s="4"/>
      <c r="R799" s="7">
        <v>0</v>
      </c>
      <c r="S799" s="7">
        <v>0</v>
      </c>
      <c r="T799" s="7">
        <f>R799-S799</f>
        <v>0</v>
      </c>
      <c r="U799" s="7">
        <f>T799*O799</f>
        <v>0</v>
      </c>
    </row>
    <row r="800" spans="1:21">
      <c r="A800" s="4" t="s">
        <v>1174</v>
      </c>
      <c r="B800" s="4" t="s">
        <v>29</v>
      </c>
      <c r="C800" s="5">
        <v>45930.28570601852</v>
      </c>
      <c r="D800" s="5">
        <v>45961</v>
      </c>
      <c r="E800" s="6">
        <f>IF(AND(C800&lt;&gt;"",D800&lt;&gt;""),D800-C800,"")</f>
        <v>0</v>
      </c>
      <c r="F800" s="4" t="s">
        <v>201</v>
      </c>
      <c r="G800" s="4" t="s">
        <v>202</v>
      </c>
      <c r="H800" s="4" t="s">
        <v>32</v>
      </c>
      <c r="I800" s="4" t="s">
        <v>33</v>
      </c>
      <c r="J800" s="4">
        <v>1</v>
      </c>
      <c r="K800" s="4">
        <v>1</v>
      </c>
      <c r="L800" s="4">
        <f>J800+K800</f>
        <v>0</v>
      </c>
      <c r="M800" s="4"/>
      <c r="N800" s="4"/>
      <c r="O800" s="4">
        <v>0</v>
      </c>
      <c r="P800" s="4"/>
      <c r="Q800" s="4"/>
      <c r="R800" s="7">
        <v>0</v>
      </c>
      <c r="S800" s="7">
        <v>0</v>
      </c>
      <c r="T800" s="7">
        <f>R800-S800</f>
        <v>0</v>
      </c>
      <c r="U800" s="7">
        <f>T800*O800</f>
        <v>0</v>
      </c>
    </row>
    <row r="801" spans="1:21">
      <c r="A801" s="4" t="s">
        <v>1175</v>
      </c>
      <c r="B801" s="4" t="s">
        <v>29</v>
      </c>
      <c r="C801" s="5">
        <v>45930.28613425926</v>
      </c>
      <c r="D801" s="5">
        <v>45961</v>
      </c>
      <c r="E801" s="6">
        <f>IF(AND(C801&lt;&gt;"",D801&lt;&gt;""),D801-C801,"")</f>
        <v>0</v>
      </c>
      <c r="F801" s="4" t="s">
        <v>30</v>
      </c>
      <c r="G801" s="4" t="s">
        <v>31</v>
      </c>
      <c r="H801" s="4" t="s">
        <v>32</v>
      </c>
      <c r="I801" s="4" t="s">
        <v>33</v>
      </c>
      <c r="J801" s="4">
        <v>4</v>
      </c>
      <c r="K801" s="4">
        <v>0</v>
      </c>
      <c r="L801" s="4">
        <f>J801+K801</f>
        <v>0</v>
      </c>
      <c r="M801" s="4"/>
      <c r="N801" s="4"/>
      <c r="O801" s="4">
        <v>0</v>
      </c>
      <c r="P801" s="4"/>
      <c r="Q801" s="4"/>
      <c r="R801" s="7">
        <v>0</v>
      </c>
      <c r="S801" s="7">
        <v>0</v>
      </c>
      <c r="T801" s="7">
        <f>R801-S801</f>
        <v>0</v>
      </c>
      <c r="U801" s="7">
        <f>T801*O801</f>
        <v>0</v>
      </c>
    </row>
    <row r="802" spans="1:21">
      <c r="A802" s="4" t="s">
        <v>1175</v>
      </c>
      <c r="B802" s="4" t="s">
        <v>29</v>
      </c>
      <c r="C802" s="5">
        <v>45930.28613425926</v>
      </c>
      <c r="D802" s="5">
        <v>45961</v>
      </c>
      <c r="E802" s="6">
        <f>IF(AND(C802&lt;&gt;"",D802&lt;&gt;""),D802-C802,"")</f>
        <v>0</v>
      </c>
      <c r="F802" s="4" t="s">
        <v>1176</v>
      </c>
      <c r="G802" s="4" t="s">
        <v>1177</v>
      </c>
      <c r="H802" s="4" t="s">
        <v>32</v>
      </c>
      <c r="I802" s="4" t="s">
        <v>33</v>
      </c>
      <c r="J802" s="4">
        <v>2</v>
      </c>
      <c r="K802" s="4">
        <v>2</v>
      </c>
      <c r="L802" s="4">
        <f>J802+K802</f>
        <v>0</v>
      </c>
      <c r="M802" s="4"/>
      <c r="N802" s="4"/>
      <c r="O802" s="4">
        <v>0</v>
      </c>
      <c r="P802" s="4"/>
      <c r="Q802" s="4"/>
      <c r="R802" s="7">
        <v>0</v>
      </c>
      <c r="S802" s="7">
        <v>0</v>
      </c>
      <c r="T802" s="7">
        <f>R802-S802</f>
        <v>0</v>
      </c>
      <c r="U802" s="7">
        <f>T802*O802</f>
        <v>0</v>
      </c>
    </row>
    <row r="803" spans="1:21">
      <c r="A803" s="4" t="s">
        <v>1178</v>
      </c>
      <c r="B803" s="4" t="s">
        <v>48</v>
      </c>
      <c r="C803" s="5">
        <v>45930.31715277778</v>
      </c>
      <c r="D803" s="5">
        <v>45961</v>
      </c>
      <c r="E803" s="6">
        <f>IF(AND(C803&lt;&gt;"",D803&lt;&gt;""),D803-C803,"")</f>
        <v>0</v>
      </c>
      <c r="F803" s="4" t="s">
        <v>64</v>
      </c>
      <c r="G803" s="4" t="s">
        <v>1179</v>
      </c>
      <c r="H803" s="4" t="s">
        <v>32</v>
      </c>
      <c r="I803" s="4" t="s">
        <v>33</v>
      </c>
      <c r="J803" s="4">
        <v>3</v>
      </c>
      <c r="K803" s="4">
        <v>0</v>
      </c>
      <c r="L803" s="4">
        <f>J803+K803</f>
        <v>0</v>
      </c>
      <c r="M803" s="4"/>
      <c r="N803" s="4"/>
      <c r="O803" s="4">
        <v>0</v>
      </c>
      <c r="P803" s="4"/>
      <c r="Q803" s="4"/>
      <c r="R803" s="7">
        <v>0</v>
      </c>
      <c r="S803" s="7">
        <v>0</v>
      </c>
      <c r="T803" s="7">
        <f>R803-S803</f>
        <v>0</v>
      </c>
      <c r="U803" s="7">
        <f>T803*O803</f>
        <v>0</v>
      </c>
    </row>
    <row r="804" spans="1:21">
      <c r="A804" s="4" t="s">
        <v>1180</v>
      </c>
      <c r="B804" s="4" t="s">
        <v>39</v>
      </c>
      <c r="C804" s="5">
        <v>45930.3203125</v>
      </c>
      <c r="D804" s="5">
        <v>45930</v>
      </c>
      <c r="E804" s="6">
        <f>IF(AND(C804&lt;&gt;"",D804&lt;&gt;""),D804-C804,"")</f>
        <v>0</v>
      </c>
      <c r="F804" s="4" t="s">
        <v>64</v>
      </c>
      <c r="G804" s="4" t="s">
        <v>1179</v>
      </c>
      <c r="H804" s="4" t="s">
        <v>32</v>
      </c>
      <c r="I804" s="4" t="s">
        <v>33</v>
      </c>
      <c r="J804" s="4">
        <v>1</v>
      </c>
      <c r="K804" s="4">
        <v>0</v>
      </c>
      <c r="L804" s="4">
        <f>J804+K804</f>
        <v>0</v>
      </c>
      <c r="M804" s="4" t="s">
        <v>80</v>
      </c>
      <c r="N804" s="4"/>
      <c r="O804" s="4">
        <v>1</v>
      </c>
      <c r="P804" s="4" t="s">
        <v>135</v>
      </c>
      <c r="Q804" s="4"/>
      <c r="R804" s="7">
        <v>610000</v>
      </c>
      <c r="S804" s="7">
        <v>0</v>
      </c>
      <c r="T804" s="7">
        <f>R804-S804</f>
        <v>0</v>
      </c>
      <c r="U804" s="7">
        <f>T804*O804</f>
        <v>0</v>
      </c>
    </row>
    <row r="805" spans="1:21">
      <c r="A805" s="4" t="s">
        <v>1180</v>
      </c>
      <c r="B805" s="4" t="s">
        <v>39</v>
      </c>
      <c r="C805" s="5">
        <v>45930.3203125</v>
      </c>
      <c r="D805" s="5">
        <v>45930</v>
      </c>
      <c r="E805" s="6">
        <f>IF(AND(C805&lt;&gt;"",D805&lt;&gt;""),D805-C805,"")</f>
        <v>0</v>
      </c>
      <c r="F805" s="4" t="s">
        <v>64</v>
      </c>
      <c r="G805" s="4" t="s">
        <v>1179</v>
      </c>
      <c r="H805" s="4" t="s">
        <v>32</v>
      </c>
      <c r="I805" s="4" t="s">
        <v>33</v>
      </c>
      <c r="J805" s="4">
        <v>0</v>
      </c>
      <c r="K805" s="4">
        <v>0</v>
      </c>
      <c r="L805" s="4">
        <f>J805+K805</f>
        <v>0</v>
      </c>
      <c r="M805" s="4" t="s">
        <v>609</v>
      </c>
      <c r="N805" s="4"/>
      <c r="O805" s="4">
        <v>1</v>
      </c>
      <c r="P805" s="4" t="s">
        <v>135</v>
      </c>
      <c r="Q805" s="4"/>
      <c r="R805" s="7">
        <v>30000</v>
      </c>
      <c r="S805" s="7">
        <v>0</v>
      </c>
      <c r="T805" s="7">
        <f>R805-S805</f>
        <v>0</v>
      </c>
      <c r="U805" s="7">
        <f>T805*O805</f>
        <v>0</v>
      </c>
    </row>
    <row r="806" spans="1:21">
      <c r="A806" s="4" t="s">
        <v>1181</v>
      </c>
      <c r="B806" s="4" t="s">
        <v>39</v>
      </c>
      <c r="C806" s="5">
        <v>45930.33637731482</v>
      </c>
      <c r="D806" s="5">
        <v>45930</v>
      </c>
      <c r="E806" s="6">
        <f>IF(AND(C806&lt;&gt;"",D806&lt;&gt;""),D806-C806,"")</f>
        <v>0</v>
      </c>
      <c r="F806" s="4" t="s">
        <v>1182</v>
      </c>
      <c r="G806" s="4" t="s">
        <v>1183</v>
      </c>
      <c r="H806" s="4" t="s">
        <v>699</v>
      </c>
      <c r="I806" s="4" t="s">
        <v>56</v>
      </c>
      <c r="J806" s="4">
        <v>0</v>
      </c>
      <c r="K806" s="4">
        <v>0</v>
      </c>
      <c r="L806" s="4">
        <f>J806+K806</f>
        <v>0</v>
      </c>
      <c r="M806" s="4" t="s">
        <v>370</v>
      </c>
      <c r="N806" s="4"/>
      <c r="O806" s="4">
        <v>1</v>
      </c>
      <c r="P806" s="4" t="s">
        <v>43</v>
      </c>
      <c r="Q806" s="4" t="s">
        <v>44</v>
      </c>
      <c r="R806" s="7">
        <v>100000</v>
      </c>
      <c r="S806" s="7">
        <v>0</v>
      </c>
      <c r="T806" s="7">
        <f>R806-S806</f>
        <v>0</v>
      </c>
      <c r="U806" s="7">
        <f>T806*O806</f>
        <v>0</v>
      </c>
    </row>
    <row r="807" spans="1:21">
      <c r="A807" s="4" t="s">
        <v>1184</v>
      </c>
      <c r="B807" s="4" t="s">
        <v>39</v>
      </c>
      <c r="C807" s="5">
        <v>45930.36135416666</v>
      </c>
      <c r="D807" s="5">
        <v>45930</v>
      </c>
      <c r="E807" s="6">
        <f>IF(AND(C807&lt;&gt;"",D807&lt;&gt;""),D807-C807,"")</f>
        <v>0</v>
      </c>
      <c r="F807" s="4" t="s">
        <v>1185</v>
      </c>
      <c r="G807" s="4" t="s">
        <v>1186</v>
      </c>
      <c r="H807" s="4" t="s">
        <v>190</v>
      </c>
      <c r="I807" s="4" t="s">
        <v>56</v>
      </c>
      <c r="J807" s="4">
        <v>0</v>
      </c>
      <c r="K807" s="4">
        <v>0</v>
      </c>
      <c r="L807" s="4">
        <f>J807+K807</f>
        <v>0</v>
      </c>
      <c r="M807" s="4" t="s">
        <v>370</v>
      </c>
      <c r="N807" s="4"/>
      <c r="O807" s="4">
        <v>1</v>
      </c>
      <c r="P807" s="4" t="s">
        <v>43</v>
      </c>
      <c r="Q807" s="4" t="s">
        <v>44</v>
      </c>
      <c r="R807" s="7">
        <v>500000</v>
      </c>
      <c r="S807" s="7">
        <v>0</v>
      </c>
      <c r="T807" s="7">
        <f>R807-S807</f>
        <v>0</v>
      </c>
      <c r="U807" s="7">
        <f>T807*O807</f>
        <v>0</v>
      </c>
    </row>
    <row r="808" spans="1:21">
      <c r="A808" s="4" t="s">
        <v>1187</v>
      </c>
      <c r="B808" s="4" t="s">
        <v>48</v>
      </c>
      <c r="C808" s="5">
        <v>45930.37765046296</v>
      </c>
      <c r="D808" s="5">
        <v>45961</v>
      </c>
      <c r="E808" s="6">
        <f>IF(AND(C808&lt;&gt;"",D808&lt;&gt;""),D808-C808,"")</f>
        <v>0</v>
      </c>
      <c r="F808" s="4" t="s">
        <v>64</v>
      </c>
      <c r="G808" s="4" t="s">
        <v>1188</v>
      </c>
      <c r="H808" s="4" t="s">
        <v>32</v>
      </c>
      <c r="I808" s="4" t="s">
        <v>33</v>
      </c>
      <c r="J808" s="4">
        <v>1</v>
      </c>
      <c r="K808" s="4">
        <v>0</v>
      </c>
      <c r="L808" s="4">
        <f>J808+K808</f>
        <v>0</v>
      </c>
      <c r="M808" s="4"/>
      <c r="N808" s="4"/>
      <c r="O808" s="4">
        <v>0</v>
      </c>
      <c r="P808" s="4"/>
      <c r="Q808" s="4"/>
      <c r="R808" s="7">
        <v>0</v>
      </c>
      <c r="S808" s="7">
        <v>0</v>
      </c>
      <c r="T808" s="7">
        <f>R808-S808</f>
        <v>0</v>
      </c>
      <c r="U808" s="7">
        <f>T808*O808</f>
        <v>0</v>
      </c>
    </row>
    <row r="809" spans="1:21">
      <c r="A809" s="4" t="s">
        <v>1189</v>
      </c>
      <c r="B809" s="4" t="s">
        <v>39</v>
      </c>
      <c r="C809" s="5">
        <v>45930.38107638889</v>
      </c>
      <c r="D809" s="5">
        <v>45961</v>
      </c>
      <c r="E809" s="6">
        <f>IF(AND(C809&lt;&gt;"",D809&lt;&gt;""),D809-C809,"")</f>
        <v>0</v>
      </c>
      <c r="F809" s="4" t="s">
        <v>1190</v>
      </c>
      <c r="G809" s="4" t="s">
        <v>1191</v>
      </c>
      <c r="H809" s="4" t="s">
        <v>32</v>
      </c>
      <c r="I809" s="4" t="s">
        <v>33</v>
      </c>
      <c r="J809" s="4">
        <v>3</v>
      </c>
      <c r="K809" s="4">
        <v>0</v>
      </c>
      <c r="L809" s="4">
        <f>J809+K809</f>
        <v>0</v>
      </c>
      <c r="M809" s="4"/>
      <c r="N809" s="4"/>
      <c r="O809" s="4">
        <v>0</v>
      </c>
      <c r="P809" s="4"/>
      <c r="Q809" s="4"/>
      <c r="R809" s="7">
        <v>0</v>
      </c>
      <c r="S809" s="7">
        <v>0</v>
      </c>
      <c r="T809" s="7">
        <f>R809-S809</f>
        <v>0</v>
      </c>
      <c r="U809" s="7">
        <f>T809*O809</f>
        <v>0</v>
      </c>
    </row>
    <row r="810" spans="1:21">
      <c r="A810" s="4" t="s">
        <v>1192</v>
      </c>
      <c r="B810" s="4" t="s">
        <v>39</v>
      </c>
      <c r="C810" s="5">
        <v>45930.46289351852</v>
      </c>
      <c r="D810" s="5">
        <v>45930</v>
      </c>
      <c r="E810" s="6">
        <f>IF(AND(C810&lt;&gt;"",D810&lt;&gt;""),D810-C810,"")</f>
        <v>0</v>
      </c>
      <c r="F810" s="4" t="s">
        <v>1193</v>
      </c>
      <c r="G810" s="4" t="s">
        <v>1194</v>
      </c>
      <c r="H810" s="4"/>
      <c r="I810" s="4" t="s">
        <v>56</v>
      </c>
      <c r="J810" s="4">
        <v>0</v>
      </c>
      <c r="K810" s="4">
        <v>0</v>
      </c>
      <c r="L810" s="4">
        <f>J810+K810</f>
        <v>0</v>
      </c>
      <c r="M810" s="4" t="s">
        <v>370</v>
      </c>
      <c r="N810" s="4"/>
      <c r="O810" s="4">
        <v>1</v>
      </c>
      <c r="P810" s="4" t="s">
        <v>135</v>
      </c>
      <c r="Q810" s="4" t="s">
        <v>44</v>
      </c>
      <c r="R810" s="7">
        <v>8000000</v>
      </c>
      <c r="S810" s="7">
        <v>0</v>
      </c>
      <c r="T810" s="7">
        <f>R810-S810</f>
        <v>0</v>
      </c>
      <c r="U810" s="7">
        <f>T810*O810</f>
        <v>0</v>
      </c>
    </row>
    <row r="811" spans="1:21">
      <c r="A811" s="4" t="s">
        <v>1195</v>
      </c>
      <c r="B811" s="4" t="s">
        <v>39</v>
      </c>
      <c r="C811" s="5">
        <v>45930.62565972222</v>
      </c>
      <c r="D811" s="5">
        <v>45930</v>
      </c>
      <c r="E811" s="6">
        <f>IF(AND(C811&lt;&gt;"",D811&lt;&gt;""),D811-C811,"")</f>
        <v>0</v>
      </c>
      <c r="F811" s="4" t="s">
        <v>1096</v>
      </c>
      <c r="G811" s="4" t="s">
        <v>1196</v>
      </c>
      <c r="H811" s="4" t="s">
        <v>32</v>
      </c>
      <c r="I811" s="4" t="s">
        <v>33</v>
      </c>
      <c r="J811" s="4">
        <v>1</v>
      </c>
      <c r="K811" s="4">
        <v>0</v>
      </c>
      <c r="L811" s="4">
        <f>J811+K811</f>
        <v>0</v>
      </c>
      <c r="M811" s="4" t="s">
        <v>42</v>
      </c>
      <c r="N811" s="4"/>
      <c r="O811" s="4">
        <v>1</v>
      </c>
      <c r="P811" s="4" t="s">
        <v>135</v>
      </c>
      <c r="Q811" s="4" t="s">
        <v>44</v>
      </c>
      <c r="R811" s="7">
        <v>370000</v>
      </c>
      <c r="S811" s="7">
        <v>0</v>
      </c>
      <c r="T811" s="7">
        <f>R811-S811</f>
        <v>0</v>
      </c>
      <c r="U811" s="7">
        <f>T811*O811</f>
        <v>0</v>
      </c>
    </row>
    <row r="812" spans="1:21">
      <c r="A812" s="4" t="s">
        <v>1195</v>
      </c>
      <c r="B812" s="4" t="s">
        <v>39</v>
      </c>
      <c r="C812" s="5">
        <v>45930.62565972222</v>
      </c>
      <c r="D812" s="5">
        <v>45930</v>
      </c>
      <c r="E812" s="6">
        <f>IF(AND(C812&lt;&gt;"",D812&lt;&gt;""),D812-C812,"")</f>
        <v>0</v>
      </c>
      <c r="F812" s="4" t="s">
        <v>1096</v>
      </c>
      <c r="G812" s="4" t="s">
        <v>1196</v>
      </c>
      <c r="H812" s="4" t="s">
        <v>32</v>
      </c>
      <c r="I812" s="4" t="s">
        <v>33</v>
      </c>
      <c r="J812" s="4">
        <v>0</v>
      </c>
      <c r="K812" s="4">
        <v>0</v>
      </c>
      <c r="L812" s="4">
        <f>J812+K812</f>
        <v>0</v>
      </c>
      <c r="M812" s="4" t="s">
        <v>609</v>
      </c>
      <c r="N812" s="4"/>
      <c r="O812" s="4">
        <v>1</v>
      </c>
      <c r="P812" s="4" t="s">
        <v>135</v>
      </c>
      <c r="Q812" s="4" t="s">
        <v>44</v>
      </c>
      <c r="R812" s="7">
        <v>80000</v>
      </c>
      <c r="S812" s="7">
        <v>0</v>
      </c>
      <c r="T812" s="7">
        <f>R812-S812</f>
        <v>0</v>
      </c>
      <c r="U812" s="7">
        <f>T812*O812</f>
        <v>0</v>
      </c>
    </row>
    <row r="813" spans="1:21">
      <c r="A813" s="4" t="s">
        <v>1195</v>
      </c>
      <c r="B813" s="4" t="s">
        <v>39</v>
      </c>
      <c r="C813" s="5">
        <v>45930.62565972222</v>
      </c>
      <c r="D813" s="5">
        <v>45930</v>
      </c>
      <c r="E813" s="6">
        <f>IF(AND(C813&lt;&gt;"",D813&lt;&gt;""),D813-C813,"")</f>
        <v>0</v>
      </c>
      <c r="F813" s="4" t="s">
        <v>1096</v>
      </c>
      <c r="G813" s="4" t="s">
        <v>1196</v>
      </c>
      <c r="H813" s="4" t="s">
        <v>32</v>
      </c>
      <c r="I813" s="4" t="s">
        <v>33</v>
      </c>
      <c r="J813" s="4">
        <v>0</v>
      </c>
      <c r="K813" s="4">
        <v>0</v>
      </c>
      <c r="L813" s="4">
        <f>J813+K813</f>
        <v>0</v>
      </c>
      <c r="M813" s="4" t="s">
        <v>247</v>
      </c>
      <c r="N813" s="4"/>
      <c r="O813" s="4">
        <v>1</v>
      </c>
      <c r="P813" s="4" t="s">
        <v>135</v>
      </c>
      <c r="Q813" s="4" t="s">
        <v>44</v>
      </c>
      <c r="R813" s="7">
        <v>75000</v>
      </c>
      <c r="S813" s="7">
        <v>0</v>
      </c>
      <c r="T813" s="7">
        <f>R813-S813</f>
        <v>0</v>
      </c>
      <c r="U813" s="7">
        <f>T813*O813</f>
        <v>0</v>
      </c>
    </row>
    <row r="814" spans="1:21">
      <c r="A814" s="4" t="s">
        <v>1195</v>
      </c>
      <c r="B814" s="4" t="s">
        <v>39</v>
      </c>
      <c r="C814" s="5">
        <v>45930.62565972222</v>
      </c>
      <c r="D814" s="5">
        <v>45930</v>
      </c>
      <c r="E814" s="6">
        <f>IF(AND(C814&lt;&gt;"",D814&lt;&gt;""),D814-C814,"")</f>
        <v>0</v>
      </c>
      <c r="F814" s="4" t="s">
        <v>1096</v>
      </c>
      <c r="G814" s="4" t="s">
        <v>1196</v>
      </c>
      <c r="H814" s="4" t="s">
        <v>32</v>
      </c>
      <c r="I814" s="4" t="s">
        <v>33</v>
      </c>
      <c r="J814" s="4">
        <v>0</v>
      </c>
      <c r="K814" s="4">
        <v>0</v>
      </c>
      <c r="L814" s="4">
        <f>J814+K814</f>
        <v>0</v>
      </c>
      <c r="M814" s="4" t="s">
        <v>370</v>
      </c>
      <c r="N814" s="4"/>
      <c r="O814" s="4">
        <v>1</v>
      </c>
      <c r="P814" s="4" t="s">
        <v>135</v>
      </c>
      <c r="Q814" s="4" t="s">
        <v>44</v>
      </c>
      <c r="R814" s="7">
        <v>0</v>
      </c>
      <c r="S814" s="7">
        <v>0</v>
      </c>
      <c r="T814" s="7">
        <f>R814-S814</f>
        <v>0</v>
      </c>
      <c r="U814" s="7">
        <f>T814*O814</f>
        <v>0</v>
      </c>
    </row>
    <row r="815" spans="1:21">
      <c r="A815" s="4" t="s">
        <v>1197</v>
      </c>
      <c r="B815" s="4" t="s">
        <v>48</v>
      </c>
      <c r="C815" s="5">
        <v>45930.63091435185</v>
      </c>
      <c r="D815" s="5">
        <v>45961</v>
      </c>
      <c r="E815" s="6">
        <f>IF(AND(C815&lt;&gt;"",D815&lt;&gt;""),D815-C815,"")</f>
        <v>0</v>
      </c>
      <c r="F815" s="4" t="s">
        <v>64</v>
      </c>
      <c r="G815" s="4" t="s">
        <v>1198</v>
      </c>
      <c r="H815" s="4" t="s">
        <v>32</v>
      </c>
      <c r="I815" s="4" t="s">
        <v>33</v>
      </c>
      <c r="J815" s="4">
        <v>3</v>
      </c>
      <c r="K815" s="4">
        <v>0</v>
      </c>
      <c r="L815" s="4">
        <f>J815+K815</f>
        <v>0</v>
      </c>
      <c r="M815" s="4"/>
      <c r="N815" s="4"/>
      <c r="O815" s="4">
        <v>0</v>
      </c>
      <c r="P815" s="4"/>
      <c r="Q815" s="4"/>
      <c r="R815" s="7">
        <v>0</v>
      </c>
      <c r="S815" s="7">
        <v>0</v>
      </c>
      <c r="T815" s="7">
        <f>R815-S815</f>
        <v>0</v>
      </c>
      <c r="U815" s="7">
        <f>T815*O815</f>
        <v>0</v>
      </c>
    </row>
    <row r="816" spans="1:21">
      <c r="A816" s="4" t="s">
        <v>1199</v>
      </c>
      <c r="B816" s="4" t="s">
        <v>39</v>
      </c>
      <c r="C816" s="5">
        <v>45930.6694212963</v>
      </c>
      <c r="D816" s="5">
        <v>45930</v>
      </c>
      <c r="E816" s="6">
        <f>IF(AND(C816&lt;&gt;"",D816&lt;&gt;""),D816-C816,"")</f>
        <v>0</v>
      </c>
      <c r="F816" s="4" t="s">
        <v>1200</v>
      </c>
      <c r="G816" s="4"/>
      <c r="H816" s="4"/>
      <c r="I816" s="4" t="s">
        <v>56</v>
      </c>
      <c r="J816" s="4">
        <v>1</v>
      </c>
      <c r="K816" s="4">
        <v>0</v>
      </c>
      <c r="L816" s="4">
        <f>J816+K816</f>
        <v>0</v>
      </c>
      <c r="M816" s="4" t="s">
        <v>42</v>
      </c>
      <c r="N816" s="4"/>
      <c r="O816" s="4">
        <v>1</v>
      </c>
      <c r="P816" s="4" t="s">
        <v>135</v>
      </c>
      <c r="Q816" s="4" t="s">
        <v>44</v>
      </c>
      <c r="R816" s="7">
        <v>370000</v>
      </c>
      <c r="S816" s="7">
        <v>0</v>
      </c>
      <c r="T816" s="7">
        <f>R816-S816</f>
        <v>0</v>
      </c>
      <c r="U816" s="7">
        <f>T816*O816</f>
        <v>0</v>
      </c>
    </row>
    <row r="817" spans="1:21">
      <c r="A817" s="4" t="s">
        <v>1199</v>
      </c>
      <c r="B817" s="4" t="s">
        <v>39</v>
      </c>
      <c r="C817" s="5">
        <v>45930.6694212963</v>
      </c>
      <c r="D817" s="5">
        <v>45930</v>
      </c>
      <c r="E817" s="6">
        <f>IF(AND(C817&lt;&gt;"",D817&lt;&gt;""),D817-C817,"")</f>
        <v>0</v>
      </c>
      <c r="F817" s="4" t="s">
        <v>1200</v>
      </c>
      <c r="G817" s="4"/>
      <c r="H817" s="4"/>
      <c r="I817" s="4" t="s">
        <v>56</v>
      </c>
      <c r="J817" s="4">
        <v>0</v>
      </c>
      <c r="K817" s="4">
        <v>0</v>
      </c>
      <c r="L817" s="4">
        <f>J817+K817</f>
        <v>0</v>
      </c>
      <c r="M817" s="4" t="s">
        <v>609</v>
      </c>
      <c r="N817" s="4"/>
      <c r="O817" s="4">
        <v>1</v>
      </c>
      <c r="P817" s="4" t="s">
        <v>135</v>
      </c>
      <c r="Q817" s="4" t="s">
        <v>44</v>
      </c>
      <c r="R817" s="7">
        <v>80000</v>
      </c>
      <c r="S817" s="7">
        <v>0</v>
      </c>
      <c r="T817" s="7">
        <f>R817-S817</f>
        <v>0</v>
      </c>
      <c r="U817" s="7">
        <f>T817*O817</f>
        <v>0</v>
      </c>
    </row>
    <row r="818" spans="1:21">
      <c r="A818" s="4" t="s">
        <v>1199</v>
      </c>
      <c r="B818" s="4" t="s">
        <v>39</v>
      </c>
      <c r="C818" s="5">
        <v>45930.6694212963</v>
      </c>
      <c r="D818" s="5">
        <v>45930</v>
      </c>
      <c r="E818" s="6">
        <f>IF(AND(C818&lt;&gt;"",D818&lt;&gt;""),D818-C818,"")</f>
        <v>0</v>
      </c>
      <c r="F818" s="4" t="s">
        <v>1200</v>
      </c>
      <c r="G818" s="4"/>
      <c r="H818" s="4"/>
      <c r="I818" s="4" t="s">
        <v>56</v>
      </c>
      <c r="J818" s="4">
        <v>0</v>
      </c>
      <c r="K818" s="4">
        <v>0</v>
      </c>
      <c r="L818" s="4">
        <f>J818+K818</f>
        <v>0</v>
      </c>
      <c r="M818" s="4" t="s">
        <v>247</v>
      </c>
      <c r="N818" s="4"/>
      <c r="O818" s="4">
        <v>1</v>
      </c>
      <c r="P818" s="4" t="s">
        <v>135</v>
      </c>
      <c r="Q818" s="4" t="s">
        <v>44</v>
      </c>
      <c r="R818" s="7">
        <v>75000</v>
      </c>
      <c r="S818" s="7">
        <v>0</v>
      </c>
      <c r="T818" s="7">
        <f>R818-S818</f>
        <v>0</v>
      </c>
      <c r="U818" s="7">
        <f>T818*O818</f>
        <v>0</v>
      </c>
    </row>
    <row r="819" spans="1:21">
      <c r="A819" s="4" t="s">
        <v>1199</v>
      </c>
      <c r="B819" s="4" t="s">
        <v>39</v>
      </c>
      <c r="C819" s="5">
        <v>45930.6694212963</v>
      </c>
      <c r="D819" s="5">
        <v>45930</v>
      </c>
      <c r="E819" s="6">
        <f>IF(AND(C819&lt;&gt;"",D819&lt;&gt;""),D819-C819,"")</f>
        <v>0</v>
      </c>
      <c r="F819" s="4" t="s">
        <v>1200</v>
      </c>
      <c r="G819" s="4"/>
      <c r="H819" s="4"/>
      <c r="I819" s="4" t="s">
        <v>56</v>
      </c>
      <c r="J819" s="4">
        <v>0</v>
      </c>
      <c r="K819" s="4">
        <v>0</v>
      </c>
      <c r="L819" s="4">
        <f>J819+K819</f>
        <v>0</v>
      </c>
      <c r="M819" s="4" t="s">
        <v>370</v>
      </c>
      <c r="N819" s="4"/>
      <c r="O819" s="4">
        <v>20</v>
      </c>
      <c r="P819" s="4" t="s">
        <v>135</v>
      </c>
      <c r="Q819" s="4" t="s">
        <v>44</v>
      </c>
      <c r="R819" s="7">
        <v>10000</v>
      </c>
      <c r="S819" s="7">
        <v>0</v>
      </c>
      <c r="T819" s="7">
        <f>R819-S819</f>
        <v>0</v>
      </c>
      <c r="U819" s="7">
        <f>T819*O819</f>
        <v>0</v>
      </c>
    </row>
    <row r="820" spans="1:21">
      <c r="A820" s="4" t="s">
        <v>1201</v>
      </c>
      <c r="B820" s="4" t="s">
        <v>39</v>
      </c>
      <c r="C820" s="5">
        <v>45930.69363425926</v>
      </c>
      <c r="D820" s="5">
        <v>45930</v>
      </c>
      <c r="E820" s="6">
        <f>IF(AND(C820&lt;&gt;"",D820&lt;&gt;""),D820-C820,"")</f>
        <v>0</v>
      </c>
      <c r="F820" s="4" t="s">
        <v>1202</v>
      </c>
      <c r="G820" s="4" t="s">
        <v>1203</v>
      </c>
      <c r="H820" s="4" t="s">
        <v>32</v>
      </c>
      <c r="I820" s="4" t="s">
        <v>33</v>
      </c>
      <c r="J820" s="4">
        <v>0</v>
      </c>
      <c r="K820" s="4">
        <v>0</v>
      </c>
      <c r="L820" s="4">
        <f>J820+K820</f>
        <v>0</v>
      </c>
      <c r="M820" s="4" t="s">
        <v>247</v>
      </c>
      <c r="N820" s="4"/>
      <c r="O820" s="4">
        <v>1</v>
      </c>
      <c r="P820" s="4" t="s">
        <v>135</v>
      </c>
      <c r="Q820" s="4" t="s">
        <v>44</v>
      </c>
      <c r="R820" s="7">
        <v>75000</v>
      </c>
      <c r="S820" s="7">
        <v>0</v>
      </c>
      <c r="T820" s="7">
        <f>R820-S820</f>
        <v>0</v>
      </c>
      <c r="U820" s="7">
        <f>T820*O820</f>
        <v>0</v>
      </c>
    </row>
    <row r="821" spans="1:21">
      <c r="A821" s="4" t="s">
        <v>1201</v>
      </c>
      <c r="B821" s="4" t="s">
        <v>39</v>
      </c>
      <c r="C821" s="5">
        <v>45930.69363425926</v>
      </c>
      <c r="D821" s="5">
        <v>45930</v>
      </c>
      <c r="E821" s="6">
        <f>IF(AND(C821&lt;&gt;"",D821&lt;&gt;""),D821-C821,"")</f>
        <v>0</v>
      </c>
      <c r="F821" s="4" t="s">
        <v>1202</v>
      </c>
      <c r="G821" s="4" t="s">
        <v>1203</v>
      </c>
      <c r="H821" s="4" t="s">
        <v>32</v>
      </c>
      <c r="I821" s="4" t="s">
        <v>33</v>
      </c>
      <c r="J821" s="4">
        <v>1</v>
      </c>
      <c r="K821" s="4">
        <v>0</v>
      </c>
      <c r="L821" s="4">
        <f>J821+K821</f>
        <v>0</v>
      </c>
      <c r="M821" s="4" t="s">
        <v>42</v>
      </c>
      <c r="N821" s="4"/>
      <c r="O821" s="4">
        <v>1</v>
      </c>
      <c r="P821" s="4" t="s">
        <v>135</v>
      </c>
      <c r="Q821" s="4" t="s">
        <v>44</v>
      </c>
      <c r="R821" s="7">
        <v>370000</v>
      </c>
      <c r="S821" s="7">
        <v>0</v>
      </c>
      <c r="T821" s="7">
        <f>R821-S821</f>
        <v>0</v>
      </c>
      <c r="U821" s="7">
        <f>T821*O821</f>
        <v>0</v>
      </c>
    </row>
    <row r="822" spans="1:21">
      <c r="A822" s="4" t="s">
        <v>1201</v>
      </c>
      <c r="B822" s="4" t="s">
        <v>39</v>
      </c>
      <c r="C822" s="5">
        <v>45930.69363425926</v>
      </c>
      <c r="D822" s="5">
        <v>45930</v>
      </c>
      <c r="E822" s="6">
        <f>IF(AND(C822&lt;&gt;"",D822&lt;&gt;""),D822-C822,"")</f>
        <v>0</v>
      </c>
      <c r="F822" s="4" t="s">
        <v>1202</v>
      </c>
      <c r="G822" s="4" t="s">
        <v>1203</v>
      </c>
      <c r="H822" s="4" t="s">
        <v>32</v>
      </c>
      <c r="I822" s="4" t="s">
        <v>33</v>
      </c>
      <c r="J822" s="4">
        <v>0</v>
      </c>
      <c r="K822" s="4">
        <v>0</v>
      </c>
      <c r="L822" s="4">
        <f>J822+K822</f>
        <v>0</v>
      </c>
      <c r="M822" s="4" t="s">
        <v>609</v>
      </c>
      <c r="N822" s="4"/>
      <c r="O822" s="4">
        <v>1</v>
      </c>
      <c r="P822" s="4" t="s">
        <v>135</v>
      </c>
      <c r="Q822" s="4" t="s">
        <v>44</v>
      </c>
      <c r="R822" s="7">
        <v>80000</v>
      </c>
      <c r="S822" s="7">
        <v>0</v>
      </c>
      <c r="T822" s="7">
        <f>R822-S822</f>
        <v>0</v>
      </c>
      <c r="U822" s="7">
        <f>T822*O822</f>
        <v>0</v>
      </c>
    </row>
    <row r="823" spans="1:21">
      <c r="A823" s="4" t="s">
        <v>1204</v>
      </c>
      <c r="B823" s="4" t="s">
        <v>39</v>
      </c>
      <c r="C823" s="5">
        <v>45930.69903935185</v>
      </c>
      <c r="D823" s="5">
        <v>45930</v>
      </c>
      <c r="E823" s="6">
        <f>IF(AND(C823&lt;&gt;"",D823&lt;&gt;""),D823-C823,"")</f>
        <v>0</v>
      </c>
      <c r="F823" s="4" t="s">
        <v>1205</v>
      </c>
      <c r="G823" s="4" t="s">
        <v>1206</v>
      </c>
      <c r="H823" s="4" t="s">
        <v>32</v>
      </c>
      <c r="I823" s="4" t="s">
        <v>33</v>
      </c>
      <c r="J823" s="4">
        <v>0</v>
      </c>
      <c r="K823" s="4">
        <v>0</v>
      </c>
      <c r="L823" s="4">
        <f>J823+K823</f>
        <v>0</v>
      </c>
      <c r="M823" s="4" t="s">
        <v>247</v>
      </c>
      <c r="N823" s="4"/>
      <c r="O823" s="4">
        <v>1</v>
      </c>
      <c r="P823" s="4" t="s">
        <v>135</v>
      </c>
      <c r="Q823" s="4" t="s">
        <v>44</v>
      </c>
      <c r="R823" s="7">
        <v>75000</v>
      </c>
      <c r="S823" s="7">
        <v>0</v>
      </c>
      <c r="T823" s="7">
        <f>R823-S823</f>
        <v>0</v>
      </c>
      <c r="U823" s="7">
        <f>T823*O823</f>
        <v>0</v>
      </c>
    </row>
    <row r="824" spans="1:21">
      <c r="A824" s="4" t="s">
        <v>1204</v>
      </c>
      <c r="B824" s="4" t="s">
        <v>39</v>
      </c>
      <c r="C824" s="5">
        <v>45930.69903935185</v>
      </c>
      <c r="D824" s="5">
        <v>45930</v>
      </c>
      <c r="E824" s="6">
        <f>IF(AND(C824&lt;&gt;"",D824&lt;&gt;""),D824-C824,"")</f>
        <v>0</v>
      </c>
      <c r="F824" s="4" t="s">
        <v>1205</v>
      </c>
      <c r="G824" s="4" t="s">
        <v>1206</v>
      </c>
      <c r="H824" s="4" t="s">
        <v>32</v>
      </c>
      <c r="I824" s="4" t="s">
        <v>33</v>
      </c>
      <c r="J824" s="4">
        <v>0</v>
      </c>
      <c r="K824" s="4">
        <v>0</v>
      </c>
      <c r="L824" s="4">
        <f>J824+K824</f>
        <v>0</v>
      </c>
      <c r="M824" s="4" t="s">
        <v>370</v>
      </c>
      <c r="N824" s="4"/>
      <c r="O824" s="4">
        <v>1</v>
      </c>
      <c r="P824" s="4" t="s">
        <v>135</v>
      </c>
      <c r="Q824" s="4" t="s">
        <v>44</v>
      </c>
      <c r="R824" s="7">
        <v>10000</v>
      </c>
      <c r="S824" s="7">
        <v>0</v>
      </c>
      <c r="T824" s="7">
        <f>R824-S824</f>
        <v>0</v>
      </c>
      <c r="U824" s="7">
        <f>T824*O824</f>
        <v>0</v>
      </c>
    </row>
    <row r="825" spans="1:21">
      <c r="A825" s="4" t="s">
        <v>1204</v>
      </c>
      <c r="B825" s="4" t="s">
        <v>39</v>
      </c>
      <c r="C825" s="5">
        <v>45930.69903935185</v>
      </c>
      <c r="D825" s="5">
        <v>45930</v>
      </c>
      <c r="E825" s="6">
        <f>IF(AND(C825&lt;&gt;"",D825&lt;&gt;""),D825-C825,"")</f>
        <v>0</v>
      </c>
      <c r="F825" s="4" t="s">
        <v>1205</v>
      </c>
      <c r="G825" s="4" t="s">
        <v>1206</v>
      </c>
      <c r="H825" s="4" t="s">
        <v>32</v>
      </c>
      <c r="I825" s="4" t="s">
        <v>33</v>
      </c>
      <c r="J825" s="4">
        <v>0</v>
      </c>
      <c r="K825" s="4">
        <v>0</v>
      </c>
      <c r="L825" s="4">
        <f>J825+K825</f>
        <v>0</v>
      </c>
      <c r="M825" s="4" t="s">
        <v>609</v>
      </c>
      <c r="N825" s="4"/>
      <c r="O825" s="4">
        <v>1</v>
      </c>
      <c r="P825" s="4" t="s">
        <v>135</v>
      </c>
      <c r="Q825" s="4" t="s">
        <v>44</v>
      </c>
      <c r="R825" s="7">
        <v>80000</v>
      </c>
      <c r="S825" s="7">
        <v>0</v>
      </c>
      <c r="T825" s="7">
        <f>R825-S825</f>
        <v>0</v>
      </c>
      <c r="U825" s="7">
        <f>T825*O825</f>
        <v>0</v>
      </c>
    </row>
    <row r="826" spans="1:21">
      <c r="A826" s="4" t="s">
        <v>1204</v>
      </c>
      <c r="B826" s="4" t="s">
        <v>39</v>
      </c>
      <c r="C826" s="5">
        <v>45930.69903935185</v>
      </c>
      <c r="D826" s="5">
        <v>45930</v>
      </c>
      <c r="E826" s="6">
        <f>IF(AND(C826&lt;&gt;"",D826&lt;&gt;""),D826-C826,"")</f>
        <v>0</v>
      </c>
      <c r="F826" s="4" t="s">
        <v>1205</v>
      </c>
      <c r="G826" s="4" t="s">
        <v>1206</v>
      </c>
      <c r="H826" s="4" t="s">
        <v>32</v>
      </c>
      <c r="I826" s="4" t="s">
        <v>33</v>
      </c>
      <c r="J826" s="4">
        <v>1</v>
      </c>
      <c r="K826" s="4">
        <v>0</v>
      </c>
      <c r="L826" s="4">
        <f>J826+K826</f>
        <v>0</v>
      </c>
      <c r="M826" s="4" t="s">
        <v>42</v>
      </c>
      <c r="N826" s="4"/>
      <c r="O826" s="4">
        <v>1</v>
      </c>
      <c r="P826" s="4" t="s">
        <v>135</v>
      </c>
      <c r="Q826" s="4" t="s">
        <v>44</v>
      </c>
      <c r="R826" s="7">
        <v>370000</v>
      </c>
      <c r="S826" s="7">
        <v>0</v>
      </c>
      <c r="T826" s="7">
        <f>R826-S826</f>
        <v>0</v>
      </c>
      <c r="U826" s="7">
        <f>T826*O826</f>
        <v>0</v>
      </c>
    </row>
    <row r="827" spans="1:21">
      <c r="A827" s="4" t="s">
        <v>1207</v>
      </c>
      <c r="B827" s="4" t="s">
        <v>39</v>
      </c>
      <c r="C827" s="5">
        <v>45930.70636574074</v>
      </c>
      <c r="D827" s="5">
        <v>45930</v>
      </c>
      <c r="E827" s="6">
        <f>IF(AND(C827&lt;&gt;"",D827&lt;&gt;""),D827-C827,"")</f>
        <v>0</v>
      </c>
      <c r="F827" s="4" t="s">
        <v>1208</v>
      </c>
      <c r="G827" s="4" t="s">
        <v>1209</v>
      </c>
      <c r="H827" s="4" t="s">
        <v>177</v>
      </c>
      <c r="I827" s="4" t="s">
        <v>56</v>
      </c>
      <c r="J827" s="4">
        <v>0</v>
      </c>
      <c r="K827" s="4">
        <v>0</v>
      </c>
      <c r="L827" s="4">
        <f>J827+K827</f>
        <v>0</v>
      </c>
      <c r="M827" s="4" t="s">
        <v>370</v>
      </c>
      <c r="N827" s="4"/>
      <c r="O827" s="4">
        <v>1</v>
      </c>
      <c r="P827" s="4" t="s">
        <v>135</v>
      </c>
      <c r="Q827" s="4" t="s">
        <v>44</v>
      </c>
      <c r="R827" s="7">
        <v>2000000</v>
      </c>
      <c r="S827" s="7">
        <v>0</v>
      </c>
      <c r="T827" s="7">
        <f>R827-S827</f>
        <v>0</v>
      </c>
      <c r="U827" s="7">
        <f>T827*O827</f>
        <v>0</v>
      </c>
    </row>
    <row r="828" spans="1:21">
      <c r="A828" s="4" t="s">
        <v>1207</v>
      </c>
      <c r="B828" s="4" t="s">
        <v>39</v>
      </c>
      <c r="C828" s="5">
        <v>45930.70636574074</v>
      </c>
      <c r="D828" s="5">
        <v>45930</v>
      </c>
      <c r="E828" s="6">
        <f>IF(AND(C828&lt;&gt;"",D828&lt;&gt;""),D828-C828,"")</f>
        <v>0</v>
      </c>
      <c r="F828" s="4" t="s">
        <v>1208</v>
      </c>
      <c r="G828" s="4" t="s">
        <v>1209</v>
      </c>
      <c r="H828" s="4" t="s">
        <v>177</v>
      </c>
      <c r="I828" s="4" t="s">
        <v>56</v>
      </c>
      <c r="J828" s="4">
        <v>1</v>
      </c>
      <c r="K828" s="4">
        <v>0</v>
      </c>
      <c r="L828" s="4">
        <f>J828+K828</f>
        <v>0</v>
      </c>
      <c r="M828" s="4" t="s">
        <v>42</v>
      </c>
      <c r="N828" s="4"/>
      <c r="O828" s="4">
        <v>1</v>
      </c>
      <c r="P828" s="4" t="s">
        <v>135</v>
      </c>
      <c r="Q828" s="4" t="s">
        <v>44</v>
      </c>
      <c r="R828" s="7">
        <v>370000</v>
      </c>
      <c r="S828" s="7">
        <v>0</v>
      </c>
      <c r="T828" s="7">
        <f>R828-S828</f>
        <v>0</v>
      </c>
      <c r="U828" s="7">
        <f>T828*O828</f>
        <v>0</v>
      </c>
    </row>
    <row r="829" spans="1:21">
      <c r="A829" s="4" t="s">
        <v>1210</v>
      </c>
      <c r="B829" s="4" t="s">
        <v>39</v>
      </c>
      <c r="C829" s="5">
        <v>45930.71378472223</v>
      </c>
      <c r="D829" s="5">
        <v>45930</v>
      </c>
      <c r="E829" s="6">
        <f>IF(AND(C829&lt;&gt;"",D829&lt;&gt;""),D829-C829,"")</f>
        <v>0</v>
      </c>
      <c r="F829" s="4" t="s">
        <v>1208</v>
      </c>
      <c r="G829" s="4" t="s">
        <v>1209</v>
      </c>
      <c r="H829" s="4" t="s">
        <v>177</v>
      </c>
      <c r="I829" s="4" t="s">
        <v>56</v>
      </c>
      <c r="J829" s="4">
        <v>0</v>
      </c>
      <c r="K829" s="4">
        <v>0</v>
      </c>
      <c r="L829" s="4">
        <f>J829+K829</f>
        <v>0</v>
      </c>
      <c r="M829" s="4" t="s">
        <v>247</v>
      </c>
      <c r="N829" s="4"/>
      <c r="O829" s="4">
        <v>1</v>
      </c>
      <c r="P829" s="4" t="s">
        <v>135</v>
      </c>
      <c r="Q829" s="4" t="s">
        <v>44</v>
      </c>
      <c r="R829" s="7">
        <v>75000</v>
      </c>
      <c r="S829" s="7">
        <v>0</v>
      </c>
      <c r="T829" s="7">
        <f>R829-S829</f>
        <v>0</v>
      </c>
      <c r="U829" s="7">
        <f>T829*O829</f>
        <v>0</v>
      </c>
    </row>
    <row r="830" spans="1:21">
      <c r="A830" s="4" t="s">
        <v>1210</v>
      </c>
      <c r="B830" s="4" t="s">
        <v>39</v>
      </c>
      <c r="C830" s="5">
        <v>45930.71378472223</v>
      </c>
      <c r="D830" s="5">
        <v>45930</v>
      </c>
      <c r="E830" s="6">
        <f>IF(AND(C830&lt;&gt;"",D830&lt;&gt;""),D830-C830,"")</f>
        <v>0</v>
      </c>
      <c r="F830" s="4" t="s">
        <v>1208</v>
      </c>
      <c r="G830" s="4" t="s">
        <v>1209</v>
      </c>
      <c r="H830" s="4" t="s">
        <v>177</v>
      </c>
      <c r="I830" s="4" t="s">
        <v>56</v>
      </c>
      <c r="J830" s="4">
        <v>0</v>
      </c>
      <c r="K830" s="4">
        <v>0</v>
      </c>
      <c r="L830" s="4">
        <f>J830+K830</f>
        <v>0</v>
      </c>
      <c r="M830" s="4" t="s">
        <v>609</v>
      </c>
      <c r="N830" s="4"/>
      <c r="O830" s="4">
        <v>1</v>
      </c>
      <c r="P830" s="4" t="s">
        <v>135</v>
      </c>
      <c r="Q830" s="4" t="s">
        <v>44</v>
      </c>
      <c r="R830" s="7">
        <v>80000</v>
      </c>
      <c r="S830" s="7">
        <v>0</v>
      </c>
      <c r="T830" s="7">
        <f>R830-S830</f>
        <v>0</v>
      </c>
      <c r="U830" s="7">
        <f>T830*O830</f>
        <v>0</v>
      </c>
    </row>
    <row r="831" spans="1:21">
      <c r="A831" s="4" t="s">
        <v>1210</v>
      </c>
      <c r="B831" s="4" t="s">
        <v>39</v>
      </c>
      <c r="C831" s="5">
        <v>45930.71378472223</v>
      </c>
      <c r="D831" s="5">
        <v>45930</v>
      </c>
      <c r="E831" s="6">
        <f>IF(AND(C831&lt;&gt;"",D831&lt;&gt;""),D831-C831,"")</f>
        <v>0</v>
      </c>
      <c r="F831" s="4" t="s">
        <v>1208</v>
      </c>
      <c r="G831" s="4" t="s">
        <v>1209</v>
      </c>
      <c r="H831" s="4" t="s">
        <v>177</v>
      </c>
      <c r="I831" s="4" t="s">
        <v>56</v>
      </c>
      <c r="J831" s="4">
        <v>1</v>
      </c>
      <c r="K831" s="4">
        <v>0</v>
      </c>
      <c r="L831" s="4">
        <f>J831+K831</f>
        <v>0</v>
      </c>
      <c r="M831" s="4" t="s">
        <v>42</v>
      </c>
      <c r="N831" s="4"/>
      <c r="O831" s="4">
        <v>1</v>
      </c>
      <c r="P831" s="4" t="s">
        <v>135</v>
      </c>
      <c r="Q831" s="4" t="s">
        <v>44</v>
      </c>
      <c r="R831" s="7">
        <v>370000</v>
      </c>
      <c r="S831" s="7">
        <v>0</v>
      </c>
      <c r="T831" s="7">
        <f>R831-S831</f>
        <v>0</v>
      </c>
      <c r="U831" s="7">
        <f>T831*O831</f>
        <v>0</v>
      </c>
    </row>
    <row r="832" spans="1:21">
      <c r="A832" s="4" t="s">
        <v>1210</v>
      </c>
      <c r="B832" s="4" t="s">
        <v>39</v>
      </c>
      <c r="C832" s="5">
        <v>45930.71378472223</v>
      </c>
      <c r="D832" s="5">
        <v>45930</v>
      </c>
      <c r="E832" s="6">
        <f>IF(AND(C832&lt;&gt;"",D832&lt;&gt;""),D832-C832,"")</f>
        <v>0</v>
      </c>
      <c r="F832" s="4" t="s">
        <v>1208</v>
      </c>
      <c r="G832" s="4" t="s">
        <v>1209</v>
      </c>
      <c r="H832" s="4" t="s">
        <v>177</v>
      </c>
      <c r="I832" s="4" t="s">
        <v>56</v>
      </c>
      <c r="J832" s="4">
        <v>0</v>
      </c>
      <c r="K832" s="4">
        <v>0</v>
      </c>
      <c r="L832" s="4">
        <f>J832+K832</f>
        <v>0</v>
      </c>
      <c r="M832" s="4" t="s">
        <v>370</v>
      </c>
      <c r="N832" s="4"/>
      <c r="O832" s="4">
        <v>1</v>
      </c>
      <c r="P832" s="4" t="s">
        <v>135</v>
      </c>
      <c r="Q832" s="4" t="s">
        <v>44</v>
      </c>
      <c r="R832" s="7">
        <v>10000</v>
      </c>
      <c r="S832" s="7">
        <v>0</v>
      </c>
      <c r="T832" s="7">
        <f>R832-S832</f>
        <v>0</v>
      </c>
      <c r="U832" s="7">
        <f>T832*O832</f>
        <v>0</v>
      </c>
    </row>
    <row r="833" spans="1:21">
      <c r="A833" s="4" t="s">
        <v>1211</v>
      </c>
      <c r="B833" s="4" t="s">
        <v>39</v>
      </c>
      <c r="C833" s="5">
        <v>45930.71782407408</v>
      </c>
      <c r="D833" s="5">
        <v>45930</v>
      </c>
      <c r="E833" s="6">
        <f>IF(AND(C833&lt;&gt;"",D833&lt;&gt;""),D833-C833,"")</f>
        <v>0</v>
      </c>
      <c r="F833" s="4" t="s">
        <v>1212</v>
      </c>
      <c r="G833" s="4" t="s">
        <v>1213</v>
      </c>
      <c r="H833" s="4" t="s">
        <v>32</v>
      </c>
      <c r="I833" s="4" t="s">
        <v>33</v>
      </c>
      <c r="J833" s="4">
        <v>1</v>
      </c>
      <c r="K833" s="4">
        <v>0</v>
      </c>
      <c r="L833" s="4">
        <f>J833+K833</f>
        <v>0</v>
      </c>
      <c r="M833" s="4" t="s">
        <v>42</v>
      </c>
      <c r="N833" s="4"/>
      <c r="O833" s="4">
        <v>1</v>
      </c>
      <c r="P833" s="4" t="s">
        <v>135</v>
      </c>
      <c r="Q833" s="4" t="s">
        <v>44</v>
      </c>
      <c r="R833" s="7">
        <v>370000</v>
      </c>
      <c r="S833" s="7">
        <v>0</v>
      </c>
      <c r="T833" s="7">
        <f>R833-S833</f>
        <v>0</v>
      </c>
      <c r="U833" s="7">
        <f>T833*O833</f>
        <v>0</v>
      </c>
    </row>
    <row r="834" spans="1:21">
      <c r="A834" s="4" t="s">
        <v>1211</v>
      </c>
      <c r="B834" s="4" t="s">
        <v>39</v>
      </c>
      <c r="C834" s="5">
        <v>45930.71782407408</v>
      </c>
      <c r="D834" s="5">
        <v>45930</v>
      </c>
      <c r="E834" s="6">
        <f>IF(AND(C834&lt;&gt;"",D834&lt;&gt;""),D834-C834,"")</f>
        <v>0</v>
      </c>
      <c r="F834" s="4" t="s">
        <v>1212</v>
      </c>
      <c r="G834" s="4" t="s">
        <v>1213</v>
      </c>
      <c r="H834" s="4" t="s">
        <v>32</v>
      </c>
      <c r="I834" s="4" t="s">
        <v>33</v>
      </c>
      <c r="J834" s="4">
        <v>0</v>
      </c>
      <c r="K834" s="4">
        <v>0</v>
      </c>
      <c r="L834" s="4">
        <f>J834+K834</f>
        <v>0</v>
      </c>
      <c r="M834" s="4" t="s">
        <v>609</v>
      </c>
      <c r="N834" s="4"/>
      <c r="O834" s="4">
        <v>1</v>
      </c>
      <c r="P834" s="4" t="s">
        <v>135</v>
      </c>
      <c r="Q834" s="4" t="s">
        <v>44</v>
      </c>
      <c r="R834" s="7">
        <v>80000</v>
      </c>
      <c r="S834" s="7">
        <v>0</v>
      </c>
      <c r="T834" s="7">
        <f>R834-S834</f>
        <v>0</v>
      </c>
      <c r="U834" s="7">
        <f>T834*O834</f>
        <v>0</v>
      </c>
    </row>
    <row r="835" spans="1:21">
      <c r="A835" s="4" t="s">
        <v>1211</v>
      </c>
      <c r="B835" s="4" t="s">
        <v>39</v>
      </c>
      <c r="C835" s="5">
        <v>45930.71782407408</v>
      </c>
      <c r="D835" s="5">
        <v>45930</v>
      </c>
      <c r="E835" s="6">
        <f>IF(AND(C835&lt;&gt;"",D835&lt;&gt;""),D835-C835,"")</f>
        <v>0</v>
      </c>
      <c r="F835" s="4" t="s">
        <v>1212</v>
      </c>
      <c r="G835" s="4" t="s">
        <v>1213</v>
      </c>
      <c r="H835" s="4" t="s">
        <v>32</v>
      </c>
      <c r="I835" s="4" t="s">
        <v>33</v>
      </c>
      <c r="J835" s="4">
        <v>0</v>
      </c>
      <c r="K835" s="4">
        <v>0</v>
      </c>
      <c r="L835" s="4">
        <f>J835+K835</f>
        <v>0</v>
      </c>
      <c r="M835" s="4" t="s">
        <v>370</v>
      </c>
      <c r="N835" s="4"/>
      <c r="O835" s="4">
        <v>1</v>
      </c>
      <c r="P835" s="4" t="s">
        <v>135</v>
      </c>
      <c r="Q835" s="4" t="s">
        <v>44</v>
      </c>
      <c r="R835" s="7">
        <v>10000</v>
      </c>
      <c r="S835" s="7">
        <v>0</v>
      </c>
      <c r="T835" s="7">
        <f>R835-S835</f>
        <v>0</v>
      </c>
      <c r="U835" s="7">
        <f>T835*O835</f>
        <v>0</v>
      </c>
    </row>
    <row r="836" spans="1:21">
      <c r="A836" s="4" t="s">
        <v>1214</v>
      </c>
      <c r="B836" s="4" t="s">
        <v>29</v>
      </c>
      <c r="C836" s="5">
        <v>45930.72136574074</v>
      </c>
      <c r="D836" s="5">
        <v>45961</v>
      </c>
      <c r="E836" s="6">
        <f>IF(AND(C836&lt;&gt;"",D836&lt;&gt;""),D836-C836,"")</f>
        <v>0</v>
      </c>
      <c r="F836" s="4" t="s">
        <v>1215</v>
      </c>
      <c r="G836" s="4" t="s">
        <v>1216</v>
      </c>
      <c r="H836" s="4" t="s">
        <v>1217</v>
      </c>
      <c r="I836" s="4" t="s">
        <v>56</v>
      </c>
      <c r="J836" s="4">
        <v>2</v>
      </c>
      <c r="K836" s="4">
        <v>0</v>
      </c>
      <c r="L836" s="4">
        <f>J836+K836</f>
        <v>0</v>
      </c>
      <c r="M836" s="4"/>
      <c r="N836" s="4"/>
      <c r="O836" s="4">
        <v>0</v>
      </c>
      <c r="P836" s="4"/>
      <c r="Q836" s="4"/>
      <c r="R836" s="7">
        <v>0</v>
      </c>
      <c r="S836" s="7">
        <v>0</v>
      </c>
      <c r="T836" s="7">
        <f>R836-S836</f>
        <v>0</v>
      </c>
      <c r="U836" s="7">
        <f>T836*O836</f>
        <v>0</v>
      </c>
    </row>
    <row r="837" spans="1:21">
      <c r="A837" s="4" t="s">
        <v>1218</v>
      </c>
      <c r="B837" s="4" t="s">
        <v>39</v>
      </c>
      <c r="C837" s="5">
        <v>45930.72671296296</v>
      </c>
      <c r="D837" s="5">
        <v>45930</v>
      </c>
      <c r="E837" s="6">
        <f>IF(AND(C837&lt;&gt;"",D837&lt;&gt;""),D837-C837,"")</f>
        <v>0</v>
      </c>
      <c r="F837" s="4" t="s">
        <v>1219</v>
      </c>
      <c r="G837" s="4" t="s">
        <v>1220</v>
      </c>
      <c r="H837" s="4" t="s">
        <v>32</v>
      </c>
      <c r="I837" s="4" t="s">
        <v>33</v>
      </c>
      <c r="J837" s="4">
        <v>1</v>
      </c>
      <c r="K837" s="4">
        <v>0</v>
      </c>
      <c r="L837" s="4">
        <f>J837+K837</f>
        <v>0</v>
      </c>
      <c r="M837" s="4" t="s">
        <v>42</v>
      </c>
      <c r="N837" s="4"/>
      <c r="O837" s="4">
        <v>1</v>
      </c>
      <c r="P837" s="4" t="s">
        <v>135</v>
      </c>
      <c r="Q837" s="4" t="s">
        <v>44</v>
      </c>
      <c r="R837" s="7">
        <v>370000</v>
      </c>
      <c r="S837" s="7">
        <v>0</v>
      </c>
      <c r="T837" s="7">
        <f>R837-S837</f>
        <v>0</v>
      </c>
      <c r="U837" s="7">
        <f>T837*O837</f>
        <v>0</v>
      </c>
    </row>
    <row r="838" spans="1:21">
      <c r="A838" s="4" t="s">
        <v>1218</v>
      </c>
      <c r="B838" s="4" t="s">
        <v>39</v>
      </c>
      <c r="C838" s="5">
        <v>45930.72671296296</v>
      </c>
      <c r="D838" s="5">
        <v>45930</v>
      </c>
      <c r="E838" s="6">
        <f>IF(AND(C838&lt;&gt;"",D838&lt;&gt;""),D838-C838,"")</f>
        <v>0</v>
      </c>
      <c r="F838" s="4" t="s">
        <v>1219</v>
      </c>
      <c r="G838" s="4" t="s">
        <v>1220</v>
      </c>
      <c r="H838" s="4" t="s">
        <v>32</v>
      </c>
      <c r="I838" s="4" t="s">
        <v>33</v>
      </c>
      <c r="J838" s="4">
        <v>0</v>
      </c>
      <c r="K838" s="4">
        <v>0</v>
      </c>
      <c r="L838" s="4">
        <f>J838+K838</f>
        <v>0</v>
      </c>
      <c r="M838" s="4" t="s">
        <v>370</v>
      </c>
      <c r="N838" s="4"/>
      <c r="O838" s="4">
        <v>1</v>
      </c>
      <c r="P838" s="4" t="s">
        <v>135</v>
      </c>
      <c r="Q838" s="4" t="s">
        <v>44</v>
      </c>
      <c r="R838" s="7">
        <v>1500000</v>
      </c>
      <c r="S838" s="7">
        <v>0</v>
      </c>
      <c r="T838" s="7">
        <f>R838-S838</f>
        <v>0</v>
      </c>
      <c r="U838" s="7">
        <f>T838*O838</f>
        <v>0</v>
      </c>
    </row>
    <row r="839" spans="1:21">
      <c r="A839" s="4" t="s">
        <v>1221</v>
      </c>
      <c r="B839" s="4" t="s">
        <v>39</v>
      </c>
      <c r="C839" s="5">
        <v>45930.7328587963</v>
      </c>
      <c r="D839" s="5">
        <v>45930</v>
      </c>
      <c r="E839" s="6">
        <f>IF(AND(C839&lt;&gt;"",D839&lt;&gt;""),D839-C839,"")</f>
        <v>0</v>
      </c>
      <c r="F839" s="4" t="s">
        <v>1219</v>
      </c>
      <c r="G839" s="4" t="s">
        <v>1220</v>
      </c>
      <c r="H839" s="4" t="s">
        <v>32</v>
      </c>
      <c r="I839" s="4" t="s">
        <v>33</v>
      </c>
      <c r="J839" s="4">
        <v>0</v>
      </c>
      <c r="K839" s="4">
        <v>0</v>
      </c>
      <c r="L839" s="4">
        <f>J839+K839</f>
        <v>0</v>
      </c>
      <c r="M839" s="4" t="s">
        <v>370</v>
      </c>
      <c r="N839" s="4"/>
      <c r="O839" s="4">
        <v>1</v>
      </c>
      <c r="P839" s="4" t="s">
        <v>135</v>
      </c>
      <c r="Q839" s="4" t="s">
        <v>44</v>
      </c>
      <c r="R839" s="7">
        <v>3000000</v>
      </c>
      <c r="S839" s="7">
        <v>0</v>
      </c>
      <c r="T839" s="7">
        <f>R839-S839</f>
        <v>0</v>
      </c>
      <c r="U839" s="7">
        <f>T839*O839</f>
        <v>0</v>
      </c>
    </row>
    <row r="840" spans="1:21">
      <c r="A840" s="4" t="s">
        <v>1221</v>
      </c>
      <c r="B840" s="4" t="s">
        <v>39</v>
      </c>
      <c r="C840" s="5">
        <v>45930.7328587963</v>
      </c>
      <c r="D840" s="5">
        <v>45930</v>
      </c>
      <c r="E840" s="6">
        <f>IF(AND(C840&lt;&gt;"",D840&lt;&gt;""),D840-C840,"")</f>
        <v>0</v>
      </c>
      <c r="F840" s="4" t="s">
        <v>1219</v>
      </c>
      <c r="G840" s="4" t="s">
        <v>1220</v>
      </c>
      <c r="H840" s="4" t="s">
        <v>32</v>
      </c>
      <c r="I840" s="4" t="s">
        <v>33</v>
      </c>
      <c r="J840" s="4">
        <v>1</v>
      </c>
      <c r="K840" s="4">
        <v>0</v>
      </c>
      <c r="L840" s="4">
        <f>J840+K840</f>
        <v>0</v>
      </c>
      <c r="M840" s="4" t="s">
        <v>42</v>
      </c>
      <c r="N840" s="4"/>
      <c r="O840" s="4">
        <v>1</v>
      </c>
      <c r="P840" s="4" t="s">
        <v>135</v>
      </c>
      <c r="Q840" s="4" t="s">
        <v>44</v>
      </c>
      <c r="R840" s="7">
        <v>370000</v>
      </c>
      <c r="S840" s="7">
        <v>0</v>
      </c>
      <c r="T840" s="7">
        <f>R840-S840</f>
        <v>0</v>
      </c>
      <c r="U840" s="7">
        <f>T840*O840</f>
        <v>0</v>
      </c>
    </row>
    <row r="841" spans="1:21">
      <c r="A841" s="4" t="s">
        <v>1222</v>
      </c>
      <c r="B841" s="4" t="s">
        <v>39</v>
      </c>
      <c r="C841" s="5">
        <v>45930.73996527777</v>
      </c>
      <c r="D841" s="5">
        <v>45930</v>
      </c>
      <c r="E841" s="6">
        <f>IF(AND(C841&lt;&gt;"",D841&lt;&gt;""),D841-C841,"")</f>
        <v>0</v>
      </c>
      <c r="F841" s="4" t="s">
        <v>1223</v>
      </c>
      <c r="G841" s="4" t="s">
        <v>1224</v>
      </c>
      <c r="H841" s="4" t="s">
        <v>32</v>
      </c>
      <c r="I841" s="4" t="s">
        <v>33</v>
      </c>
      <c r="J841" s="4">
        <v>0</v>
      </c>
      <c r="K841" s="4">
        <v>0</v>
      </c>
      <c r="L841" s="4">
        <f>J841+K841</f>
        <v>0</v>
      </c>
      <c r="M841" s="4" t="s">
        <v>370</v>
      </c>
      <c r="N841" s="4"/>
      <c r="O841" s="4">
        <v>1</v>
      </c>
      <c r="P841" s="4" t="s">
        <v>135</v>
      </c>
      <c r="Q841" s="4" t="s">
        <v>44</v>
      </c>
      <c r="R841" s="7">
        <v>1200000</v>
      </c>
      <c r="S841" s="7">
        <v>0</v>
      </c>
      <c r="T841" s="7">
        <f>R841-S841</f>
        <v>0</v>
      </c>
      <c r="U841" s="7">
        <f>T841*O841</f>
        <v>0</v>
      </c>
    </row>
    <row r="842" spans="1:21">
      <c r="A842" s="4" t="s">
        <v>1222</v>
      </c>
      <c r="B842" s="4" t="s">
        <v>39</v>
      </c>
      <c r="C842" s="5">
        <v>45930.73996527777</v>
      </c>
      <c r="D842" s="5">
        <v>45930</v>
      </c>
      <c r="E842" s="6">
        <f>IF(AND(C842&lt;&gt;"",D842&lt;&gt;""),D842-C842,"")</f>
        <v>0</v>
      </c>
      <c r="F842" s="4" t="s">
        <v>1223</v>
      </c>
      <c r="G842" s="4" t="s">
        <v>1224</v>
      </c>
      <c r="H842" s="4" t="s">
        <v>32</v>
      </c>
      <c r="I842" s="4" t="s">
        <v>33</v>
      </c>
      <c r="J842" s="4">
        <v>1</v>
      </c>
      <c r="K842" s="4">
        <v>0</v>
      </c>
      <c r="L842" s="4">
        <f>J842+K842</f>
        <v>0</v>
      </c>
      <c r="M842" s="4" t="s">
        <v>42</v>
      </c>
      <c r="N842" s="4"/>
      <c r="O842" s="4">
        <v>1</v>
      </c>
      <c r="P842" s="4" t="s">
        <v>135</v>
      </c>
      <c r="Q842" s="4" t="s">
        <v>44</v>
      </c>
      <c r="R842" s="7">
        <v>370000</v>
      </c>
      <c r="S842" s="7">
        <v>0</v>
      </c>
      <c r="T842" s="7">
        <f>R842-S842</f>
        <v>0</v>
      </c>
      <c r="U842" s="7">
        <f>T842*O842</f>
        <v>0</v>
      </c>
    </row>
    <row r="843" spans="1:21">
      <c r="A843" s="4" t="s">
        <v>1225</v>
      </c>
      <c r="B843" s="4" t="s">
        <v>48</v>
      </c>
      <c r="C843" s="5">
        <v>45930.75035879629</v>
      </c>
      <c r="D843" s="5">
        <v>45961</v>
      </c>
      <c r="E843" s="6">
        <f>IF(AND(C843&lt;&gt;"",D843&lt;&gt;""),D843-C843,"")</f>
        <v>0</v>
      </c>
      <c r="F843" s="4" t="s">
        <v>64</v>
      </c>
      <c r="G843" s="4" t="s">
        <v>1226</v>
      </c>
      <c r="H843" s="4" t="s">
        <v>32</v>
      </c>
      <c r="I843" s="4" t="s">
        <v>33</v>
      </c>
      <c r="J843" s="4">
        <v>1</v>
      </c>
      <c r="K843" s="4">
        <v>0</v>
      </c>
      <c r="L843" s="4">
        <f>J843+K843</f>
        <v>0</v>
      </c>
      <c r="M843" s="4"/>
      <c r="N843" s="4"/>
      <c r="O843" s="4">
        <v>0</v>
      </c>
      <c r="P843" s="4"/>
      <c r="Q843" s="4"/>
      <c r="R843" s="7">
        <v>0</v>
      </c>
      <c r="S843" s="7">
        <v>0</v>
      </c>
      <c r="T843" s="7">
        <f>R843-S843</f>
        <v>0</v>
      </c>
      <c r="U843" s="7">
        <f>T843*O843</f>
        <v>0</v>
      </c>
    </row>
    <row r="844" spans="1:21">
      <c r="A844" s="4" t="s">
        <v>1227</v>
      </c>
      <c r="B844" s="4" t="s">
        <v>48</v>
      </c>
      <c r="C844" s="5">
        <v>45930.75116898148</v>
      </c>
      <c r="D844" s="5">
        <v>45961</v>
      </c>
      <c r="E844" s="6">
        <f>IF(AND(C844&lt;&gt;"",D844&lt;&gt;""),D844-C844,"")</f>
        <v>0</v>
      </c>
      <c r="F844" s="4" t="s">
        <v>64</v>
      </c>
      <c r="G844" s="4" t="s">
        <v>1226</v>
      </c>
      <c r="H844" s="4" t="s">
        <v>32</v>
      </c>
      <c r="I844" s="4" t="s">
        <v>33</v>
      </c>
      <c r="J844" s="4">
        <v>1</v>
      </c>
      <c r="K844" s="4">
        <v>0</v>
      </c>
      <c r="L844" s="4">
        <f>J844+K844</f>
        <v>0</v>
      </c>
      <c r="M844" s="4"/>
      <c r="N844" s="4"/>
      <c r="O844" s="4">
        <v>0</v>
      </c>
      <c r="P844" s="4"/>
      <c r="Q844" s="4"/>
      <c r="R844" s="7">
        <v>0</v>
      </c>
      <c r="S844" s="7">
        <v>0</v>
      </c>
      <c r="T844" s="7">
        <f>R844-S844</f>
        <v>0</v>
      </c>
      <c r="U844" s="7">
        <f>T844*O844</f>
        <v>0</v>
      </c>
    </row>
    <row r="845" spans="1:21">
      <c r="A845" s="4" t="s">
        <v>1228</v>
      </c>
      <c r="B845" s="4" t="s">
        <v>39</v>
      </c>
      <c r="C845" s="5">
        <v>45930.75673611111</v>
      </c>
      <c r="D845" s="5">
        <v>45930</v>
      </c>
      <c r="E845" s="6">
        <f>IF(AND(C845&lt;&gt;"",D845&lt;&gt;""),D845-C845,"")</f>
        <v>0</v>
      </c>
      <c r="F845" s="4" t="s">
        <v>1229</v>
      </c>
      <c r="G845" s="4"/>
      <c r="H845" s="4"/>
      <c r="I845" s="4" t="s">
        <v>56</v>
      </c>
      <c r="J845" s="4">
        <v>0</v>
      </c>
      <c r="K845" s="4">
        <v>0</v>
      </c>
      <c r="L845" s="4">
        <f>J845+K845</f>
        <v>0</v>
      </c>
      <c r="M845" s="4" t="s">
        <v>370</v>
      </c>
      <c r="N845" s="4"/>
      <c r="O845" s="4">
        <v>1</v>
      </c>
      <c r="P845" s="4" t="s">
        <v>43</v>
      </c>
      <c r="Q845" s="4" t="s">
        <v>44</v>
      </c>
      <c r="R845" s="7">
        <v>100000</v>
      </c>
      <c r="S845" s="7">
        <v>0</v>
      </c>
      <c r="T845" s="7">
        <f>R845-S845</f>
        <v>0</v>
      </c>
      <c r="U845" s="7">
        <f>T845*O845</f>
        <v>0</v>
      </c>
    </row>
    <row r="846" spans="1:21">
      <c r="A846" s="4" t="s">
        <v>1228</v>
      </c>
      <c r="B846" s="4" t="s">
        <v>39</v>
      </c>
      <c r="C846" s="5">
        <v>45930.75673611111</v>
      </c>
      <c r="D846" s="5">
        <v>45930</v>
      </c>
      <c r="E846" s="6">
        <f>IF(AND(C846&lt;&gt;"",D846&lt;&gt;""),D846-C846,"")</f>
        <v>0</v>
      </c>
      <c r="F846" s="4" t="s">
        <v>1229</v>
      </c>
      <c r="G846" s="4"/>
      <c r="H846" s="4"/>
      <c r="I846" s="4" t="s">
        <v>56</v>
      </c>
      <c r="J846" s="4">
        <v>1</v>
      </c>
      <c r="K846" s="4">
        <v>0</v>
      </c>
      <c r="L846" s="4">
        <f>J846+K846</f>
        <v>0</v>
      </c>
      <c r="M846" s="4" t="s">
        <v>42</v>
      </c>
      <c r="N846" s="4"/>
      <c r="O846" s="4">
        <v>1</v>
      </c>
      <c r="P846" s="4" t="s">
        <v>43</v>
      </c>
      <c r="Q846" s="4" t="s">
        <v>44</v>
      </c>
      <c r="R846" s="7">
        <v>370000</v>
      </c>
      <c r="S846" s="7">
        <v>0</v>
      </c>
      <c r="T846" s="7">
        <f>R846-S846</f>
        <v>0</v>
      </c>
      <c r="U846" s="7">
        <f>T846*O846</f>
        <v>0</v>
      </c>
    </row>
    <row r="847" spans="1:21">
      <c r="A847" s="4" t="s">
        <v>1228</v>
      </c>
      <c r="B847" s="4" t="s">
        <v>39</v>
      </c>
      <c r="C847" s="5">
        <v>45930.75673611111</v>
      </c>
      <c r="D847" s="5">
        <v>45930</v>
      </c>
      <c r="E847" s="6">
        <f>IF(AND(C847&lt;&gt;"",D847&lt;&gt;""),D847-C847,"")</f>
        <v>0</v>
      </c>
      <c r="F847" s="4" t="s">
        <v>1229</v>
      </c>
      <c r="G847" s="4"/>
      <c r="H847" s="4"/>
      <c r="I847" s="4" t="s">
        <v>56</v>
      </c>
      <c r="J847" s="4">
        <v>0</v>
      </c>
      <c r="K847" s="4">
        <v>0</v>
      </c>
      <c r="L847" s="4">
        <f>J847+K847</f>
        <v>0</v>
      </c>
      <c r="M847" s="4" t="s">
        <v>609</v>
      </c>
      <c r="N847" s="4"/>
      <c r="O847" s="4">
        <v>1</v>
      </c>
      <c r="P847" s="4" t="s">
        <v>43</v>
      </c>
      <c r="Q847" s="4" t="s">
        <v>44</v>
      </c>
      <c r="R847" s="7">
        <v>80000</v>
      </c>
      <c r="S847" s="7">
        <v>0</v>
      </c>
      <c r="T847" s="7">
        <f>R847-S847</f>
        <v>0</v>
      </c>
      <c r="U847" s="7">
        <f>T847*O847</f>
        <v>0</v>
      </c>
    </row>
    <row r="848" spans="1:21">
      <c r="A848" s="4" t="s">
        <v>1230</v>
      </c>
      <c r="B848" s="4" t="s">
        <v>39</v>
      </c>
      <c r="C848" s="5">
        <v>45930.75736111111</v>
      </c>
      <c r="D848" s="5">
        <v>45930</v>
      </c>
      <c r="E848" s="6">
        <f>IF(AND(C848&lt;&gt;"",D848&lt;&gt;""),D848-C848,"")</f>
        <v>0</v>
      </c>
      <c r="F848" s="4" t="s">
        <v>1231</v>
      </c>
      <c r="G848" s="4" t="s">
        <v>1232</v>
      </c>
      <c r="H848" s="4" t="s">
        <v>177</v>
      </c>
      <c r="I848" s="4" t="s">
        <v>56</v>
      </c>
      <c r="J848" s="4">
        <v>0</v>
      </c>
      <c r="K848" s="4">
        <v>0</v>
      </c>
      <c r="L848" s="4">
        <f>J848+K848</f>
        <v>0</v>
      </c>
      <c r="M848" s="4" t="s">
        <v>370</v>
      </c>
      <c r="N848" s="4"/>
      <c r="O848" s="4">
        <v>1</v>
      </c>
      <c r="P848" s="4" t="s">
        <v>135</v>
      </c>
      <c r="Q848" s="4" t="s">
        <v>44</v>
      </c>
      <c r="R848" s="7">
        <v>0</v>
      </c>
      <c r="S848" s="7">
        <v>0</v>
      </c>
      <c r="T848" s="7">
        <f>R848-S848</f>
        <v>0</v>
      </c>
      <c r="U848" s="7">
        <f>T848*O848</f>
        <v>0</v>
      </c>
    </row>
    <row r="849" spans="1:21">
      <c r="A849" s="4" t="s">
        <v>1230</v>
      </c>
      <c r="B849" s="4" t="s">
        <v>39</v>
      </c>
      <c r="C849" s="5">
        <v>45930.75736111111</v>
      </c>
      <c r="D849" s="5">
        <v>45930</v>
      </c>
      <c r="E849" s="6">
        <f>IF(AND(C849&lt;&gt;"",D849&lt;&gt;""),D849-C849,"")</f>
        <v>0</v>
      </c>
      <c r="F849" s="4" t="s">
        <v>1231</v>
      </c>
      <c r="G849" s="4" t="s">
        <v>1232</v>
      </c>
      <c r="H849" s="4" t="s">
        <v>177</v>
      </c>
      <c r="I849" s="4" t="s">
        <v>56</v>
      </c>
      <c r="J849" s="4">
        <v>0</v>
      </c>
      <c r="K849" s="4">
        <v>0</v>
      </c>
      <c r="L849" s="4">
        <f>J849+K849</f>
        <v>0</v>
      </c>
      <c r="M849" s="4" t="s">
        <v>609</v>
      </c>
      <c r="N849" s="4"/>
      <c r="O849" s="4">
        <v>1</v>
      </c>
      <c r="P849" s="4" t="s">
        <v>135</v>
      </c>
      <c r="Q849" s="4" t="s">
        <v>44</v>
      </c>
      <c r="R849" s="7">
        <v>80000</v>
      </c>
      <c r="S849" s="7">
        <v>0</v>
      </c>
      <c r="T849" s="7">
        <f>R849-S849</f>
        <v>0</v>
      </c>
      <c r="U849" s="7">
        <f>T849*O849</f>
        <v>0</v>
      </c>
    </row>
    <row r="850" spans="1:21">
      <c r="A850" s="4" t="s">
        <v>1230</v>
      </c>
      <c r="B850" s="4" t="s">
        <v>39</v>
      </c>
      <c r="C850" s="5">
        <v>45930.75736111111</v>
      </c>
      <c r="D850" s="5">
        <v>45930</v>
      </c>
      <c r="E850" s="6">
        <f>IF(AND(C850&lt;&gt;"",D850&lt;&gt;""),D850-C850,"")</f>
        <v>0</v>
      </c>
      <c r="F850" s="4" t="s">
        <v>1231</v>
      </c>
      <c r="G850" s="4" t="s">
        <v>1232</v>
      </c>
      <c r="H850" s="4" t="s">
        <v>177</v>
      </c>
      <c r="I850" s="4" t="s">
        <v>56</v>
      </c>
      <c r="J850" s="4">
        <v>1</v>
      </c>
      <c r="K850" s="4">
        <v>0</v>
      </c>
      <c r="L850" s="4">
        <f>J850+K850</f>
        <v>0</v>
      </c>
      <c r="M850" s="4" t="s">
        <v>42</v>
      </c>
      <c r="N850" s="4"/>
      <c r="O850" s="4">
        <v>1</v>
      </c>
      <c r="P850" s="4" t="s">
        <v>135</v>
      </c>
      <c r="Q850" s="4" t="s">
        <v>44</v>
      </c>
      <c r="R850" s="7">
        <v>370000</v>
      </c>
      <c r="S850" s="7">
        <v>0</v>
      </c>
      <c r="T850" s="7">
        <f>R850-S850</f>
        <v>0</v>
      </c>
      <c r="U850" s="7">
        <f>T850*O850</f>
        <v>0</v>
      </c>
    </row>
    <row r="851" spans="1:21">
      <c r="A851" s="4" t="s">
        <v>1233</v>
      </c>
      <c r="B851" s="4" t="s">
        <v>39</v>
      </c>
      <c r="C851" s="5">
        <v>45930.76219907407</v>
      </c>
      <c r="D851" s="5">
        <v>45930</v>
      </c>
      <c r="E851" s="6">
        <f>IF(AND(C851&lt;&gt;"",D851&lt;&gt;""),D851-C851,"")</f>
        <v>0</v>
      </c>
      <c r="F851" s="4" t="s">
        <v>1234</v>
      </c>
      <c r="G851" s="4" t="s">
        <v>1235</v>
      </c>
      <c r="H851" s="4" t="s">
        <v>32</v>
      </c>
      <c r="I851" s="4" t="s">
        <v>33</v>
      </c>
      <c r="J851" s="4">
        <v>0</v>
      </c>
      <c r="K851" s="4">
        <v>0</v>
      </c>
      <c r="L851" s="4">
        <f>J851+K851</f>
        <v>0</v>
      </c>
      <c r="M851" s="4" t="s">
        <v>370</v>
      </c>
      <c r="N851" s="4"/>
      <c r="O851" s="4">
        <v>1</v>
      </c>
      <c r="P851" s="4" t="s">
        <v>135</v>
      </c>
      <c r="Q851" s="4" t="s">
        <v>44</v>
      </c>
      <c r="R851" s="7">
        <v>0</v>
      </c>
      <c r="S851" s="7">
        <v>0</v>
      </c>
      <c r="T851" s="7">
        <f>R851-S851</f>
        <v>0</v>
      </c>
      <c r="U851" s="7">
        <f>T851*O851</f>
        <v>0</v>
      </c>
    </row>
    <row r="852" spans="1:21">
      <c r="A852" s="4" t="s">
        <v>1233</v>
      </c>
      <c r="B852" s="4" t="s">
        <v>39</v>
      </c>
      <c r="C852" s="5">
        <v>45930.76219907407</v>
      </c>
      <c r="D852" s="5">
        <v>45930</v>
      </c>
      <c r="E852" s="6">
        <f>IF(AND(C852&lt;&gt;"",D852&lt;&gt;""),D852-C852,"")</f>
        <v>0</v>
      </c>
      <c r="F852" s="4" t="s">
        <v>1234</v>
      </c>
      <c r="G852" s="4" t="s">
        <v>1235</v>
      </c>
      <c r="H852" s="4" t="s">
        <v>32</v>
      </c>
      <c r="I852" s="4" t="s">
        <v>33</v>
      </c>
      <c r="J852" s="4">
        <v>0</v>
      </c>
      <c r="K852" s="4">
        <v>0</v>
      </c>
      <c r="L852" s="4">
        <f>J852+K852</f>
        <v>0</v>
      </c>
      <c r="M852" s="4" t="s">
        <v>609</v>
      </c>
      <c r="N852" s="4"/>
      <c r="O852" s="4">
        <v>1</v>
      </c>
      <c r="P852" s="4" t="s">
        <v>135</v>
      </c>
      <c r="Q852" s="4" t="s">
        <v>44</v>
      </c>
      <c r="R852" s="7">
        <v>80000</v>
      </c>
      <c r="S852" s="7">
        <v>0</v>
      </c>
      <c r="T852" s="7">
        <f>R852-S852</f>
        <v>0</v>
      </c>
      <c r="U852" s="7">
        <f>T852*O852</f>
        <v>0</v>
      </c>
    </row>
    <row r="853" spans="1:21">
      <c r="A853" s="4" t="s">
        <v>1233</v>
      </c>
      <c r="B853" s="4" t="s">
        <v>39</v>
      </c>
      <c r="C853" s="5">
        <v>45930.76219907407</v>
      </c>
      <c r="D853" s="5">
        <v>45930</v>
      </c>
      <c r="E853" s="6">
        <f>IF(AND(C853&lt;&gt;"",D853&lt;&gt;""),D853-C853,"")</f>
        <v>0</v>
      </c>
      <c r="F853" s="4" t="s">
        <v>1234</v>
      </c>
      <c r="G853" s="4" t="s">
        <v>1235</v>
      </c>
      <c r="H853" s="4" t="s">
        <v>32</v>
      </c>
      <c r="I853" s="4" t="s">
        <v>33</v>
      </c>
      <c r="J853" s="4">
        <v>1</v>
      </c>
      <c r="K853" s="4">
        <v>0</v>
      </c>
      <c r="L853" s="4">
        <f>J853+K853</f>
        <v>0</v>
      </c>
      <c r="M853" s="4" t="s">
        <v>42</v>
      </c>
      <c r="N853" s="4"/>
      <c r="O853" s="4">
        <v>1</v>
      </c>
      <c r="P853" s="4" t="s">
        <v>135</v>
      </c>
      <c r="Q853" s="4" t="s">
        <v>44</v>
      </c>
      <c r="R853" s="7">
        <v>370000</v>
      </c>
      <c r="S853" s="7">
        <v>0</v>
      </c>
      <c r="T853" s="7">
        <f>R853-S853</f>
        <v>0</v>
      </c>
      <c r="U853" s="7">
        <f>T853*O853</f>
        <v>0</v>
      </c>
    </row>
    <row r="854" spans="1:21">
      <c r="A854" s="4" t="s">
        <v>1236</v>
      </c>
      <c r="B854" s="4" t="s">
        <v>29</v>
      </c>
      <c r="C854" s="5">
        <v>45930.77525462963</v>
      </c>
      <c r="D854" s="5">
        <v>45961</v>
      </c>
      <c r="E854" s="6">
        <f>IF(AND(C854&lt;&gt;"",D854&lt;&gt;""),D854-C854,"")</f>
        <v>0</v>
      </c>
      <c r="F854" s="4" t="s">
        <v>30</v>
      </c>
      <c r="G854" s="4" t="s">
        <v>31</v>
      </c>
      <c r="H854" s="4" t="s">
        <v>32</v>
      </c>
      <c r="I854" s="4" t="s">
        <v>33</v>
      </c>
      <c r="J854" s="4">
        <v>1</v>
      </c>
      <c r="K854" s="4">
        <v>0</v>
      </c>
      <c r="L854" s="4">
        <f>J854+K854</f>
        <v>0</v>
      </c>
      <c r="M854" s="4"/>
      <c r="N854" s="4"/>
      <c r="O854" s="4">
        <v>0</v>
      </c>
      <c r="P854" s="4"/>
      <c r="Q854" s="4"/>
      <c r="R854" s="7">
        <v>0</v>
      </c>
      <c r="S854" s="7">
        <v>0</v>
      </c>
      <c r="T854" s="7">
        <f>R854-S854</f>
        <v>0</v>
      </c>
      <c r="U854" s="7">
        <f>T854*O854</f>
        <v>0</v>
      </c>
    </row>
    <row r="855" spans="1:21">
      <c r="A855" s="4" t="s">
        <v>1237</v>
      </c>
      <c r="B855" s="4" t="s">
        <v>29</v>
      </c>
      <c r="C855" s="5">
        <v>45930.78915509259</v>
      </c>
      <c r="D855" s="5">
        <v>45961</v>
      </c>
      <c r="E855" s="6">
        <f>IF(AND(C855&lt;&gt;"",D855&lt;&gt;""),D855-C855,"")</f>
        <v>0</v>
      </c>
      <c r="F855" s="4" t="s">
        <v>30</v>
      </c>
      <c r="G855" s="4" t="s">
        <v>31</v>
      </c>
      <c r="H855" s="4" t="s">
        <v>32</v>
      </c>
      <c r="I855" s="4" t="s">
        <v>33</v>
      </c>
      <c r="J855" s="4">
        <v>1</v>
      </c>
      <c r="K855" s="4">
        <v>0</v>
      </c>
      <c r="L855" s="4">
        <f>J855+K855</f>
        <v>0</v>
      </c>
      <c r="M855" s="4"/>
      <c r="N855" s="4"/>
      <c r="O855" s="4">
        <v>0</v>
      </c>
      <c r="P855" s="4"/>
      <c r="Q855" s="4"/>
      <c r="R855" s="7">
        <v>0</v>
      </c>
      <c r="S855" s="7">
        <v>0</v>
      </c>
      <c r="T855" s="7">
        <f>R855-S855</f>
        <v>0</v>
      </c>
      <c r="U855" s="7">
        <f>T855*O855</f>
        <v>0</v>
      </c>
    </row>
    <row r="856" spans="1:21">
      <c r="A856" s="4" t="s">
        <v>1238</v>
      </c>
      <c r="B856" s="4" t="s">
        <v>39</v>
      </c>
      <c r="C856" s="5">
        <v>45930.79105324074</v>
      </c>
      <c r="D856" s="5">
        <v>45930</v>
      </c>
      <c r="E856" s="6">
        <f>IF(AND(C856&lt;&gt;"",D856&lt;&gt;""),D856-C856,"")</f>
        <v>0</v>
      </c>
      <c r="F856" s="4" t="s">
        <v>1239</v>
      </c>
      <c r="G856" s="4" t="s">
        <v>1240</v>
      </c>
      <c r="H856" s="4" t="s">
        <v>32</v>
      </c>
      <c r="I856" s="4" t="s">
        <v>33</v>
      </c>
      <c r="J856" s="4">
        <v>0</v>
      </c>
      <c r="K856" s="4">
        <v>0</v>
      </c>
      <c r="L856" s="4">
        <f>J856+K856</f>
        <v>0</v>
      </c>
      <c r="M856" s="4" t="s">
        <v>247</v>
      </c>
      <c r="N856" s="4"/>
      <c r="O856" s="4">
        <v>1</v>
      </c>
      <c r="P856" s="4" t="s">
        <v>135</v>
      </c>
      <c r="Q856" s="4" t="s">
        <v>44</v>
      </c>
      <c r="R856" s="7">
        <v>75000</v>
      </c>
      <c r="S856" s="7">
        <v>0</v>
      </c>
      <c r="T856" s="7">
        <f>R856-S856</f>
        <v>0</v>
      </c>
      <c r="U856" s="7">
        <f>T856*O856</f>
        <v>0</v>
      </c>
    </row>
    <row r="857" spans="1:21">
      <c r="A857" s="4" t="s">
        <v>1238</v>
      </c>
      <c r="B857" s="4" t="s">
        <v>39</v>
      </c>
      <c r="C857" s="5">
        <v>45930.79105324074</v>
      </c>
      <c r="D857" s="5">
        <v>45930</v>
      </c>
      <c r="E857" s="6">
        <f>IF(AND(C857&lt;&gt;"",D857&lt;&gt;""),D857-C857,"")</f>
        <v>0</v>
      </c>
      <c r="F857" s="4" t="s">
        <v>1239</v>
      </c>
      <c r="G857" s="4" t="s">
        <v>1240</v>
      </c>
      <c r="H857" s="4" t="s">
        <v>32</v>
      </c>
      <c r="I857" s="4" t="s">
        <v>33</v>
      </c>
      <c r="J857" s="4">
        <v>0</v>
      </c>
      <c r="K857" s="4">
        <v>0</v>
      </c>
      <c r="L857" s="4">
        <f>J857+K857</f>
        <v>0</v>
      </c>
      <c r="M857" s="4" t="s">
        <v>370</v>
      </c>
      <c r="N857" s="4"/>
      <c r="O857" s="4">
        <v>1</v>
      </c>
      <c r="P857" s="4" t="s">
        <v>135</v>
      </c>
      <c r="Q857" s="4" t="s">
        <v>44</v>
      </c>
      <c r="R857" s="7">
        <v>0</v>
      </c>
      <c r="S857" s="7">
        <v>0</v>
      </c>
      <c r="T857" s="7">
        <f>R857-S857</f>
        <v>0</v>
      </c>
      <c r="U857" s="7">
        <f>T857*O857</f>
        <v>0</v>
      </c>
    </row>
    <row r="858" spans="1:21">
      <c r="A858" s="4" t="s">
        <v>1238</v>
      </c>
      <c r="B858" s="4" t="s">
        <v>39</v>
      </c>
      <c r="C858" s="5">
        <v>45930.79105324074</v>
      </c>
      <c r="D858" s="5">
        <v>45930</v>
      </c>
      <c r="E858" s="6">
        <f>IF(AND(C858&lt;&gt;"",D858&lt;&gt;""),D858-C858,"")</f>
        <v>0</v>
      </c>
      <c r="F858" s="4" t="s">
        <v>1239</v>
      </c>
      <c r="G858" s="4" t="s">
        <v>1240</v>
      </c>
      <c r="H858" s="4" t="s">
        <v>32</v>
      </c>
      <c r="I858" s="4" t="s">
        <v>33</v>
      </c>
      <c r="J858" s="4">
        <v>1</v>
      </c>
      <c r="K858" s="4">
        <v>0</v>
      </c>
      <c r="L858" s="4">
        <f>J858+K858</f>
        <v>0</v>
      </c>
      <c r="M858" s="4" t="s">
        <v>42</v>
      </c>
      <c r="N858" s="4"/>
      <c r="O858" s="4">
        <v>1</v>
      </c>
      <c r="P858" s="4" t="s">
        <v>135</v>
      </c>
      <c r="Q858" s="4" t="s">
        <v>44</v>
      </c>
      <c r="R858" s="7">
        <v>370000</v>
      </c>
      <c r="S858" s="7">
        <v>0</v>
      </c>
      <c r="T858" s="7">
        <f>R858-S858</f>
        <v>0</v>
      </c>
      <c r="U858" s="7">
        <f>T858*O858</f>
        <v>0</v>
      </c>
    </row>
    <row r="859" spans="1:21">
      <c r="A859" s="4" t="s">
        <v>1241</v>
      </c>
      <c r="B859" s="4" t="s">
        <v>48</v>
      </c>
      <c r="C859" s="5">
        <v>45930.79717592592</v>
      </c>
      <c r="D859" s="5">
        <v>45961</v>
      </c>
      <c r="E859" s="6">
        <f>IF(AND(C859&lt;&gt;"",D859&lt;&gt;""),D859-C859,"")</f>
        <v>0</v>
      </c>
      <c r="F859" s="4" t="s">
        <v>64</v>
      </c>
      <c r="G859" s="4" t="s">
        <v>1242</v>
      </c>
      <c r="H859" s="4" t="s">
        <v>32</v>
      </c>
      <c r="I859" s="4" t="s">
        <v>33</v>
      </c>
      <c r="J859" s="4">
        <v>1</v>
      </c>
      <c r="K859" s="4">
        <v>0</v>
      </c>
      <c r="L859" s="4">
        <f>J859+K859</f>
        <v>0</v>
      </c>
      <c r="M859" s="4"/>
      <c r="N859" s="4"/>
      <c r="O859" s="4">
        <v>0</v>
      </c>
      <c r="P859" s="4"/>
      <c r="Q859" s="4"/>
      <c r="R859" s="7">
        <v>0</v>
      </c>
      <c r="S859" s="7">
        <v>0</v>
      </c>
      <c r="T859" s="7">
        <f>R859-S859</f>
        <v>0</v>
      </c>
      <c r="U859" s="7">
        <f>T859*O859</f>
        <v>0</v>
      </c>
    </row>
    <row r="860" spans="1:21">
      <c r="A860" s="4" t="s">
        <v>1243</v>
      </c>
      <c r="B860" s="4" t="s">
        <v>39</v>
      </c>
      <c r="C860" s="5">
        <v>45930.80386574074</v>
      </c>
      <c r="D860" s="5">
        <v>45930</v>
      </c>
      <c r="E860" s="6">
        <f>IF(AND(C860&lt;&gt;"",D860&lt;&gt;""),D860-C860,"")</f>
        <v>0</v>
      </c>
      <c r="F860" s="4" t="s">
        <v>1239</v>
      </c>
      <c r="G860" s="4" t="s">
        <v>1244</v>
      </c>
      <c r="H860" s="4" t="s">
        <v>32</v>
      </c>
      <c r="I860" s="4" t="s">
        <v>33</v>
      </c>
      <c r="J860" s="4">
        <v>0</v>
      </c>
      <c r="K860" s="4">
        <v>0</v>
      </c>
      <c r="L860" s="4">
        <f>J860+K860</f>
        <v>0</v>
      </c>
      <c r="M860" s="4" t="s">
        <v>370</v>
      </c>
      <c r="N860" s="4"/>
      <c r="O860" s="4">
        <v>1</v>
      </c>
      <c r="P860" s="4" t="s">
        <v>135</v>
      </c>
      <c r="Q860" s="4"/>
      <c r="R860" s="7">
        <v>500000</v>
      </c>
      <c r="S860" s="7">
        <v>0</v>
      </c>
      <c r="T860" s="7">
        <f>R860-S860</f>
        <v>0</v>
      </c>
      <c r="U860" s="7">
        <f>T860*O860</f>
        <v>0</v>
      </c>
    </row>
    <row r="861" spans="1:21">
      <c r="A861" s="4" t="s">
        <v>1245</v>
      </c>
      <c r="B861" s="4" t="s">
        <v>48</v>
      </c>
      <c r="C861" s="5">
        <v>45930.82747685185</v>
      </c>
      <c r="D861" s="5">
        <v>45961</v>
      </c>
      <c r="E861" s="6">
        <f>IF(AND(C861&lt;&gt;"",D861&lt;&gt;""),D861-C861,"")</f>
        <v>0</v>
      </c>
      <c r="F861" s="4" t="s">
        <v>64</v>
      </c>
      <c r="G861" s="4" t="s">
        <v>1246</v>
      </c>
      <c r="H861" s="4" t="s">
        <v>32</v>
      </c>
      <c r="I861" s="4" t="s">
        <v>33</v>
      </c>
      <c r="J861" s="4">
        <v>3</v>
      </c>
      <c r="K861" s="4">
        <v>0</v>
      </c>
      <c r="L861" s="4">
        <f>J861+K861</f>
        <v>0</v>
      </c>
      <c r="M861" s="4"/>
      <c r="N861" s="4"/>
      <c r="O861" s="4">
        <v>0</v>
      </c>
      <c r="P861" s="4"/>
      <c r="Q861" s="4"/>
      <c r="R861" s="7">
        <v>0</v>
      </c>
      <c r="S861" s="7">
        <v>0</v>
      </c>
      <c r="T861" s="7">
        <f>R861-S861</f>
        <v>0</v>
      </c>
      <c r="U861" s="7">
        <f>T861*O861</f>
        <v>0</v>
      </c>
    </row>
    <row r="862" spans="1:21">
      <c r="A862" s="4" t="s">
        <v>1247</v>
      </c>
      <c r="B862" s="4" t="s">
        <v>48</v>
      </c>
      <c r="C862" s="5">
        <v>45930.8284375</v>
      </c>
      <c r="D862" s="5">
        <v>45961</v>
      </c>
      <c r="E862" s="6">
        <f>IF(AND(C862&lt;&gt;"",D862&lt;&gt;""),D862-C862,"")</f>
        <v>0</v>
      </c>
      <c r="F862" s="4" t="s">
        <v>64</v>
      </c>
      <c r="G862" s="4" t="s">
        <v>1248</v>
      </c>
      <c r="H862" s="4" t="s">
        <v>32</v>
      </c>
      <c r="I862" s="4" t="s">
        <v>33</v>
      </c>
      <c r="J862" s="4">
        <v>3</v>
      </c>
      <c r="K862" s="4">
        <v>0</v>
      </c>
      <c r="L862" s="4">
        <f>J862+K862</f>
        <v>0</v>
      </c>
      <c r="M862" s="4"/>
      <c r="N862" s="4"/>
      <c r="O862" s="4">
        <v>0</v>
      </c>
      <c r="P862" s="4"/>
      <c r="Q862" s="4"/>
      <c r="R862" s="7">
        <v>0</v>
      </c>
      <c r="S862" s="7">
        <v>0</v>
      </c>
      <c r="T862" s="7">
        <f>R862-S862</f>
        <v>0</v>
      </c>
      <c r="U862" s="7">
        <f>T862*O862</f>
        <v>0</v>
      </c>
    </row>
    <row r="863" spans="1:21">
      <c r="A863" s="4" t="s">
        <v>1249</v>
      </c>
      <c r="B863" s="4" t="s">
        <v>39</v>
      </c>
      <c r="C863" s="5">
        <v>45930.83354166667</v>
      </c>
      <c r="D863" s="5">
        <v>45930</v>
      </c>
      <c r="E863" s="6">
        <f>IF(AND(C863&lt;&gt;"",D863&lt;&gt;""),D863-C863,"")</f>
        <v>0</v>
      </c>
      <c r="F863" s="4" t="s">
        <v>1096</v>
      </c>
      <c r="G863" s="4" t="s">
        <v>1250</v>
      </c>
      <c r="H863" s="4" t="s">
        <v>32</v>
      </c>
      <c r="I863" s="4" t="s">
        <v>33</v>
      </c>
      <c r="J863" s="4">
        <v>0</v>
      </c>
      <c r="K863" s="4">
        <v>0</v>
      </c>
      <c r="L863" s="4">
        <f>J863+K863</f>
        <v>0</v>
      </c>
      <c r="M863" s="4" t="s">
        <v>370</v>
      </c>
      <c r="N863" s="4"/>
      <c r="O863" s="4">
        <v>1</v>
      </c>
      <c r="P863" s="4" t="s">
        <v>135</v>
      </c>
      <c r="Q863" s="4"/>
      <c r="R863" s="7">
        <v>10000</v>
      </c>
      <c r="S863" s="7">
        <v>0</v>
      </c>
      <c r="T863" s="7">
        <f>R863-S863</f>
        <v>0</v>
      </c>
      <c r="U863" s="7">
        <f>T863*O863</f>
        <v>0</v>
      </c>
    </row>
    <row r="864" spans="1:21">
      <c r="A864" s="4" t="s">
        <v>1249</v>
      </c>
      <c r="B864" s="4" t="s">
        <v>39</v>
      </c>
      <c r="C864" s="5">
        <v>45930.83354166667</v>
      </c>
      <c r="D864" s="5">
        <v>45930</v>
      </c>
      <c r="E864" s="6">
        <f>IF(AND(C864&lt;&gt;"",D864&lt;&gt;""),D864-C864,"")</f>
        <v>0</v>
      </c>
      <c r="F864" s="4" t="s">
        <v>1096</v>
      </c>
      <c r="G864" s="4" t="s">
        <v>1250</v>
      </c>
      <c r="H864" s="4" t="s">
        <v>32</v>
      </c>
      <c r="I864" s="4" t="s">
        <v>33</v>
      </c>
      <c r="J864" s="4">
        <v>1</v>
      </c>
      <c r="K864" s="4">
        <v>0</v>
      </c>
      <c r="L864" s="4">
        <f>J864+K864</f>
        <v>0</v>
      </c>
      <c r="M864" s="4" t="s">
        <v>42</v>
      </c>
      <c r="N864" s="4"/>
      <c r="O864" s="4">
        <v>1</v>
      </c>
      <c r="P864" s="4" t="s">
        <v>135</v>
      </c>
      <c r="Q864" s="4"/>
      <c r="R864" s="7">
        <v>370000</v>
      </c>
      <c r="S864" s="7">
        <v>0</v>
      </c>
      <c r="T864" s="7">
        <f>R864-S864</f>
        <v>0</v>
      </c>
      <c r="U864" s="7">
        <f>T864*O864</f>
        <v>0</v>
      </c>
    </row>
    <row r="865" spans="1:21">
      <c r="A865" s="4" t="s">
        <v>1249</v>
      </c>
      <c r="B865" s="4" t="s">
        <v>39</v>
      </c>
      <c r="C865" s="5">
        <v>45930.83354166667</v>
      </c>
      <c r="D865" s="5">
        <v>45930</v>
      </c>
      <c r="E865" s="6">
        <f>IF(AND(C865&lt;&gt;"",D865&lt;&gt;""),D865-C865,"")</f>
        <v>0</v>
      </c>
      <c r="F865" s="4" t="s">
        <v>1096</v>
      </c>
      <c r="G865" s="4" t="s">
        <v>1250</v>
      </c>
      <c r="H865" s="4" t="s">
        <v>32</v>
      </c>
      <c r="I865" s="4" t="s">
        <v>33</v>
      </c>
      <c r="J865" s="4">
        <v>0</v>
      </c>
      <c r="K865" s="4">
        <v>0</v>
      </c>
      <c r="L865" s="4">
        <f>J865+K865</f>
        <v>0</v>
      </c>
      <c r="M865" s="4" t="s">
        <v>609</v>
      </c>
      <c r="N865" s="4"/>
      <c r="O865" s="4">
        <v>1</v>
      </c>
      <c r="P865" s="4" t="s">
        <v>135</v>
      </c>
      <c r="Q865" s="4"/>
      <c r="R865" s="7">
        <v>80000</v>
      </c>
      <c r="S865" s="7">
        <v>0</v>
      </c>
      <c r="T865" s="7">
        <f>R865-S865</f>
        <v>0</v>
      </c>
      <c r="U865" s="7">
        <f>T865*O865</f>
        <v>0</v>
      </c>
    </row>
    <row r="866" spans="1:21">
      <c r="A866" s="4" t="s">
        <v>1249</v>
      </c>
      <c r="B866" s="4" t="s">
        <v>39</v>
      </c>
      <c r="C866" s="5">
        <v>45930.83354166667</v>
      </c>
      <c r="D866" s="5">
        <v>45930</v>
      </c>
      <c r="E866" s="6">
        <f>IF(AND(C866&lt;&gt;"",D866&lt;&gt;""),D866-C866,"")</f>
        <v>0</v>
      </c>
      <c r="F866" s="4" t="s">
        <v>1096</v>
      </c>
      <c r="G866" s="4" t="s">
        <v>1250</v>
      </c>
      <c r="H866" s="4" t="s">
        <v>32</v>
      </c>
      <c r="I866" s="4" t="s">
        <v>33</v>
      </c>
      <c r="J866" s="4">
        <v>0</v>
      </c>
      <c r="K866" s="4">
        <v>0</v>
      </c>
      <c r="L866" s="4">
        <f>J866+K866</f>
        <v>0</v>
      </c>
      <c r="M866" s="4" t="s">
        <v>247</v>
      </c>
      <c r="N866" s="4"/>
      <c r="O866" s="4">
        <v>1</v>
      </c>
      <c r="P866" s="4" t="s">
        <v>135</v>
      </c>
      <c r="Q866" s="4"/>
      <c r="R866" s="7">
        <v>75000</v>
      </c>
      <c r="S866" s="7">
        <v>0</v>
      </c>
      <c r="T866" s="7">
        <f>R866-S866</f>
        <v>0</v>
      </c>
      <c r="U866" s="7">
        <f>T866*O866</f>
        <v>0</v>
      </c>
    </row>
    <row r="867" spans="1:21">
      <c r="A867" s="4" t="s">
        <v>1251</v>
      </c>
      <c r="B867" s="4" t="s">
        <v>29</v>
      </c>
      <c r="C867" s="5">
        <v>45930.84813657407</v>
      </c>
      <c r="D867" s="5">
        <v>45961</v>
      </c>
      <c r="E867" s="6">
        <f>IF(AND(C867&lt;&gt;"",D867&lt;&gt;""),D867-C867,"")</f>
        <v>0</v>
      </c>
      <c r="F867" s="4" t="s">
        <v>30</v>
      </c>
      <c r="G867" s="4" t="s">
        <v>31</v>
      </c>
      <c r="H867" s="4" t="s">
        <v>32</v>
      </c>
      <c r="I867" s="4" t="s">
        <v>33</v>
      </c>
      <c r="J867" s="4">
        <v>1</v>
      </c>
      <c r="K867" s="4">
        <v>0</v>
      </c>
      <c r="L867" s="4">
        <f>J867+K867</f>
        <v>0</v>
      </c>
      <c r="M867" s="4"/>
      <c r="N867" s="4"/>
      <c r="O867" s="4">
        <v>0</v>
      </c>
      <c r="P867" s="4"/>
      <c r="Q867" s="4"/>
      <c r="R867" s="7">
        <v>0</v>
      </c>
      <c r="S867" s="7">
        <v>0</v>
      </c>
      <c r="T867" s="7">
        <f>R867-S867</f>
        <v>0</v>
      </c>
      <c r="U867" s="7">
        <f>T867*O867</f>
        <v>0</v>
      </c>
    </row>
    <row r="868" spans="1:21">
      <c r="A868" s="4" t="s">
        <v>1252</v>
      </c>
      <c r="B868" s="4" t="s">
        <v>39</v>
      </c>
      <c r="C868" s="5">
        <v>45930.85282407407</v>
      </c>
      <c r="D868" s="5">
        <v>45930</v>
      </c>
      <c r="E868" s="6">
        <f>IF(AND(C868&lt;&gt;"",D868&lt;&gt;""),D868-C868,"")</f>
        <v>0</v>
      </c>
      <c r="F868" s="4" t="s">
        <v>1253</v>
      </c>
      <c r="G868" s="4" t="s">
        <v>1254</v>
      </c>
      <c r="H868" s="4" t="s">
        <v>32</v>
      </c>
      <c r="I868" s="4" t="s">
        <v>33</v>
      </c>
      <c r="J868" s="4">
        <v>0</v>
      </c>
      <c r="K868" s="4">
        <v>0</v>
      </c>
      <c r="L868" s="4">
        <f>J868+K868</f>
        <v>0</v>
      </c>
      <c r="M868" s="4" t="s">
        <v>370</v>
      </c>
      <c r="N868" s="4"/>
      <c r="O868" s="4">
        <v>1</v>
      </c>
      <c r="P868" s="4" t="s">
        <v>135</v>
      </c>
      <c r="Q868" s="4" t="s">
        <v>44</v>
      </c>
      <c r="R868" s="7">
        <v>5000000</v>
      </c>
      <c r="S868" s="7">
        <v>0</v>
      </c>
      <c r="T868" s="7">
        <f>R868-S868</f>
        <v>0</v>
      </c>
      <c r="U868" s="7">
        <f>T868*O868</f>
        <v>0</v>
      </c>
    </row>
    <row r="869" spans="1:21">
      <c r="A869" s="4" t="s">
        <v>1255</v>
      </c>
      <c r="B869" s="4" t="s">
        <v>29</v>
      </c>
      <c r="C869" s="5">
        <v>45930.8557175926</v>
      </c>
      <c r="D869" s="5">
        <v>45961</v>
      </c>
      <c r="E869" s="6">
        <f>IF(AND(C869&lt;&gt;"",D869&lt;&gt;""),D869-C869,"")</f>
        <v>0</v>
      </c>
      <c r="F869" s="4" t="s">
        <v>30</v>
      </c>
      <c r="G869" s="4" t="s">
        <v>31</v>
      </c>
      <c r="H869" s="4" t="s">
        <v>32</v>
      </c>
      <c r="I869" s="4" t="s">
        <v>33</v>
      </c>
      <c r="J869" s="4">
        <v>1</v>
      </c>
      <c r="K869" s="4">
        <v>0</v>
      </c>
      <c r="L869" s="4">
        <f>J869+K869</f>
        <v>0</v>
      </c>
      <c r="M869" s="4"/>
      <c r="N869" s="4"/>
      <c r="O869" s="4">
        <v>0</v>
      </c>
      <c r="P869" s="4"/>
      <c r="Q869" s="4"/>
      <c r="R869" s="7">
        <v>0</v>
      </c>
      <c r="S869" s="7">
        <v>0</v>
      </c>
      <c r="T869" s="7">
        <f>R869-S869</f>
        <v>0</v>
      </c>
      <c r="U869" s="7">
        <f>T869*O869</f>
        <v>0</v>
      </c>
    </row>
    <row r="870" spans="1:21">
      <c r="A870" s="4" t="s">
        <v>1256</v>
      </c>
      <c r="B870" s="4" t="s">
        <v>29</v>
      </c>
      <c r="C870" s="5">
        <v>45931.11056712963</v>
      </c>
      <c r="D870" s="5">
        <v>45961</v>
      </c>
      <c r="E870" s="6">
        <f>IF(AND(C870&lt;&gt;"",D870&lt;&gt;""),D870-C870,"")</f>
        <v>0</v>
      </c>
      <c r="F870" s="4" t="s">
        <v>1257</v>
      </c>
      <c r="G870" s="4" t="s">
        <v>1258</v>
      </c>
      <c r="H870" s="4"/>
      <c r="I870" s="4" t="s">
        <v>56</v>
      </c>
      <c r="J870" s="4">
        <v>2</v>
      </c>
      <c r="K870" s="4">
        <v>1</v>
      </c>
      <c r="L870" s="4">
        <f>J870+K870</f>
        <v>0</v>
      </c>
      <c r="M870" s="4"/>
      <c r="N870" s="4"/>
      <c r="O870" s="4">
        <v>0</v>
      </c>
      <c r="P870" s="4"/>
      <c r="Q870" s="4"/>
      <c r="R870" s="7">
        <v>0</v>
      </c>
      <c r="S870" s="7">
        <v>0</v>
      </c>
      <c r="T870" s="7">
        <f>R870-S870</f>
        <v>0</v>
      </c>
      <c r="U870" s="7">
        <f>T870*O870</f>
        <v>0</v>
      </c>
    </row>
    <row r="871" spans="1:21">
      <c r="A871" s="4" t="s">
        <v>1259</v>
      </c>
      <c r="B871" s="4" t="s">
        <v>39</v>
      </c>
      <c r="C871" s="5">
        <v>45931.1130324074</v>
      </c>
      <c r="D871" s="5">
        <v>45931</v>
      </c>
      <c r="E871" s="6">
        <f>IF(AND(C871&lt;&gt;"",D871&lt;&gt;""),D871-C871,"")</f>
        <v>0</v>
      </c>
      <c r="F871" s="4" t="s">
        <v>1260</v>
      </c>
      <c r="G871" s="4" t="s">
        <v>1261</v>
      </c>
      <c r="H871" s="4" t="s">
        <v>1262</v>
      </c>
      <c r="I871" s="4" t="s">
        <v>56</v>
      </c>
      <c r="J871" s="4">
        <v>1</v>
      </c>
      <c r="K871" s="4">
        <v>0</v>
      </c>
      <c r="L871" s="4">
        <f>J871+K871</f>
        <v>0</v>
      </c>
      <c r="M871" s="4" t="s">
        <v>976</v>
      </c>
      <c r="N871" s="4"/>
      <c r="O871" s="4">
        <v>1</v>
      </c>
      <c r="P871" s="4" t="s">
        <v>135</v>
      </c>
      <c r="Q871" s="4" t="s">
        <v>44</v>
      </c>
      <c r="R871" s="7">
        <v>1500000</v>
      </c>
      <c r="S871" s="7">
        <v>0</v>
      </c>
      <c r="T871" s="7">
        <f>R871-S871</f>
        <v>0</v>
      </c>
      <c r="U871" s="7">
        <f>T871*O871</f>
        <v>0</v>
      </c>
    </row>
    <row r="872" spans="1:21">
      <c r="A872" s="4" t="s">
        <v>1259</v>
      </c>
      <c r="B872" s="4" t="s">
        <v>39</v>
      </c>
      <c r="C872" s="5">
        <v>45931.1130324074</v>
      </c>
      <c r="D872" s="5">
        <v>45931</v>
      </c>
      <c r="E872" s="6">
        <f>IF(AND(C872&lt;&gt;"",D872&lt;&gt;""),D872-C872,"")</f>
        <v>0</v>
      </c>
      <c r="F872" s="4" t="s">
        <v>1260</v>
      </c>
      <c r="G872" s="4" t="s">
        <v>1261</v>
      </c>
      <c r="H872" s="4" t="s">
        <v>1262</v>
      </c>
      <c r="I872" s="4" t="s">
        <v>56</v>
      </c>
      <c r="J872" s="4">
        <v>0</v>
      </c>
      <c r="K872" s="4">
        <v>0</v>
      </c>
      <c r="L872" s="4">
        <f>J872+K872</f>
        <v>0</v>
      </c>
      <c r="M872" s="4" t="s">
        <v>370</v>
      </c>
      <c r="N872" s="4"/>
      <c r="O872" s="4">
        <v>1</v>
      </c>
      <c r="P872" s="4" t="s">
        <v>135</v>
      </c>
      <c r="Q872" s="4" t="s">
        <v>44</v>
      </c>
      <c r="R872" s="7">
        <v>10000</v>
      </c>
      <c r="S872" s="7">
        <v>0</v>
      </c>
      <c r="T872" s="7">
        <f>R872-S872</f>
        <v>0</v>
      </c>
      <c r="U872" s="7">
        <f>T872*O872</f>
        <v>0</v>
      </c>
    </row>
    <row r="873" spans="1:21">
      <c r="A873" s="4" t="s">
        <v>1263</v>
      </c>
      <c r="B873" s="4" t="s">
        <v>39</v>
      </c>
      <c r="C873" s="5">
        <v>45931.11960648148</v>
      </c>
      <c r="D873" s="5">
        <v>45931</v>
      </c>
      <c r="E873" s="6">
        <f>IF(AND(C873&lt;&gt;"",D873&lt;&gt;""),D873-C873,"")</f>
        <v>0</v>
      </c>
      <c r="F873" s="4" t="s">
        <v>1264</v>
      </c>
      <c r="G873" s="4" t="s">
        <v>1265</v>
      </c>
      <c r="H873" s="4" t="s">
        <v>32</v>
      </c>
      <c r="I873" s="4" t="s">
        <v>33</v>
      </c>
      <c r="J873" s="4">
        <v>1</v>
      </c>
      <c r="K873" s="4">
        <v>0</v>
      </c>
      <c r="L873" s="4">
        <f>J873+K873</f>
        <v>0</v>
      </c>
      <c r="M873" s="4" t="s">
        <v>825</v>
      </c>
      <c r="N873" s="4"/>
      <c r="O873" s="4">
        <v>1</v>
      </c>
      <c r="P873" s="4" t="s">
        <v>135</v>
      </c>
      <c r="Q873" s="4" t="s">
        <v>44</v>
      </c>
      <c r="R873" s="7">
        <v>2100000</v>
      </c>
      <c r="S873" s="7">
        <v>0</v>
      </c>
      <c r="T873" s="7">
        <f>R873-S873</f>
        <v>0</v>
      </c>
      <c r="U873" s="7">
        <f>T873*O873</f>
        <v>0</v>
      </c>
    </row>
    <row r="874" spans="1:21">
      <c r="A874" s="4" t="s">
        <v>1263</v>
      </c>
      <c r="B874" s="4" t="s">
        <v>39</v>
      </c>
      <c r="C874" s="5">
        <v>45931.11960648148</v>
      </c>
      <c r="D874" s="5">
        <v>45931</v>
      </c>
      <c r="E874" s="6">
        <f>IF(AND(C874&lt;&gt;"",D874&lt;&gt;""),D874-C874,"")</f>
        <v>0</v>
      </c>
      <c r="F874" s="4" t="s">
        <v>1264</v>
      </c>
      <c r="G874" s="4" t="s">
        <v>1265</v>
      </c>
      <c r="H874" s="4" t="s">
        <v>32</v>
      </c>
      <c r="I874" s="4" t="s">
        <v>33</v>
      </c>
      <c r="J874" s="4">
        <v>0</v>
      </c>
      <c r="K874" s="4">
        <v>0</v>
      </c>
      <c r="L874" s="4">
        <f>J874+K874</f>
        <v>0</v>
      </c>
      <c r="M874" s="4" t="s">
        <v>370</v>
      </c>
      <c r="N874" s="4"/>
      <c r="O874" s="4">
        <v>1</v>
      </c>
      <c r="P874" s="4" t="s">
        <v>135</v>
      </c>
      <c r="Q874" s="4" t="s">
        <v>44</v>
      </c>
      <c r="R874" s="7">
        <v>2000000</v>
      </c>
      <c r="S874" s="7">
        <v>0</v>
      </c>
      <c r="T874" s="7">
        <f>R874-S874</f>
        <v>0</v>
      </c>
      <c r="U874" s="7">
        <f>T874*O874</f>
        <v>0</v>
      </c>
    </row>
    <row r="875" spans="1:21">
      <c r="A875" s="4" t="s">
        <v>1266</v>
      </c>
      <c r="B875" s="4" t="s">
        <v>39</v>
      </c>
      <c r="C875" s="5">
        <v>45931.12670138889</v>
      </c>
      <c r="D875" s="5">
        <v>45931</v>
      </c>
      <c r="E875" s="6">
        <f>IF(AND(C875&lt;&gt;"",D875&lt;&gt;""),D875-C875,"")</f>
        <v>0</v>
      </c>
      <c r="F875" s="4" t="s">
        <v>1267</v>
      </c>
      <c r="G875" s="4" t="s">
        <v>1268</v>
      </c>
      <c r="H875" s="4" t="s">
        <v>32</v>
      </c>
      <c r="I875" s="4" t="s">
        <v>33</v>
      </c>
      <c r="J875" s="4">
        <v>1</v>
      </c>
      <c r="K875" s="4">
        <v>0</v>
      </c>
      <c r="L875" s="4">
        <f>J875+K875</f>
        <v>0</v>
      </c>
      <c r="M875" s="4" t="s">
        <v>825</v>
      </c>
      <c r="N875" s="4"/>
      <c r="O875" s="4">
        <v>1</v>
      </c>
      <c r="P875" s="4" t="s">
        <v>135</v>
      </c>
      <c r="Q875" s="4" t="s">
        <v>44</v>
      </c>
      <c r="R875" s="7">
        <v>2100000</v>
      </c>
      <c r="S875" s="7">
        <v>0</v>
      </c>
      <c r="T875" s="7">
        <f>R875-S875</f>
        <v>0</v>
      </c>
      <c r="U875" s="7">
        <f>T875*O875</f>
        <v>0</v>
      </c>
    </row>
    <row r="876" spans="1:21">
      <c r="A876" s="4" t="s">
        <v>1266</v>
      </c>
      <c r="B876" s="4" t="s">
        <v>39</v>
      </c>
      <c r="C876" s="5">
        <v>45931.12670138889</v>
      </c>
      <c r="D876" s="5">
        <v>45931</v>
      </c>
      <c r="E876" s="6">
        <f>IF(AND(C876&lt;&gt;"",D876&lt;&gt;""),D876-C876,"")</f>
        <v>0</v>
      </c>
      <c r="F876" s="4" t="s">
        <v>1267</v>
      </c>
      <c r="G876" s="4" t="s">
        <v>1268</v>
      </c>
      <c r="H876" s="4" t="s">
        <v>32</v>
      </c>
      <c r="I876" s="4" t="s">
        <v>33</v>
      </c>
      <c r="J876" s="4">
        <v>0</v>
      </c>
      <c r="K876" s="4">
        <v>0</v>
      </c>
      <c r="L876" s="4">
        <f>J876+K876</f>
        <v>0</v>
      </c>
      <c r="M876" s="4" t="s">
        <v>370</v>
      </c>
      <c r="N876" s="4"/>
      <c r="O876" s="4">
        <v>1</v>
      </c>
      <c r="P876" s="4" t="s">
        <v>135</v>
      </c>
      <c r="Q876" s="4" t="s">
        <v>44</v>
      </c>
      <c r="R876" s="7">
        <v>2000000</v>
      </c>
      <c r="S876" s="7">
        <v>0</v>
      </c>
      <c r="T876" s="7">
        <f>R876-S876</f>
        <v>0</v>
      </c>
      <c r="U876" s="7">
        <f>T876*O876</f>
        <v>0</v>
      </c>
    </row>
    <row r="877" spans="1:21">
      <c r="A877" s="4" t="s">
        <v>1269</v>
      </c>
      <c r="B877" s="4" t="s">
        <v>39</v>
      </c>
      <c r="C877" s="5">
        <v>45931.12965277778</v>
      </c>
      <c r="D877" s="5">
        <v>45931</v>
      </c>
      <c r="E877" s="6">
        <f>IF(AND(C877&lt;&gt;"",D877&lt;&gt;""),D877-C877,"")</f>
        <v>0</v>
      </c>
      <c r="F877" s="4" t="s">
        <v>1270</v>
      </c>
      <c r="G877" s="4" t="s">
        <v>1271</v>
      </c>
      <c r="H877" s="4" t="s">
        <v>190</v>
      </c>
      <c r="I877" s="4" t="s">
        <v>56</v>
      </c>
      <c r="J877" s="4">
        <v>0</v>
      </c>
      <c r="K877" s="4">
        <v>0</v>
      </c>
      <c r="L877" s="4">
        <f>J877+K877</f>
        <v>0</v>
      </c>
      <c r="M877" s="4" t="s">
        <v>370</v>
      </c>
      <c r="N877" s="4"/>
      <c r="O877" s="4">
        <v>1</v>
      </c>
      <c r="P877" s="4" t="s">
        <v>135</v>
      </c>
      <c r="Q877" s="4" t="s">
        <v>44</v>
      </c>
      <c r="R877" s="7">
        <v>2000000</v>
      </c>
      <c r="S877" s="7">
        <v>0</v>
      </c>
      <c r="T877" s="7">
        <f>R877-S877</f>
        <v>0</v>
      </c>
      <c r="U877" s="7">
        <f>T877*O877</f>
        <v>0</v>
      </c>
    </row>
    <row r="878" spans="1:21">
      <c r="A878" s="4" t="s">
        <v>1269</v>
      </c>
      <c r="B878" s="4" t="s">
        <v>39</v>
      </c>
      <c r="C878" s="5">
        <v>45931.12965277778</v>
      </c>
      <c r="D878" s="5">
        <v>45931</v>
      </c>
      <c r="E878" s="6">
        <f>IF(AND(C878&lt;&gt;"",D878&lt;&gt;""),D878-C878,"")</f>
        <v>0</v>
      </c>
      <c r="F878" s="4" t="s">
        <v>1270</v>
      </c>
      <c r="G878" s="4" t="s">
        <v>1271</v>
      </c>
      <c r="H878" s="4" t="s">
        <v>190</v>
      </c>
      <c r="I878" s="4" t="s">
        <v>56</v>
      </c>
      <c r="J878" s="4">
        <v>1</v>
      </c>
      <c r="K878" s="4">
        <v>0</v>
      </c>
      <c r="L878" s="4">
        <f>J878+K878</f>
        <v>0</v>
      </c>
      <c r="M878" s="4" t="s">
        <v>825</v>
      </c>
      <c r="N878" s="4"/>
      <c r="O878" s="4">
        <v>1</v>
      </c>
      <c r="P878" s="4" t="s">
        <v>135</v>
      </c>
      <c r="Q878" s="4" t="s">
        <v>44</v>
      </c>
      <c r="R878" s="7">
        <v>2100000</v>
      </c>
      <c r="S878" s="7">
        <v>0</v>
      </c>
      <c r="T878" s="7">
        <f>R878-S878</f>
        <v>0</v>
      </c>
      <c r="U878" s="7">
        <f>T878*O878</f>
        <v>0</v>
      </c>
    </row>
    <row r="879" spans="1:21">
      <c r="A879" s="4" t="s">
        <v>1272</v>
      </c>
      <c r="B879" s="4" t="s">
        <v>48</v>
      </c>
      <c r="C879" s="5">
        <v>45931.17060185185</v>
      </c>
      <c r="D879" s="5">
        <v>45961</v>
      </c>
      <c r="E879" s="6">
        <f>IF(AND(C879&lt;&gt;"",D879&lt;&gt;""),D879-C879,"")</f>
        <v>0</v>
      </c>
      <c r="F879" s="4" t="s">
        <v>201</v>
      </c>
      <c r="G879" s="4" t="s">
        <v>202</v>
      </c>
      <c r="H879" s="4" t="s">
        <v>32</v>
      </c>
      <c r="I879" s="4" t="s">
        <v>33</v>
      </c>
      <c r="J879" s="4">
        <v>2</v>
      </c>
      <c r="K879" s="4">
        <v>0</v>
      </c>
      <c r="L879" s="4">
        <f>J879+K879</f>
        <v>0</v>
      </c>
      <c r="M879" s="4"/>
      <c r="N879" s="4"/>
      <c r="O879" s="4">
        <v>0</v>
      </c>
      <c r="P879" s="4"/>
      <c r="Q879" s="4"/>
      <c r="R879" s="7">
        <v>0</v>
      </c>
      <c r="S879" s="7">
        <v>0</v>
      </c>
      <c r="T879" s="7">
        <f>R879-S879</f>
        <v>0</v>
      </c>
      <c r="U879" s="7">
        <f>T879*O879</f>
        <v>0</v>
      </c>
    </row>
    <row r="880" spans="1:21">
      <c r="A880" s="4" t="s">
        <v>1273</v>
      </c>
      <c r="B880" s="4" t="s">
        <v>29</v>
      </c>
      <c r="C880" s="5">
        <v>45931.1725</v>
      </c>
      <c r="D880" s="5">
        <v>45961</v>
      </c>
      <c r="E880" s="6">
        <f>IF(AND(C880&lt;&gt;"",D880&lt;&gt;""),D880-C880,"")</f>
        <v>0</v>
      </c>
      <c r="F880" s="4" t="s">
        <v>234</v>
      </c>
      <c r="G880" s="4" t="s">
        <v>235</v>
      </c>
      <c r="H880" s="4" t="s">
        <v>32</v>
      </c>
      <c r="I880" s="4" t="s">
        <v>33</v>
      </c>
      <c r="J880" s="4">
        <v>2</v>
      </c>
      <c r="K880" s="4">
        <v>0</v>
      </c>
      <c r="L880" s="4">
        <f>J880+K880</f>
        <v>0</v>
      </c>
      <c r="M880" s="4"/>
      <c r="N880" s="4"/>
      <c r="O880" s="4">
        <v>0</v>
      </c>
      <c r="P880" s="4"/>
      <c r="Q880" s="4"/>
      <c r="R880" s="7">
        <v>0</v>
      </c>
      <c r="S880" s="7">
        <v>0</v>
      </c>
      <c r="T880" s="7">
        <f>R880-S880</f>
        <v>0</v>
      </c>
      <c r="U880" s="7">
        <f>T880*O880</f>
        <v>0</v>
      </c>
    </row>
    <row r="881" spans="1:21">
      <c r="A881" s="4" t="s">
        <v>1274</v>
      </c>
      <c r="B881" s="4" t="s">
        <v>29</v>
      </c>
      <c r="C881" s="5">
        <v>45931.17282407408</v>
      </c>
      <c r="D881" s="5">
        <v>45961</v>
      </c>
      <c r="E881" s="6">
        <f>IF(AND(C881&lt;&gt;"",D881&lt;&gt;""),D881-C881,"")</f>
        <v>0</v>
      </c>
      <c r="F881" s="4" t="s">
        <v>1275</v>
      </c>
      <c r="G881" s="4" t="s">
        <v>1276</v>
      </c>
      <c r="H881" s="4"/>
      <c r="I881" s="4" t="s">
        <v>56</v>
      </c>
      <c r="J881" s="4">
        <v>1</v>
      </c>
      <c r="K881" s="4">
        <v>0</v>
      </c>
      <c r="L881" s="4">
        <f>J881+K881</f>
        <v>0</v>
      </c>
      <c r="M881" s="4"/>
      <c r="N881" s="4"/>
      <c r="O881" s="4">
        <v>0</v>
      </c>
      <c r="P881" s="4"/>
      <c r="Q881" s="4"/>
      <c r="R881" s="7">
        <v>0</v>
      </c>
      <c r="S881" s="7">
        <v>0</v>
      </c>
      <c r="T881" s="7">
        <f>R881-S881</f>
        <v>0</v>
      </c>
      <c r="U881" s="7">
        <f>T881*O881</f>
        <v>0</v>
      </c>
    </row>
    <row r="882" spans="1:21">
      <c r="A882" s="4" t="s">
        <v>1277</v>
      </c>
      <c r="B882" s="4" t="s">
        <v>39</v>
      </c>
      <c r="C882" s="5">
        <v>45931.23771990741</v>
      </c>
      <c r="D882" s="5">
        <v>45931</v>
      </c>
      <c r="E882" s="6">
        <f>IF(AND(C882&lt;&gt;"",D882&lt;&gt;""),D882-C882,"")</f>
        <v>0</v>
      </c>
      <c r="F882" s="4" t="s">
        <v>1278</v>
      </c>
      <c r="G882" s="4" t="s">
        <v>1279</v>
      </c>
      <c r="H882" s="4" t="s">
        <v>32</v>
      </c>
      <c r="I882" s="4" t="s">
        <v>33</v>
      </c>
      <c r="J882" s="4">
        <v>0</v>
      </c>
      <c r="K882" s="4">
        <v>0</v>
      </c>
      <c r="L882" s="4">
        <f>J882+K882</f>
        <v>0</v>
      </c>
      <c r="M882" s="4" t="s">
        <v>370</v>
      </c>
      <c r="N882" s="4"/>
      <c r="O882" s="4">
        <v>1</v>
      </c>
      <c r="P882" s="4" t="s">
        <v>135</v>
      </c>
      <c r="Q882" s="4" t="s">
        <v>44</v>
      </c>
      <c r="R882" s="7">
        <v>500000</v>
      </c>
      <c r="S882" s="7">
        <v>0</v>
      </c>
      <c r="T882" s="7">
        <f>R882-S882</f>
        <v>0</v>
      </c>
      <c r="U882" s="7">
        <f>T882*O882</f>
        <v>0</v>
      </c>
    </row>
    <row r="883" spans="1:21">
      <c r="A883" s="4" t="s">
        <v>1280</v>
      </c>
      <c r="B883" s="4"/>
      <c r="C883" s="5">
        <v>45931.26643518519</v>
      </c>
      <c r="D883" s="5">
        <v>45961</v>
      </c>
      <c r="E883" s="6">
        <f>IF(AND(C883&lt;&gt;"",D883&lt;&gt;""),D883-C883,"")</f>
        <v>0</v>
      </c>
      <c r="F883" s="4" t="s">
        <v>130</v>
      </c>
      <c r="G883" s="4" t="s">
        <v>62</v>
      </c>
      <c r="H883" s="4" t="s">
        <v>32</v>
      </c>
      <c r="I883" s="4" t="s">
        <v>33</v>
      </c>
      <c r="J883" s="4">
        <v>1</v>
      </c>
      <c r="K883" s="4">
        <v>0</v>
      </c>
      <c r="L883" s="4">
        <f>J883+K883</f>
        <v>0</v>
      </c>
      <c r="M883" s="4"/>
      <c r="N883" s="4"/>
      <c r="O883" s="4">
        <v>0</v>
      </c>
      <c r="P883" s="4"/>
      <c r="Q883" s="4"/>
      <c r="R883" s="7">
        <v>0</v>
      </c>
      <c r="S883" s="7">
        <v>0</v>
      </c>
      <c r="T883" s="7">
        <f>R883-S883</f>
        <v>0</v>
      </c>
      <c r="U883" s="7">
        <f>T883*O883</f>
        <v>0</v>
      </c>
    </row>
    <row r="884" spans="1:21">
      <c r="A884" s="4" t="s">
        <v>1281</v>
      </c>
      <c r="B884" s="4" t="s">
        <v>39</v>
      </c>
      <c r="C884" s="5">
        <v>45931.27988425926</v>
      </c>
      <c r="D884" s="5">
        <v>45931</v>
      </c>
      <c r="E884" s="6">
        <f>IF(AND(C884&lt;&gt;"",D884&lt;&gt;""),D884-C884,"")</f>
        <v>0</v>
      </c>
      <c r="F884" s="4" t="s">
        <v>1282</v>
      </c>
      <c r="G884" s="4" t="s">
        <v>1283</v>
      </c>
      <c r="H884" s="4" t="s">
        <v>32</v>
      </c>
      <c r="I884" s="4" t="s">
        <v>33</v>
      </c>
      <c r="J884" s="4">
        <v>0</v>
      </c>
      <c r="K884" s="4">
        <v>0</v>
      </c>
      <c r="L884" s="4">
        <f>J884+K884</f>
        <v>0</v>
      </c>
      <c r="M884" s="4" t="s">
        <v>370</v>
      </c>
      <c r="N884" s="4"/>
      <c r="O884" s="4">
        <v>1</v>
      </c>
      <c r="P884" s="4" t="s">
        <v>135</v>
      </c>
      <c r="Q884" s="4" t="s">
        <v>44</v>
      </c>
      <c r="R884" s="7">
        <v>5000000</v>
      </c>
      <c r="S884" s="7">
        <v>0</v>
      </c>
      <c r="T884" s="7">
        <f>R884-S884</f>
        <v>0</v>
      </c>
      <c r="U884" s="7">
        <f>T884*O884</f>
        <v>0</v>
      </c>
    </row>
    <row r="885" spans="1:21">
      <c r="A885" s="4" t="s">
        <v>1284</v>
      </c>
      <c r="B885" s="4" t="s">
        <v>39</v>
      </c>
      <c r="C885" s="5">
        <v>45931.28979166667</v>
      </c>
      <c r="D885" s="5">
        <v>45931</v>
      </c>
      <c r="E885" s="6">
        <f>IF(AND(C885&lt;&gt;"",D885&lt;&gt;""),D885-C885,"")</f>
        <v>0</v>
      </c>
      <c r="F885" s="4" t="s">
        <v>1264</v>
      </c>
      <c r="G885" s="4" t="s">
        <v>1265</v>
      </c>
      <c r="H885" s="4" t="s">
        <v>32</v>
      </c>
      <c r="I885" s="4" t="s">
        <v>33</v>
      </c>
      <c r="J885" s="4">
        <v>0</v>
      </c>
      <c r="K885" s="4">
        <v>0</v>
      </c>
      <c r="L885" s="4">
        <f>J885+K885</f>
        <v>0</v>
      </c>
      <c r="M885" s="4" t="s">
        <v>1285</v>
      </c>
      <c r="N885" s="4"/>
      <c r="O885" s="4">
        <v>1</v>
      </c>
      <c r="P885" s="4" t="s">
        <v>135</v>
      </c>
      <c r="Q885" s="4" t="s">
        <v>44</v>
      </c>
      <c r="R885" s="7">
        <v>-4000000</v>
      </c>
      <c r="S885" s="7">
        <v>0</v>
      </c>
      <c r="T885" s="7">
        <f>R885-S885</f>
        <v>0</v>
      </c>
      <c r="U885" s="7">
        <f>T885*O885</f>
        <v>0</v>
      </c>
    </row>
    <row r="886" spans="1:21">
      <c r="A886" s="4" t="s">
        <v>1286</v>
      </c>
      <c r="B886" s="4" t="s">
        <v>39</v>
      </c>
      <c r="C886" s="5">
        <v>45931.29938657407</v>
      </c>
      <c r="D886" s="5">
        <v>45931</v>
      </c>
      <c r="E886" s="6">
        <f>IF(AND(C886&lt;&gt;"",D886&lt;&gt;""),D886-C886,"")</f>
        <v>0</v>
      </c>
      <c r="F886" s="4" t="s">
        <v>1287</v>
      </c>
      <c r="G886" s="4" t="s">
        <v>1288</v>
      </c>
      <c r="H886" s="4" t="s">
        <v>32</v>
      </c>
      <c r="I886" s="4" t="s">
        <v>33</v>
      </c>
      <c r="J886" s="4">
        <v>0</v>
      </c>
      <c r="K886" s="4">
        <v>0</v>
      </c>
      <c r="L886" s="4">
        <f>J886+K886</f>
        <v>0</v>
      </c>
      <c r="M886" s="4" t="s">
        <v>370</v>
      </c>
      <c r="N886" s="4"/>
      <c r="O886" s="4">
        <v>1</v>
      </c>
      <c r="P886" s="4" t="s">
        <v>135</v>
      </c>
      <c r="Q886" s="4" t="s">
        <v>44</v>
      </c>
      <c r="R886" s="7">
        <v>450000</v>
      </c>
      <c r="S886" s="7">
        <v>0</v>
      </c>
      <c r="T886" s="7">
        <f>R886-S886</f>
        <v>0</v>
      </c>
      <c r="U886" s="7">
        <f>T886*O886</f>
        <v>0</v>
      </c>
    </row>
    <row r="887" spans="1:21">
      <c r="A887" s="4" t="s">
        <v>1289</v>
      </c>
      <c r="B887" s="4" t="s">
        <v>39</v>
      </c>
      <c r="C887" s="5">
        <v>45931.30239583334</v>
      </c>
      <c r="D887" s="5">
        <v>45931</v>
      </c>
      <c r="E887" s="6">
        <f>IF(AND(C887&lt;&gt;"",D887&lt;&gt;""),D887-C887,"")</f>
        <v>0</v>
      </c>
      <c r="F887" s="4" t="s">
        <v>1290</v>
      </c>
      <c r="G887" s="4" t="s">
        <v>1291</v>
      </c>
      <c r="H887" s="4" t="s">
        <v>190</v>
      </c>
      <c r="I887" s="4" t="s">
        <v>56</v>
      </c>
      <c r="J887" s="4">
        <v>0</v>
      </c>
      <c r="K887" s="4">
        <v>0</v>
      </c>
      <c r="L887" s="4">
        <f>J887+K887</f>
        <v>0</v>
      </c>
      <c r="M887" s="4" t="s">
        <v>370</v>
      </c>
      <c r="N887" s="4"/>
      <c r="O887" s="4">
        <v>1</v>
      </c>
      <c r="P887" s="4" t="s">
        <v>43</v>
      </c>
      <c r="Q887" s="4" t="s">
        <v>44</v>
      </c>
      <c r="R887" s="7">
        <v>500000</v>
      </c>
      <c r="S887" s="7">
        <v>0</v>
      </c>
      <c r="T887" s="7">
        <f>R887-S887</f>
        <v>0</v>
      </c>
      <c r="U887" s="7">
        <f>T887*O887</f>
        <v>0</v>
      </c>
    </row>
    <row r="888" spans="1:21">
      <c r="A888" s="4" t="s">
        <v>1292</v>
      </c>
      <c r="B888" s="4" t="s">
        <v>29</v>
      </c>
      <c r="C888" s="5">
        <v>45931.31046296296</v>
      </c>
      <c r="D888" s="5">
        <v>45961</v>
      </c>
      <c r="E888" s="6">
        <f>IF(AND(C888&lt;&gt;"",D888&lt;&gt;""),D888-C888,"")</f>
        <v>0</v>
      </c>
      <c r="F888" s="4" t="s">
        <v>30</v>
      </c>
      <c r="G888" s="4" t="s">
        <v>31</v>
      </c>
      <c r="H888" s="4" t="s">
        <v>32</v>
      </c>
      <c r="I888" s="4" t="s">
        <v>33</v>
      </c>
      <c r="J888" s="4">
        <v>1</v>
      </c>
      <c r="K888" s="4">
        <v>0</v>
      </c>
      <c r="L888" s="4">
        <f>J888+K888</f>
        <v>0</v>
      </c>
      <c r="M888" s="4"/>
      <c r="N888" s="4"/>
      <c r="O888" s="4">
        <v>0</v>
      </c>
      <c r="P888" s="4"/>
      <c r="Q888" s="4"/>
      <c r="R888" s="7">
        <v>0</v>
      </c>
      <c r="S888" s="7">
        <v>0</v>
      </c>
      <c r="T888" s="7">
        <f>R888-S888</f>
        <v>0</v>
      </c>
      <c r="U888" s="7">
        <f>T888*O888</f>
        <v>0</v>
      </c>
    </row>
    <row r="889" spans="1:21">
      <c r="A889" s="4" t="s">
        <v>1293</v>
      </c>
      <c r="B889" s="4" t="s">
        <v>39</v>
      </c>
      <c r="C889" s="5">
        <v>45931.31217592592</v>
      </c>
      <c r="D889" s="5">
        <v>45931</v>
      </c>
      <c r="E889" s="6">
        <f>IF(AND(C889&lt;&gt;"",D889&lt;&gt;""),D889-C889,"")</f>
        <v>0</v>
      </c>
      <c r="F889" s="4" t="s">
        <v>1294</v>
      </c>
      <c r="G889" s="4" t="s">
        <v>1295</v>
      </c>
      <c r="H889" s="4" t="s">
        <v>32</v>
      </c>
      <c r="I889" s="4" t="s">
        <v>33</v>
      </c>
      <c r="J889" s="4">
        <v>0</v>
      </c>
      <c r="K889" s="4">
        <v>1</v>
      </c>
      <c r="L889" s="4">
        <f>J889+K889</f>
        <v>0</v>
      </c>
      <c r="M889" s="4" t="s">
        <v>46</v>
      </c>
      <c r="N889" s="4"/>
      <c r="O889" s="4">
        <v>1</v>
      </c>
      <c r="P889" s="4" t="s">
        <v>135</v>
      </c>
      <c r="Q889" s="4" t="s">
        <v>44</v>
      </c>
      <c r="R889" s="7">
        <v>325000</v>
      </c>
      <c r="S889" s="7">
        <v>0</v>
      </c>
      <c r="T889" s="7">
        <f>R889-S889</f>
        <v>0</v>
      </c>
      <c r="U889" s="7">
        <f>T889*O889</f>
        <v>0</v>
      </c>
    </row>
    <row r="890" spans="1:21">
      <c r="A890" s="4" t="s">
        <v>1293</v>
      </c>
      <c r="B890" s="4" t="s">
        <v>39</v>
      </c>
      <c r="C890" s="5">
        <v>45931.31217592592</v>
      </c>
      <c r="D890" s="5">
        <v>45931</v>
      </c>
      <c r="E890" s="6">
        <f>IF(AND(C890&lt;&gt;"",D890&lt;&gt;""),D890-C890,"")</f>
        <v>0</v>
      </c>
      <c r="F890" s="4" t="s">
        <v>1294</v>
      </c>
      <c r="G890" s="4" t="s">
        <v>1295</v>
      </c>
      <c r="H890" s="4" t="s">
        <v>32</v>
      </c>
      <c r="I890" s="4" t="s">
        <v>33</v>
      </c>
      <c r="J890" s="4">
        <v>0</v>
      </c>
      <c r="K890" s="4">
        <v>0</v>
      </c>
      <c r="L890" s="4">
        <f>J890+K890</f>
        <v>0</v>
      </c>
      <c r="M890" s="4" t="s">
        <v>370</v>
      </c>
      <c r="N890" s="4"/>
      <c r="O890" s="4">
        <v>1</v>
      </c>
      <c r="P890" s="4" t="s">
        <v>135</v>
      </c>
      <c r="Q890" s="4" t="s">
        <v>44</v>
      </c>
      <c r="R890" s="7">
        <v>500000</v>
      </c>
      <c r="S890" s="7">
        <v>0</v>
      </c>
      <c r="T890" s="7">
        <f>R890-S890</f>
        <v>0</v>
      </c>
      <c r="U890" s="7">
        <f>T890*O890</f>
        <v>0</v>
      </c>
    </row>
    <row r="891" spans="1:21">
      <c r="A891" s="4" t="s">
        <v>1293</v>
      </c>
      <c r="B891" s="4" t="s">
        <v>39</v>
      </c>
      <c r="C891" s="5">
        <v>45931.31217592592</v>
      </c>
      <c r="D891" s="5">
        <v>45931</v>
      </c>
      <c r="E891" s="6">
        <f>IF(AND(C891&lt;&gt;"",D891&lt;&gt;""),D891-C891,"")</f>
        <v>0</v>
      </c>
      <c r="F891" s="4" t="s">
        <v>1294</v>
      </c>
      <c r="G891" s="4" t="s">
        <v>1295</v>
      </c>
      <c r="H891" s="4" t="s">
        <v>32</v>
      </c>
      <c r="I891" s="4" t="s">
        <v>33</v>
      </c>
      <c r="J891" s="4">
        <v>2</v>
      </c>
      <c r="K891" s="4">
        <v>0</v>
      </c>
      <c r="L891" s="4">
        <f>J891+K891</f>
        <v>0</v>
      </c>
      <c r="M891" s="4" t="s">
        <v>42</v>
      </c>
      <c r="N891" s="4"/>
      <c r="O891" s="4">
        <v>2</v>
      </c>
      <c r="P891" s="4" t="s">
        <v>135</v>
      </c>
      <c r="Q891" s="4" t="s">
        <v>44</v>
      </c>
      <c r="R891" s="7">
        <v>370000</v>
      </c>
      <c r="S891" s="7">
        <v>0</v>
      </c>
      <c r="T891" s="7">
        <f>R891-S891</f>
        <v>0</v>
      </c>
      <c r="U891" s="7">
        <f>T891*O891</f>
        <v>0</v>
      </c>
    </row>
    <row r="892" spans="1:21">
      <c r="A892" s="4" t="s">
        <v>1296</v>
      </c>
      <c r="B892" s="4" t="s">
        <v>48</v>
      </c>
      <c r="C892" s="5">
        <v>45931.31741898148</v>
      </c>
      <c r="D892" s="5">
        <v>45961</v>
      </c>
      <c r="E892" s="6">
        <f>IF(AND(C892&lt;&gt;"",D892&lt;&gt;""),D892-C892,"")</f>
        <v>0</v>
      </c>
      <c r="F892" s="4" t="s">
        <v>286</v>
      </c>
      <c r="G892" s="4" t="s">
        <v>287</v>
      </c>
      <c r="H892" s="4" t="s">
        <v>32</v>
      </c>
      <c r="I892" s="4" t="s">
        <v>33</v>
      </c>
      <c r="J892" s="4">
        <v>3</v>
      </c>
      <c r="K892" s="4">
        <v>0</v>
      </c>
      <c r="L892" s="4">
        <f>J892+K892</f>
        <v>0</v>
      </c>
      <c r="M892" s="4"/>
      <c r="N892" s="4"/>
      <c r="O892" s="4">
        <v>0</v>
      </c>
      <c r="P892" s="4"/>
      <c r="Q892" s="4"/>
      <c r="R892" s="7">
        <v>0</v>
      </c>
      <c r="S892" s="7">
        <v>0</v>
      </c>
      <c r="T892" s="7">
        <f>R892-S892</f>
        <v>0</v>
      </c>
      <c r="U892" s="7">
        <f>T892*O892</f>
        <v>0</v>
      </c>
    </row>
    <row r="893" spans="1:21">
      <c r="A893" s="4" t="s">
        <v>1297</v>
      </c>
      <c r="B893" s="4" t="s">
        <v>39</v>
      </c>
      <c r="C893" s="5">
        <v>45931.32444444444</v>
      </c>
      <c r="D893" s="5">
        <v>45931</v>
      </c>
      <c r="E893" s="6">
        <f>IF(AND(C893&lt;&gt;"",D893&lt;&gt;""),D893-C893,"")</f>
        <v>0</v>
      </c>
      <c r="F893" s="4" t="s">
        <v>1298</v>
      </c>
      <c r="G893" s="4" t="s">
        <v>1299</v>
      </c>
      <c r="H893" s="4" t="s">
        <v>32</v>
      </c>
      <c r="I893" s="4" t="s">
        <v>33</v>
      </c>
      <c r="J893" s="4">
        <v>1</v>
      </c>
      <c r="K893" s="4">
        <v>0</v>
      </c>
      <c r="L893" s="4">
        <f>J893+K893</f>
        <v>0</v>
      </c>
      <c r="M893" s="4" t="s">
        <v>42</v>
      </c>
      <c r="N893" s="4"/>
      <c r="O893" s="4">
        <v>1</v>
      </c>
      <c r="P893" s="4" t="s">
        <v>135</v>
      </c>
      <c r="Q893" s="4" t="s">
        <v>44</v>
      </c>
      <c r="R893" s="7">
        <v>370000</v>
      </c>
      <c r="S893" s="7">
        <v>0</v>
      </c>
      <c r="T893" s="7">
        <f>R893-S893</f>
        <v>0</v>
      </c>
      <c r="U893" s="7">
        <f>T893*O893</f>
        <v>0</v>
      </c>
    </row>
    <row r="894" spans="1:21">
      <c r="A894" s="4" t="s">
        <v>1297</v>
      </c>
      <c r="B894" s="4" t="s">
        <v>39</v>
      </c>
      <c r="C894" s="5">
        <v>45931.32444444444</v>
      </c>
      <c r="D894" s="5">
        <v>45931</v>
      </c>
      <c r="E894" s="6">
        <f>IF(AND(C894&lt;&gt;"",D894&lt;&gt;""),D894-C894,"")</f>
        <v>0</v>
      </c>
      <c r="F894" s="4" t="s">
        <v>1298</v>
      </c>
      <c r="G894" s="4" t="s">
        <v>1299</v>
      </c>
      <c r="H894" s="4" t="s">
        <v>32</v>
      </c>
      <c r="I894" s="4" t="s">
        <v>33</v>
      </c>
      <c r="J894" s="4">
        <v>0</v>
      </c>
      <c r="K894" s="4">
        <v>0</v>
      </c>
      <c r="L894" s="4">
        <f>J894+K894</f>
        <v>0</v>
      </c>
      <c r="M894" s="4" t="s">
        <v>370</v>
      </c>
      <c r="N894" s="4"/>
      <c r="O894" s="4">
        <v>1</v>
      </c>
      <c r="P894" s="4" t="s">
        <v>135</v>
      </c>
      <c r="Q894" s="4" t="s">
        <v>44</v>
      </c>
      <c r="R894" s="7">
        <v>500000</v>
      </c>
      <c r="S894" s="7">
        <v>0</v>
      </c>
      <c r="T894" s="7">
        <f>R894-S894</f>
        <v>0</v>
      </c>
      <c r="U894" s="7">
        <f>T894*O894</f>
        <v>0</v>
      </c>
    </row>
    <row r="895" spans="1:21">
      <c r="A895" s="4" t="s">
        <v>1300</v>
      </c>
      <c r="B895" s="4" t="s">
        <v>29</v>
      </c>
      <c r="C895" s="5">
        <v>45931.32502314815</v>
      </c>
      <c r="D895" s="5">
        <v>45961</v>
      </c>
      <c r="E895" s="6">
        <f>IF(AND(C895&lt;&gt;"",D895&lt;&gt;""),D895-C895,"")</f>
        <v>0</v>
      </c>
      <c r="F895" s="4" t="s">
        <v>234</v>
      </c>
      <c r="G895" s="4" t="s">
        <v>235</v>
      </c>
      <c r="H895" s="4" t="s">
        <v>32</v>
      </c>
      <c r="I895" s="4" t="s">
        <v>33</v>
      </c>
      <c r="J895" s="4">
        <v>2</v>
      </c>
      <c r="K895" s="4">
        <v>0</v>
      </c>
      <c r="L895" s="4">
        <f>J895+K895</f>
        <v>0</v>
      </c>
      <c r="M895" s="4"/>
      <c r="N895" s="4"/>
      <c r="O895" s="4">
        <v>0</v>
      </c>
      <c r="P895" s="4"/>
      <c r="Q895" s="4"/>
      <c r="R895" s="7">
        <v>0</v>
      </c>
      <c r="S895" s="7">
        <v>0</v>
      </c>
      <c r="T895" s="7">
        <f>R895-S895</f>
        <v>0</v>
      </c>
      <c r="U895" s="7">
        <f>T895*O895</f>
        <v>0</v>
      </c>
    </row>
    <row r="896" spans="1:21">
      <c r="A896" s="4" t="s">
        <v>1301</v>
      </c>
      <c r="B896" s="4" t="s">
        <v>48</v>
      </c>
      <c r="C896" s="5">
        <v>45931.33067129629</v>
      </c>
      <c r="D896" s="5">
        <v>45961</v>
      </c>
      <c r="E896" s="6">
        <f>IF(AND(C896&lt;&gt;"",D896&lt;&gt;""),D896-C896,"")</f>
        <v>0</v>
      </c>
      <c r="F896" s="4" t="s">
        <v>201</v>
      </c>
      <c r="G896" s="4" t="s">
        <v>202</v>
      </c>
      <c r="H896" s="4" t="s">
        <v>32</v>
      </c>
      <c r="I896" s="4" t="s">
        <v>33</v>
      </c>
      <c r="J896" s="4">
        <v>2</v>
      </c>
      <c r="K896" s="4">
        <v>2</v>
      </c>
      <c r="L896" s="4">
        <f>J896+K896</f>
        <v>0</v>
      </c>
      <c r="M896" s="4"/>
      <c r="N896" s="4"/>
      <c r="O896" s="4">
        <v>0</v>
      </c>
      <c r="P896" s="4"/>
      <c r="Q896" s="4"/>
      <c r="R896" s="7">
        <v>0</v>
      </c>
      <c r="S896" s="7">
        <v>0</v>
      </c>
      <c r="T896" s="7">
        <f>R896-S896</f>
        <v>0</v>
      </c>
      <c r="U896" s="7">
        <f>T896*O896</f>
        <v>0</v>
      </c>
    </row>
    <row r="897" spans="1:21">
      <c r="A897" s="4" t="s">
        <v>1302</v>
      </c>
      <c r="B897" s="4" t="s">
        <v>39</v>
      </c>
      <c r="C897" s="5">
        <v>45931.35350694445</v>
      </c>
      <c r="D897" s="5">
        <v>45931</v>
      </c>
      <c r="E897" s="6">
        <f>IF(AND(C897&lt;&gt;"",D897&lt;&gt;""),D897-C897,"")</f>
        <v>0</v>
      </c>
      <c r="F897" s="4" t="s">
        <v>1298</v>
      </c>
      <c r="G897" s="4" t="s">
        <v>1299</v>
      </c>
      <c r="H897" s="4" t="s">
        <v>32</v>
      </c>
      <c r="I897" s="4" t="s">
        <v>33</v>
      </c>
      <c r="J897" s="4">
        <v>1</v>
      </c>
      <c r="K897" s="4">
        <v>0</v>
      </c>
      <c r="L897" s="4">
        <f>J897+K897</f>
        <v>0</v>
      </c>
      <c r="M897" s="4" t="s">
        <v>80</v>
      </c>
      <c r="N897" s="4"/>
      <c r="O897" s="4">
        <v>1</v>
      </c>
      <c r="P897" s="4" t="s">
        <v>135</v>
      </c>
      <c r="Q897" s="4" t="s">
        <v>44</v>
      </c>
      <c r="R897" s="7">
        <v>610000</v>
      </c>
      <c r="S897" s="7">
        <v>0</v>
      </c>
      <c r="T897" s="7">
        <f>R897-S897</f>
        <v>0</v>
      </c>
      <c r="U897" s="7">
        <f>T897*O897</f>
        <v>0</v>
      </c>
    </row>
    <row r="898" spans="1:21">
      <c r="A898" s="4" t="s">
        <v>1302</v>
      </c>
      <c r="B898" s="4" t="s">
        <v>39</v>
      </c>
      <c r="C898" s="5">
        <v>45931.35350694445</v>
      </c>
      <c r="D898" s="5">
        <v>45931</v>
      </c>
      <c r="E898" s="6">
        <f>IF(AND(C898&lt;&gt;"",D898&lt;&gt;""),D898-C898,"")</f>
        <v>0</v>
      </c>
      <c r="F898" s="4" t="s">
        <v>1298</v>
      </c>
      <c r="G898" s="4" t="s">
        <v>1299</v>
      </c>
      <c r="H898" s="4" t="s">
        <v>32</v>
      </c>
      <c r="I898" s="4" t="s">
        <v>33</v>
      </c>
      <c r="J898" s="4">
        <v>-1</v>
      </c>
      <c r="K898" s="4">
        <v>0</v>
      </c>
      <c r="L898" s="4">
        <f>J898+K898</f>
        <v>0</v>
      </c>
      <c r="M898" s="4" t="s">
        <v>42</v>
      </c>
      <c r="N898" s="4"/>
      <c r="O898" s="4">
        <v>-1</v>
      </c>
      <c r="P898" s="4" t="s">
        <v>135</v>
      </c>
      <c r="Q898" s="4" t="s">
        <v>44</v>
      </c>
      <c r="R898" s="7">
        <v>370000</v>
      </c>
      <c r="S898" s="7">
        <v>0</v>
      </c>
      <c r="T898" s="7">
        <f>R898-S898</f>
        <v>0</v>
      </c>
      <c r="U898" s="7">
        <f>T898*O898</f>
        <v>0</v>
      </c>
    </row>
    <row r="899" spans="1:21">
      <c r="A899" s="4" t="s">
        <v>1303</v>
      </c>
      <c r="B899" s="4" t="s">
        <v>39</v>
      </c>
      <c r="C899" s="5">
        <v>45931.35483796296</v>
      </c>
      <c r="D899" s="5">
        <v>45931</v>
      </c>
      <c r="E899" s="6">
        <f>IF(AND(C899&lt;&gt;"",D899&lt;&gt;""),D899-C899,"")</f>
        <v>0</v>
      </c>
      <c r="F899" s="4" t="s">
        <v>1304</v>
      </c>
      <c r="G899" s="4" t="s">
        <v>1305</v>
      </c>
      <c r="H899" s="4" t="s">
        <v>32</v>
      </c>
      <c r="I899" s="4" t="s">
        <v>33</v>
      </c>
      <c r="J899" s="4">
        <v>1</v>
      </c>
      <c r="K899" s="4">
        <v>0</v>
      </c>
      <c r="L899" s="4">
        <f>J899+K899</f>
        <v>0</v>
      </c>
      <c r="M899" s="4" t="s">
        <v>80</v>
      </c>
      <c r="N899" s="4"/>
      <c r="O899" s="4">
        <v>1</v>
      </c>
      <c r="P899" s="4" t="s">
        <v>135</v>
      </c>
      <c r="Q899" s="4" t="s">
        <v>44</v>
      </c>
      <c r="R899" s="7">
        <v>610000</v>
      </c>
      <c r="S899" s="7">
        <v>0</v>
      </c>
      <c r="T899" s="7">
        <f>R899-S899</f>
        <v>0</v>
      </c>
      <c r="U899" s="7">
        <f>T899*O899</f>
        <v>0</v>
      </c>
    </row>
    <row r="900" spans="1:21">
      <c r="A900" s="4" t="s">
        <v>1303</v>
      </c>
      <c r="B900" s="4" t="s">
        <v>39</v>
      </c>
      <c r="C900" s="5">
        <v>45931.35483796296</v>
      </c>
      <c r="D900" s="5">
        <v>45931</v>
      </c>
      <c r="E900" s="6">
        <f>IF(AND(C900&lt;&gt;"",D900&lt;&gt;""),D900-C900,"")</f>
        <v>0</v>
      </c>
      <c r="F900" s="4" t="s">
        <v>1304</v>
      </c>
      <c r="G900" s="4" t="s">
        <v>1305</v>
      </c>
      <c r="H900" s="4" t="s">
        <v>32</v>
      </c>
      <c r="I900" s="4" t="s">
        <v>33</v>
      </c>
      <c r="J900" s="4">
        <v>0</v>
      </c>
      <c r="K900" s="4">
        <v>0</v>
      </c>
      <c r="L900" s="4">
        <f>J900+K900</f>
        <v>0</v>
      </c>
      <c r="M900" s="4" t="s">
        <v>370</v>
      </c>
      <c r="N900" s="4"/>
      <c r="O900" s="4">
        <v>1</v>
      </c>
      <c r="P900" s="4" t="s">
        <v>135</v>
      </c>
      <c r="Q900" s="4" t="s">
        <v>44</v>
      </c>
      <c r="R900" s="7">
        <v>500000</v>
      </c>
      <c r="S900" s="7">
        <v>0</v>
      </c>
      <c r="T900" s="7">
        <f>R900-S900</f>
        <v>0</v>
      </c>
      <c r="U900" s="7">
        <f>T900*O900</f>
        <v>0</v>
      </c>
    </row>
    <row r="901" spans="1:21">
      <c r="A901" s="4" t="s">
        <v>1306</v>
      </c>
      <c r="B901" s="4" t="s">
        <v>39</v>
      </c>
      <c r="C901" s="5">
        <v>45931.3558449074</v>
      </c>
      <c r="D901" s="5">
        <v>45931</v>
      </c>
      <c r="E901" s="6">
        <f>IF(AND(C901&lt;&gt;"",D901&lt;&gt;""),D901-C901,"")</f>
        <v>0</v>
      </c>
      <c r="F901" s="4" t="s">
        <v>1304</v>
      </c>
      <c r="G901" s="4" t="s">
        <v>1305</v>
      </c>
      <c r="H901" s="4" t="s">
        <v>32</v>
      </c>
      <c r="I901" s="4" t="s">
        <v>33</v>
      </c>
      <c r="J901" s="4">
        <v>1</v>
      </c>
      <c r="K901" s="4">
        <v>0</v>
      </c>
      <c r="L901" s="4">
        <f>J901+K901</f>
        <v>0</v>
      </c>
      <c r="M901" s="4" t="s">
        <v>42</v>
      </c>
      <c r="N901" s="4"/>
      <c r="O901" s="4">
        <v>1</v>
      </c>
      <c r="P901" s="4" t="s">
        <v>135</v>
      </c>
      <c r="Q901" s="4" t="s">
        <v>44</v>
      </c>
      <c r="R901" s="7">
        <v>370000</v>
      </c>
      <c r="S901" s="7">
        <v>0</v>
      </c>
      <c r="T901" s="7">
        <f>R901-S901</f>
        <v>0</v>
      </c>
      <c r="U901" s="7">
        <f>T901*O901</f>
        <v>0</v>
      </c>
    </row>
    <row r="902" spans="1:21">
      <c r="A902" s="4" t="s">
        <v>1306</v>
      </c>
      <c r="B902" s="4" t="s">
        <v>39</v>
      </c>
      <c r="C902" s="5">
        <v>45931.3558449074</v>
      </c>
      <c r="D902" s="5">
        <v>45931</v>
      </c>
      <c r="E902" s="6">
        <f>IF(AND(C902&lt;&gt;"",D902&lt;&gt;""),D902-C902,"")</f>
        <v>0</v>
      </c>
      <c r="F902" s="4" t="s">
        <v>1304</v>
      </c>
      <c r="G902" s="4" t="s">
        <v>1305</v>
      </c>
      <c r="H902" s="4" t="s">
        <v>32</v>
      </c>
      <c r="I902" s="4" t="s">
        <v>33</v>
      </c>
      <c r="J902" s="4">
        <v>0</v>
      </c>
      <c r="K902" s="4">
        <v>0</v>
      </c>
      <c r="L902" s="4">
        <f>J902+K902</f>
        <v>0</v>
      </c>
      <c r="M902" s="4" t="s">
        <v>370</v>
      </c>
      <c r="N902" s="4"/>
      <c r="O902" s="4">
        <v>1</v>
      </c>
      <c r="P902" s="4" t="s">
        <v>135</v>
      </c>
      <c r="Q902" s="4" t="s">
        <v>44</v>
      </c>
      <c r="R902" s="7">
        <v>240000</v>
      </c>
      <c r="S902" s="7">
        <v>0</v>
      </c>
      <c r="T902" s="7">
        <f>R902-S902</f>
        <v>0</v>
      </c>
      <c r="U902" s="7">
        <f>T902*O902</f>
        <v>0</v>
      </c>
    </row>
    <row r="903" spans="1:21">
      <c r="A903" s="4" t="s">
        <v>1306</v>
      </c>
      <c r="B903" s="4" t="s">
        <v>39</v>
      </c>
      <c r="C903" s="5">
        <v>45931.3558449074</v>
      </c>
      <c r="D903" s="5">
        <v>45931</v>
      </c>
      <c r="E903" s="6">
        <f>IF(AND(C903&lt;&gt;"",D903&lt;&gt;""),D903-C903,"")</f>
        <v>0</v>
      </c>
      <c r="F903" s="4" t="s">
        <v>1304</v>
      </c>
      <c r="G903" s="4" t="s">
        <v>1305</v>
      </c>
      <c r="H903" s="4" t="s">
        <v>32</v>
      </c>
      <c r="I903" s="4" t="s">
        <v>33</v>
      </c>
      <c r="J903" s="4">
        <v>-1</v>
      </c>
      <c r="K903" s="4">
        <v>0</v>
      </c>
      <c r="L903" s="4">
        <f>J903+K903</f>
        <v>0</v>
      </c>
      <c r="M903" s="4" t="s">
        <v>80</v>
      </c>
      <c r="N903" s="4"/>
      <c r="O903" s="4">
        <v>-1</v>
      </c>
      <c r="P903" s="4" t="s">
        <v>135</v>
      </c>
      <c r="Q903" s="4" t="s">
        <v>44</v>
      </c>
      <c r="R903" s="7">
        <v>610000</v>
      </c>
      <c r="S903" s="7">
        <v>0</v>
      </c>
      <c r="T903" s="7">
        <f>R903-S903</f>
        <v>0</v>
      </c>
      <c r="U903" s="7">
        <f>T903*O903</f>
        <v>0</v>
      </c>
    </row>
    <row r="904" spans="1:21">
      <c r="A904" s="4" t="s">
        <v>1307</v>
      </c>
      <c r="B904" s="4" t="s">
        <v>103</v>
      </c>
      <c r="C904" s="5">
        <v>45931.36046296296</v>
      </c>
      <c r="D904" s="5">
        <v>45961</v>
      </c>
      <c r="E904" s="6">
        <f>IF(AND(C904&lt;&gt;"",D904&lt;&gt;""),D904-C904,"")</f>
        <v>0</v>
      </c>
      <c r="F904" s="4" t="s">
        <v>64</v>
      </c>
      <c r="G904" s="4" t="s">
        <v>664</v>
      </c>
      <c r="H904" s="4" t="s">
        <v>32</v>
      </c>
      <c r="I904" s="4" t="s">
        <v>33</v>
      </c>
      <c r="J904" s="4">
        <v>4</v>
      </c>
      <c r="K904" s="4">
        <v>4</v>
      </c>
      <c r="L904" s="4">
        <f>J904+K904</f>
        <v>0</v>
      </c>
      <c r="M904" s="4"/>
      <c r="N904" s="4"/>
      <c r="O904" s="4">
        <v>0</v>
      </c>
      <c r="P904" s="4"/>
      <c r="Q904" s="4"/>
      <c r="R904" s="7">
        <v>0</v>
      </c>
      <c r="S904" s="7">
        <v>0</v>
      </c>
      <c r="T904" s="7">
        <f>R904-S904</f>
        <v>0</v>
      </c>
      <c r="U904" s="7">
        <f>T904*O904</f>
        <v>0</v>
      </c>
    </row>
    <row r="905" spans="1:21">
      <c r="A905" s="4" t="s">
        <v>1308</v>
      </c>
      <c r="B905" s="4" t="s">
        <v>48</v>
      </c>
      <c r="C905" s="5">
        <v>45931.37144675926</v>
      </c>
      <c r="D905" s="5">
        <v>45961</v>
      </c>
      <c r="E905" s="6">
        <f>IF(AND(C905&lt;&gt;"",D905&lt;&gt;""),D905-C905,"")</f>
        <v>0</v>
      </c>
      <c r="F905" s="4" t="s">
        <v>162</v>
      </c>
      <c r="G905" s="4" t="s">
        <v>202</v>
      </c>
      <c r="H905" s="4" t="s">
        <v>32</v>
      </c>
      <c r="I905" s="4" t="s">
        <v>33</v>
      </c>
      <c r="J905" s="4">
        <v>2</v>
      </c>
      <c r="K905" s="4">
        <v>2</v>
      </c>
      <c r="L905" s="4">
        <f>J905+K905</f>
        <v>0</v>
      </c>
      <c r="M905" s="4"/>
      <c r="N905" s="4"/>
      <c r="O905" s="4">
        <v>0</v>
      </c>
      <c r="P905" s="4"/>
      <c r="Q905" s="4"/>
      <c r="R905" s="7">
        <v>0</v>
      </c>
      <c r="S905" s="7">
        <v>0</v>
      </c>
      <c r="T905" s="7">
        <f>R905-S905</f>
        <v>0</v>
      </c>
      <c r="U905" s="7">
        <f>T905*O905</f>
        <v>0</v>
      </c>
    </row>
    <row r="906" spans="1:21">
      <c r="A906" s="4" t="s">
        <v>1309</v>
      </c>
      <c r="B906" s="4" t="s">
        <v>39</v>
      </c>
      <c r="C906" s="5">
        <v>45931.38612268519</v>
      </c>
      <c r="D906" s="5">
        <v>45931</v>
      </c>
      <c r="E906" s="6">
        <f>IF(AND(C906&lt;&gt;"",D906&lt;&gt;""),D906-C906,"")</f>
        <v>0</v>
      </c>
      <c r="F906" s="4" t="s">
        <v>1096</v>
      </c>
      <c r="G906" s="4" t="s">
        <v>1310</v>
      </c>
      <c r="H906" s="4" t="s">
        <v>32</v>
      </c>
      <c r="I906" s="4" t="s">
        <v>33</v>
      </c>
      <c r="J906" s="4">
        <v>0</v>
      </c>
      <c r="K906" s="4">
        <v>0</v>
      </c>
      <c r="L906" s="4">
        <f>J906+K906</f>
        <v>0</v>
      </c>
      <c r="M906" s="4" t="s">
        <v>370</v>
      </c>
      <c r="N906" s="4"/>
      <c r="O906" s="4">
        <v>1</v>
      </c>
      <c r="P906" s="4" t="s">
        <v>135</v>
      </c>
      <c r="Q906" s="4" t="s">
        <v>44</v>
      </c>
      <c r="R906" s="7">
        <v>2000000</v>
      </c>
      <c r="S906" s="7">
        <v>0</v>
      </c>
      <c r="T906" s="7">
        <f>R906-S906</f>
        <v>0</v>
      </c>
      <c r="U906" s="7">
        <f>T906*O906</f>
        <v>0</v>
      </c>
    </row>
    <row r="907" spans="1:21">
      <c r="A907" s="4" t="s">
        <v>1311</v>
      </c>
      <c r="B907" s="4" t="s">
        <v>39</v>
      </c>
      <c r="C907" s="5">
        <v>45931.39681712963</v>
      </c>
      <c r="D907" s="5">
        <v>45931</v>
      </c>
      <c r="E907" s="6">
        <f>IF(AND(C907&lt;&gt;"",D907&lt;&gt;""),D907-C907,"")</f>
        <v>0</v>
      </c>
      <c r="F907" s="4" t="s">
        <v>162</v>
      </c>
      <c r="G907" s="4" t="s">
        <v>202</v>
      </c>
      <c r="H907" s="4" t="s">
        <v>32</v>
      </c>
      <c r="I907" s="4" t="s">
        <v>33</v>
      </c>
      <c r="J907" s="4">
        <v>1</v>
      </c>
      <c r="K907" s="4">
        <v>0</v>
      </c>
      <c r="L907" s="4">
        <f>J907+K907</f>
        <v>0</v>
      </c>
      <c r="M907" s="4" t="s">
        <v>42</v>
      </c>
      <c r="N907" s="4"/>
      <c r="O907" s="4">
        <v>1</v>
      </c>
      <c r="P907" s="4" t="s">
        <v>43</v>
      </c>
      <c r="Q907" s="4" t="s">
        <v>44</v>
      </c>
      <c r="R907" s="7">
        <v>370000</v>
      </c>
      <c r="S907" s="7">
        <v>0</v>
      </c>
      <c r="T907" s="7">
        <f>R907-S907</f>
        <v>0</v>
      </c>
      <c r="U907" s="7">
        <f>T907*O907</f>
        <v>0</v>
      </c>
    </row>
    <row r="908" spans="1:21">
      <c r="A908" s="4" t="s">
        <v>1312</v>
      </c>
      <c r="B908" s="4" t="s">
        <v>39</v>
      </c>
      <c r="C908" s="5">
        <v>45931.40716435185</v>
      </c>
      <c r="D908" s="5">
        <v>45931</v>
      </c>
      <c r="E908" s="6">
        <f>IF(AND(C908&lt;&gt;"",D908&lt;&gt;""),D908-C908,"")</f>
        <v>0</v>
      </c>
      <c r="F908" s="4" t="s">
        <v>1313</v>
      </c>
      <c r="G908" s="4"/>
      <c r="H908" s="4"/>
      <c r="I908" s="4" t="s">
        <v>56</v>
      </c>
      <c r="J908" s="4">
        <v>0</v>
      </c>
      <c r="K908" s="4">
        <v>0</v>
      </c>
      <c r="L908" s="4">
        <f>J908+K908</f>
        <v>0</v>
      </c>
      <c r="M908" s="4" t="s">
        <v>370</v>
      </c>
      <c r="N908" s="4"/>
      <c r="O908" s="4">
        <v>1</v>
      </c>
      <c r="P908" s="4" t="s">
        <v>135</v>
      </c>
      <c r="Q908" s="4" t="s">
        <v>44</v>
      </c>
      <c r="R908" s="7">
        <v>500000</v>
      </c>
      <c r="S908" s="7">
        <v>0</v>
      </c>
      <c r="T908" s="7">
        <f>R908-S908</f>
        <v>0</v>
      </c>
      <c r="U908" s="7">
        <f>T908*O908</f>
        <v>0</v>
      </c>
    </row>
    <row r="909" spans="1:21">
      <c r="A909" s="4" t="s">
        <v>1314</v>
      </c>
      <c r="B909" s="4" t="s">
        <v>39</v>
      </c>
      <c r="C909" s="5">
        <v>45931.41012731481</v>
      </c>
      <c r="D909" s="5">
        <v>45931</v>
      </c>
      <c r="E909" s="6">
        <f>IF(AND(C909&lt;&gt;"",D909&lt;&gt;""),D909-C909,"")</f>
        <v>0</v>
      </c>
      <c r="F909" s="4" t="s">
        <v>1315</v>
      </c>
      <c r="G909" s="4"/>
      <c r="H909" s="4"/>
      <c r="I909" s="4" t="s">
        <v>56</v>
      </c>
      <c r="J909" s="4">
        <v>0</v>
      </c>
      <c r="K909" s="4">
        <v>0</v>
      </c>
      <c r="L909" s="4">
        <f>J909+K909</f>
        <v>0</v>
      </c>
      <c r="M909" s="4" t="s">
        <v>370</v>
      </c>
      <c r="N909" s="4"/>
      <c r="O909" s="4">
        <v>1</v>
      </c>
      <c r="P909" s="4" t="s">
        <v>135</v>
      </c>
      <c r="Q909" s="4" t="s">
        <v>44</v>
      </c>
      <c r="R909" s="7">
        <v>600000</v>
      </c>
      <c r="S909" s="7">
        <v>0</v>
      </c>
      <c r="T909" s="7">
        <f>R909-S909</f>
        <v>0</v>
      </c>
      <c r="U909" s="7">
        <f>T909*O909</f>
        <v>0</v>
      </c>
    </row>
    <row r="910" spans="1:21">
      <c r="A910" s="4" t="s">
        <v>1316</v>
      </c>
      <c r="B910" s="4" t="s">
        <v>29</v>
      </c>
      <c r="C910" s="5">
        <v>45931.43422453704</v>
      </c>
      <c r="D910" s="5">
        <v>45961</v>
      </c>
      <c r="E910" s="6">
        <f>IF(AND(C910&lt;&gt;"",D910&lt;&gt;""),D910-C910,"")</f>
        <v>0</v>
      </c>
      <c r="F910" s="4" t="s">
        <v>1317</v>
      </c>
      <c r="G910" s="4" t="s">
        <v>235</v>
      </c>
      <c r="H910" s="4" t="s">
        <v>1318</v>
      </c>
      <c r="I910" s="4" t="s">
        <v>56</v>
      </c>
      <c r="J910" s="4">
        <v>2</v>
      </c>
      <c r="K910" s="4">
        <v>0</v>
      </c>
      <c r="L910" s="4">
        <f>J910+K910</f>
        <v>0</v>
      </c>
      <c r="M910" s="4"/>
      <c r="N910" s="4"/>
      <c r="O910" s="4">
        <v>0</v>
      </c>
      <c r="P910" s="4"/>
      <c r="Q910" s="4"/>
      <c r="R910" s="7">
        <v>0</v>
      </c>
      <c r="S910" s="7">
        <v>0</v>
      </c>
      <c r="T910" s="7">
        <f>R910-S910</f>
        <v>0</v>
      </c>
      <c r="U910" s="7">
        <f>T910*O910</f>
        <v>0</v>
      </c>
    </row>
    <row r="911" spans="1:21">
      <c r="A911" s="4" t="s">
        <v>1319</v>
      </c>
      <c r="B911" s="4" t="s">
        <v>29</v>
      </c>
      <c r="C911" s="5">
        <v>45931.54936342593</v>
      </c>
      <c r="D911" s="5">
        <v>45961</v>
      </c>
      <c r="E911" s="6">
        <f>IF(AND(C911&lt;&gt;"",D911&lt;&gt;""),D911-C911,"")</f>
        <v>0</v>
      </c>
      <c r="F911" s="4" t="s">
        <v>307</v>
      </c>
      <c r="G911" s="4" t="s">
        <v>308</v>
      </c>
      <c r="H911" s="4" t="s">
        <v>190</v>
      </c>
      <c r="I911" s="4" t="s">
        <v>56</v>
      </c>
      <c r="J911" s="4">
        <v>1</v>
      </c>
      <c r="K911" s="4">
        <v>0</v>
      </c>
      <c r="L911" s="4">
        <f>J911+K911</f>
        <v>0</v>
      </c>
      <c r="M911" s="4"/>
      <c r="N911" s="4"/>
      <c r="O911" s="4">
        <v>0</v>
      </c>
      <c r="P911" s="4"/>
      <c r="Q911" s="4"/>
      <c r="R911" s="7">
        <v>0</v>
      </c>
      <c r="S911" s="7">
        <v>0</v>
      </c>
      <c r="T911" s="7">
        <f>R911-S911</f>
        <v>0</v>
      </c>
      <c r="U911" s="7">
        <f>T911*O911</f>
        <v>0</v>
      </c>
    </row>
    <row r="912" spans="1:21">
      <c r="A912" s="4" t="s">
        <v>1320</v>
      </c>
      <c r="B912" s="4" t="s">
        <v>29</v>
      </c>
      <c r="C912" s="5">
        <v>45931.54949074074</v>
      </c>
      <c r="D912" s="5">
        <v>45961</v>
      </c>
      <c r="E912" s="6">
        <f>IF(AND(C912&lt;&gt;"",D912&lt;&gt;""),D912-C912,"")</f>
        <v>0</v>
      </c>
      <c r="F912" s="4" t="s">
        <v>307</v>
      </c>
      <c r="G912" s="4" t="s">
        <v>308</v>
      </c>
      <c r="H912" s="4" t="s">
        <v>190</v>
      </c>
      <c r="I912" s="4" t="s">
        <v>56</v>
      </c>
      <c r="J912" s="4">
        <v>1</v>
      </c>
      <c r="K912" s="4">
        <v>0</v>
      </c>
      <c r="L912" s="4">
        <f>J912+K912</f>
        <v>0</v>
      </c>
      <c r="M912" s="4"/>
      <c r="N912" s="4"/>
      <c r="O912" s="4">
        <v>0</v>
      </c>
      <c r="P912" s="4"/>
      <c r="Q912" s="4"/>
      <c r="R912" s="7">
        <v>0</v>
      </c>
      <c r="S912" s="7">
        <v>0</v>
      </c>
      <c r="T912" s="7">
        <f>R912-S912</f>
        <v>0</v>
      </c>
      <c r="U912" s="7">
        <f>T912*O912</f>
        <v>0</v>
      </c>
    </row>
    <row r="913" spans="1:21">
      <c r="A913" s="4" t="s">
        <v>1321</v>
      </c>
      <c r="B913" s="4" t="s">
        <v>48</v>
      </c>
      <c r="C913" s="5">
        <v>45931.64275462963</v>
      </c>
      <c r="D913" s="5">
        <v>45961</v>
      </c>
      <c r="E913" s="6">
        <f>IF(AND(C913&lt;&gt;"",D913&lt;&gt;""),D913-C913,"")</f>
        <v>0</v>
      </c>
      <c r="F913" s="4" t="s">
        <v>64</v>
      </c>
      <c r="G913" s="4" t="s">
        <v>1322</v>
      </c>
      <c r="H913" s="4" t="s">
        <v>32</v>
      </c>
      <c r="I913" s="4" t="s">
        <v>33</v>
      </c>
      <c r="J913" s="4">
        <v>2</v>
      </c>
      <c r="K913" s="4">
        <v>0</v>
      </c>
      <c r="L913" s="4">
        <f>J913+K913</f>
        <v>0</v>
      </c>
      <c r="M913" s="4"/>
      <c r="N913" s="4"/>
      <c r="O913" s="4">
        <v>0</v>
      </c>
      <c r="P913" s="4"/>
      <c r="Q913" s="4"/>
      <c r="R913" s="7">
        <v>0</v>
      </c>
      <c r="S913" s="7">
        <v>0</v>
      </c>
      <c r="T913" s="7">
        <f>R913-S913</f>
        <v>0</v>
      </c>
      <c r="U913" s="7">
        <f>T913*O913</f>
        <v>0</v>
      </c>
    </row>
    <row r="914" spans="1:21">
      <c r="A914" s="4" t="s">
        <v>1323</v>
      </c>
      <c r="B914" s="4" t="s">
        <v>48</v>
      </c>
      <c r="C914" s="5">
        <v>45931.64402777778</v>
      </c>
      <c r="D914" s="5">
        <v>45961</v>
      </c>
      <c r="E914" s="6">
        <f>IF(AND(C914&lt;&gt;"",D914&lt;&gt;""),D914-C914,"")</f>
        <v>0</v>
      </c>
      <c r="F914" s="4" t="s">
        <v>64</v>
      </c>
      <c r="G914" s="4" t="s">
        <v>1322</v>
      </c>
      <c r="H914" s="4" t="s">
        <v>32</v>
      </c>
      <c r="I914" s="4" t="s">
        <v>33</v>
      </c>
      <c r="J914" s="4">
        <v>1</v>
      </c>
      <c r="K914" s="4">
        <v>1</v>
      </c>
      <c r="L914" s="4">
        <f>J914+K914</f>
        <v>0</v>
      </c>
      <c r="M914" s="4"/>
      <c r="N914" s="4"/>
      <c r="O914" s="4">
        <v>0</v>
      </c>
      <c r="P914" s="4"/>
      <c r="Q914" s="4"/>
      <c r="R914" s="7">
        <v>0</v>
      </c>
      <c r="S914" s="7">
        <v>0</v>
      </c>
      <c r="T914" s="7">
        <f>R914-S914</f>
        <v>0</v>
      </c>
      <c r="U914" s="7">
        <f>T914*O914</f>
        <v>0</v>
      </c>
    </row>
    <row r="915" spans="1:21">
      <c r="A915" s="4" t="s">
        <v>1324</v>
      </c>
      <c r="B915" s="4" t="s">
        <v>48</v>
      </c>
      <c r="C915" s="5">
        <v>45931.6478587963</v>
      </c>
      <c r="D915" s="5">
        <v>45961</v>
      </c>
      <c r="E915" s="6">
        <f>IF(AND(C915&lt;&gt;"",D915&lt;&gt;""),D915-C915,"")</f>
        <v>0</v>
      </c>
      <c r="F915" s="4" t="s">
        <v>1325</v>
      </c>
      <c r="G915" s="4" t="s">
        <v>1326</v>
      </c>
      <c r="H915" s="4" t="s">
        <v>32</v>
      </c>
      <c r="I915" s="4" t="s">
        <v>33</v>
      </c>
      <c r="J915" s="4">
        <v>2</v>
      </c>
      <c r="K915" s="4">
        <v>2</v>
      </c>
      <c r="L915" s="4">
        <f>J915+K915</f>
        <v>0</v>
      </c>
      <c r="M915" s="4"/>
      <c r="N915" s="4"/>
      <c r="O915" s="4">
        <v>0</v>
      </c>
      <c r="P915" s="4"/>
      <c r="Q915" s="4"/>
      <c r="R915" s="7">
        <v>0</v>
      </c>
      <c r="S915" s="7">
        <v>0</v>
      </c>
      <c r="T915" s="7">
        <f>R915-S915</f>
        <v>0</v>
      </c>
      <c r="U915" s="7">
        <f>T915*O915</f>
        <v>0</v>
      </c>
    </row>
    <row r="916" spans="1:21">
      <c r="A916" s="4" t="s">
        <v>1327</v>
      </c>
      <c r="B916" s="4" t="s">
        <v>48</v>
      </c>
      <c r="C916" s="5">
        <v>45931.6791087963</v>
      </c>
      <c r="D916" s="5">
        <v>45961</v>
      </c>
      <c r="E916" s="6">
        <f>IF(AND(C916&lt;&gt;"",D916&lt;&gt;""),D916-C916,"")</f>
        <v>0</v>
      </c>
      <c r="F916" s="4" t="s">
        <v>1328</v>
      </c>
      <c r="G916" s="4" t="s">
        <v>1329</v>
      </c>
      <c r="H916" s="4" t="s">
        <v>32</v>
      </c>
      <c r="I916" s="4" t="s">
        <v>33</v>
      </c>
      <c r="J916" s="4">
        <v>1</v>
      </c>
      <c r="K916" s="4">
        <v>0</v>
      </c>
      <c r="L916" s="4">
        <f>J916+K916</f>
        <v>0</v>
      </c>
      <c r="M916" s="4"/>
      <c r="N916" s="4"/>
      <c r="O916" s="4">
        <v>0</v>
      </c>
      <c r="P916" s="4"/>
      <c r="Q916" s="4"/>
      <c r="R916" s="7">
        <v>0</v>
      </c>
      <c r="S916" s="7">
        <v>0</v>
      </c>
      <c r="T916" s="7">
        <f>R916-S916</f>
        <v>0</v>
      </c>
      <c r="U916" s="7">
        <f>T916*O916</f>
        <v>0</v>
      </c>
    </row>
    <row r="917" spans="1:21">
      <c r="A917" s="4" t="s">
        <v>1330</v>
      </c>
      <c r="B917" s="4" t="s">
        <v>48</v>
      </c>
      <c r="C917" s="5">
        <v>45931.6794212963</v>
      </c>
      <c r="D917" s="5">
        <v>45961</v>
      </c>
      <c r="E917" s="6">
        <f>IF(AND(C917&lt;&gt;"",D917&lt;&gt;""),D917-C917,"")</f>
        <v>0</v>
      </c>
      <c r="F917" s="4" t="s">
        <v>1328</v>
      </c>
      <c r="G917" s="4" t="s">
        <v>1329</v>
      </c>
      <c r="H917" s="4" t="s">
        <v>32</v>
      </c>
      <c r="I917" s="4" t="s">
        <v>33</v>
      </c>
      <c r="J917" s="4">
        <v>2</v>
      </c>
      <c r="K917" s="4">
        <v>0</v>
      </c>
      <c r="L917" s="4">
        <f>J917+K917</f>
        <v>0</v>
      </c>
      <c r="M917" s="4"/>
      <c r="N917" s="4"/>
      <c r="O917" s="4">
        <v>0</v>
      </c>
      <c r="P917" s="4"/>
      <c r="Q917" s="4"/>
      <c r="R917" s="7">
        <v>0</v>
      </c>
      <c r="S917" s="7">
        <v>0</v>
      </c>
      <c r="T917" s="7">
        <f>R917-S917</f>
        <v>0</v>
      </c>
      <c r="U917" s="7">
        <f>T917*O917</f>
        <v>0</v>
      </c>
    </row>
    <row r="918" spans="1:21">
      <c r="A918" s="4" t="s">
        <v>1331</v>
      </c>
      <c r="B918" s="4" t="s">
        <v>48</v>
      </c>
      <c r="C918" s="5">
        <v>45931.67953703704</v>
      </c>
      <c r="D918" s="5">
        <v>45961</v>
      </c>
      <c r="E918" s="6">
        <f>IF(AND(C918&lt;&gt;"",D918&lt;&gt;""),D918-C918,"")</f>
        <v>0</v>
      </c>
      <c r="F918" s="4" t="s">
        <v>1328</v>
      </c>
      <c r="G918" s="4" t="s">
        <v>1329</v>
      </c>
      <c r="H918" s="4" t="s">
        <v>32</v>
      </c>
      <c r="I918" s="4" t="s">
        <v>33</v>
      </c>
      <c r="J918" s="4">
        <v>3</v>
      </c>
      <c r="K918" s="4">
        <v>0</v>
      </c>
      <c r="L918" s="4">
        <f>J918+K918</f>
        <v>0</v>
      </c>
      <c r="M918" s="4"/>
      <c r="N918" s="4"/>
      <c r="O918" s="4">
        <v>0</v>
      </c>
      <c r="P918" s="4"/>
      <c r="Q918" s="4"/>
      <c r="R918" s="7">
        <v>0</v>
      </c>
      <c r="S918" s="7">
        <v>0</v>
      </c>
      <c r="T918" s="7">
        <f>R918-S918</f>
        <v>0</v>
      </c>
      <c r="U918" s="7">
        <f>T918*O918</f>
        <v>0</v>
      </c>
    </row>
    <row r="919" spans="1:21">
      <c r="A919" s="4" t="s">
        <v>1332</v>
      </c>
      <c r="B919" s="4" t="s">
        <v>39</v>
      </c>
      <c r="C919" s="5">
        <v>45931.68826388889</v>
      </c>
      <c r="D919" s="5">
        <v>45931</v>
      </c>
      <c r="E919" s="6">
        <f>IF(AND(C919&lt;&gt;"",D919&lt;&gt;""),D919-C919,"")</f>
        <v>0</v>
      </c>
      <c r="F919" s="4" t="s">
        <v>1315</v>
      </c>
      <c r="G919" s="4"/>
      <c r="H919" s="4"/>
      <c r="I919" s="4" t="s">
        <v>56</v>
      </c>
      <c r="J919" s="4">
        <v>1</v>
      </c>
      <c r="K919" s="4">
        <v>0</v>
      </c>
      <c r="L919" s="4">
        <f>J919+K919</f>
        <v>0</v>
      </c>
      <c r="M919" s="4" t="s">
        <v>80</v>
      </c>
      <c r="N919" s="4"/>
      <c r="O919" s="4">
        <v>1</v>
      </c>
      <c r="P919" s="4" t="s">
        <v>135</v>
      </c>
      <c r="Q919" s="4" t="s">
        <v>44</v>
      </c>
      <c r="R919" s="7">
        <v>610000</v>
      </c>
      <c r="S919" s="7">
        <v>610000</v>
      </c>
      <c r="T919" s="7">
        <f>R919-S919</f>
        <v>0</v>
      </c>
      <c r="U919" s="7">
        <f>T919*O919</f>
        <v>0</v>
      </c>
    </row>
    <row r="920" spans="1:21">
      <c r="A920" s="4" t="s">
        <v>1333</v>
      </c>
      <c r="B920" s="4" t="s">
        <v>39</v>
      </c>
      <c r="C920" s="5">
        <v>45931.68961805556</v>
      </c>
      <c r="D920" s="5">
        <v>45931</v>
      </c>
      <c r="E920" s="6">
        <f>IF(AND(C920&lt;&gt;"",D920&lt;&gt;""),D920-C920,"")</f>
        <v>0</v>
      </c>
      <c r="F920" s="4" t="s">
        <v>1334</v>
      </c>
      <c r="G920" s="4"/>
      <c r="H920" s="4"/>
      <c r="I920" s="4" t="s">
        <v>56</v>
      </c>
      <c r="J920" s="4">
        <v>0</v>
      </c>
      <c r="K920" s="4">
        <v>0</v>
      </c>
      <c r="L920" s="4">
        <f>J920+K920</f>
        <v>0</v>
      </c>
      <c r="M920" s="4" t="s">
        <v>1335</v>
      </c>
      <c r="N920" s="4"/>
      <c r="O920" s="4">
        <v>1</v>
      </c>
      <c r="P920" s="4" t="s">
        <v>135</v>
      </c>
      <c r="Q920" s="4"/>
      <c r="R920" s="7">
        <v>45000</v>
      </c>
      <c r="S920" s="7">
        <v>45000</v>
      </c>
      <c r="T920" s="7">
        <f>R920-S920</f>
        <v>0</v>
      </c>
      <c r="U920" s="7">
        <f>T920*O920</f>
        <v>0</v>
      </c>
    </row>
    <row r="921" spans="1:21">
      <c r="A921" s="4" t="s">
        <v>1336</v>
      </c>
      <c r="B921" s="4" t="s">
        <v>39</v>
      </c>
      <c r="C921" s="5">
        <v>45931.6916087963</v>
      </c>
      <c r="D921" s="5">
        <v>45931</v>
      </c>
      <c r="E921" s="6">
        <f>IF(AND(C921&lt;&gt;"",D921&lt;&gt;""),D921-C921,"")</f>
        <v>0</v>
      </c>
      <c r="F921" s="4" t="s">
        <v>1337</v>
      </c>
      <c r="G921" s="4"/>
      <c r="H921" s="4"/>
      <c r="I921" s="4" t="s">
        <v>56</v>
      </c>
      <c r="J921" s="4">
        <v>0</v>
      </c>
      <c r="K921" s="4">
        <v>0</v>
      </c>
      <c r="L921" s="4">
        <f>J921+K921</f>
        <v>0</v>
      </c>
      <c r="M921" s="4" t="s">
        <v>1335</v>
      </c>
      <c r="N921" s="4"/>
      <c r="O921" s="4">
        <v>1</v>
      </c>
      <c r="P921" s="4" t="s">
        <v>135</v>
      </c>
      <c r="Q921" s="4"/>
      <c r="R921" s="7">
        <v>45000</v>
      </c>
      <c r="S921" s="7">
        <v>45000</v>
      </c>
      <c r="T921" s="7">
        <f>R921-S921</f>
        <v>0</v>
      </c>
      <c r="U921" s="7">
        <f>T921*O921</f>
        <v>0</v>
      </c>
    </row>
    <row r="922" spans="1:21">
      <c r="A922" s="4" t="s">
        <v>1338</v>
      </c>
      <c r="B922" s="4" t="s">
        <v>48</v>
      </c>
      <c r="C922" s="5">
        <v>45931.73140046297</v>
      </c>
      <c r="D922" s="5">
        <v>45961</v>
      </c>
      <c r="E922" s="6">
        <f>IF(AND(C922&lt;&gt;"",D922&lt;&gt;""),D922-C922,"")</f>
        <v>0</v>
      </c>
      <c r="F922" s="4" t="s">
        <v>64</v>
      </c>
      <c r="G922" s="4" t="s">
        <v>1339</v>
      </c>
      <c r="H922" s="4" t="s">
        <v>32</v>
      </c>
      <c r="I922" s="4" t="s">
        <v>33</v>
      </c>
      <c r="J922" s="4">
        <v>3</v>
      </c>
      <c r="K922" s="4">
        <v>0</v>
      </c>
      <c r="L922" s="4">
        <f>J922+K922</f>
        <v>0</v>
      </c>
      <c r="M922" s="4"/>
      <c r="N922" s="4"/>
      <c r="O922" s="4">
        <v>0</v>
      </c>
      <c r="P922" s="4"/>
      <c r="Q922" s="4"/>
      <c r="R922" s="7">
        <v>0</v>
      </c>
      <c r="S922" s="7">
        <v>0</v>
      </c>
      <c r="T922" s="7">
        <f>R922-S922</f>
        <v>0</v>
      </c>
      <c r="U922" s="7">
        <f>T922*O922</f>
        <v>0</v>
      </c>
    </row>
    <row r="923" spans="1:21">
      <c r="A923" s="4" t="s">
        <v>1340</v>
      </c>
      <c r="B923" s="4" t="s">
        <v>48</v>
      </c>
      <c r="C923" s="5">
        <v>45931.74512731482</v>
      </c>
      <c r="D923" s="5">
        <v>45961</v>
      </c>
      <c r="E923" s="6">
        <f>IF(AND(C923&lt;&gt;"",D923&lt;&gt;""),D923-C923,"")</f>
        <v>0</v>
      </c>
      <c r="F923" s="4" t="s">
        <v>64</v>
      </c>
      <c r="G923" s="4" t="s">
        <v>1341</v>
      </c>
      <c r="H923" s="4" t="s">
        <v>32</v>
      </c>
      <c r="I923" s="4" t="s">
        <v>33</v>
      </c>
      <c r="J923" s="4">
        <v>3</v>
      </c>
      <c r="K923" s="4">
        <v>0</v>
      </c>
      <c r="L923" s="4">
        <f>J923+K923</f>
        <v>0</v>
      </c>
      <c r="M923" s="4"/>
      <c r="N923" s="4"/>
      <c r="O923" s="4">
        <v>0</v>
      </c>
      <c r="P923" s="4"/>
      <c r="Q923" s="4"/>
      <c r="R923" s="7">
        <v>0</v>
      </c>
      <c r="S923" s="7">
        <v>0</v>
      </c>
      <c r="T923" s="7">
        <f>R923-S923</f>
        <v>0</v>
      </c>
      <c r="U923" s="7">
        <f>T923*O923</f>
        <v>0</v>
      </c>
    </row>
    <row r="924" spans="1:21">
      <c r="A924" s="4" t="s">
        <v>1342</v>
      </c>
      <c r="B924" s="4" t="s">
        <v>39</v>
      </c>
      <c r="C924" s="5">
        <v>45931.75841435185</v>
      </c>
      <c r="D924" s="5">
        <v>45931</v>
      </c>
      <c r="E924" s="6">
        <f>IF(AND(C924&lt;&gt;"",D924&lt;&gt;""),D924-C924,"")</f>
        <v>0</v>
      </c>
      <c r="F924" s="4" t="s">
        <v>1343</v>
      </c>
      <c r="G924" s="4" t="s">
        <v>1344</v>
      </c>
      <c r="H924" s="4" t="s">
        <v>32</v>
      </c>
      <c r="I924" s="4" t="s">
        <v>33</v>
      </c>
      <c r="J924" s="4">
        <v>0</v>
      </c>
      <c r="K924" s="4">
        <v>0</v>
      </c>
      <c r="L924" s="4">
        <f>J924+K924</f>
        <v>0</v>
      </c>
      <c r="M924" s="4" t="s">
        <v>247</v>
      </c>
      <c r="N924" s="4"/>
      <c r="O924" s="4">
        <v>1</v>
      </c>
      <c r="P924" s="4" t="s">
        <v>135</v>
      </c>
      <c r="Q924" s="4"/>
      <c r="R924" s="7">
        <v>20000</v>
      </c>
      <c r="S924" s="7">
        <v>0</v>
      </c>
      <c r="T924" s="7">
        <f>R924-S924</f>
        <v>0</v>
      </c>
      <c r="U924" s="7">
        <f>T924*O924</f>
        <v>0</v>
      </c>
    </row>
    <row r="925" spans="1:21">
      <c r="A925" s="4" t="s">
        <v>1345</v>
      </c>
      <c r="B925" s="4" t="s">
        <v>39</v>
      </c>
      <c r="C925" s="5">
        <v>45931.76292824074</v>
      </c>
      <c r="D925" s="5">
        <v>45931</v>
      </c>
      <c r="E925" s="6">
        <f>IF(AND(C925&lt;&gt;"",D925&lt;&gt;""),D925-C925,"")</f>
        <v>0</v>
      </c>
      <c r="F925" s="4" t="s">
        <v>868</v>
      </c>
      <c r="G925" s="4" t="s">
        <v>1346</v>
      </c>
      <c r="H925" s="4" t="s">
        <v>32</v>
      </c>
      <c r="I925" s="4" t="s">
        <v>33</v>
      </c>
      <c r="J925" s="4">
        <v>0</v>
      </c>
      <c r="K925" s="4">
        <v>0</v>
      </c>
      <c r="L925" s="4">
        <f>J925+K925</f>
        <v>0</v>
      </c>
      <c r="M925" s="4" t="s">
        <v>370</v>
      </c>
      <c r="N925" s="4"/>
      <c r="O925" s="4">
        <v>1</v>
      </c>
      <c r="P925" s="4" t="s">
        <v>135</v>
      </c>
      <c r="Q925" s="4"/>
      <c r="R925" s="7">
        <v>500000</v>
      </c>
      <c r="S925" s="7">
        <v>0</v>
      </c>
      <c r="T925" s="7">
        <f>R925-S925</f>
        <v>0</v>
      </c>
      <c r="U925" s="7">
        <f>T925*O925</f>
        <v>0</v>
      </c>
    </row>
    <row r="926" spans="1:21">
      <c r="A926" s="4" t="s">
        <v>1345</v>
      </c>
      <c r="B926" s="4" t="s">
        <v>39</v>
      </c>
      <c r="C926" s="5">
        <v>45931.76292824074</v>
      </c>
      <c r="D926" s="5">
        <v>45931</v>
      </c>
      <c r="E926" s="6">
        <f>IF(AND(C926&lt;&gt;"",D926&lt;&gt;""),D926-C926,"")</f>
        <v>0</v>
      </c>
      <c r="F926" s="4" t="s">
        <v>868</v>
      </c>
      <c r="G926" s="4" t="s">
        <v>1346</v>
      </c>
      <c r="H926" s="4" t="s">
        <v>32</v>
      </c>
      <c r="I926" s="4" t="s">
        <v>33</v>
      </c>
      <c r="J926" s="4">
        <v>0</v>
      </c>
      <c r="K926" s="4">
        <v>0</v>
      </c>
      <c r="L926" s="4">
        <f>J926+K926</f>
        <v>0</v>
      </c>
      <c r="M926" s="4" t="s">
        <v>247</v>
      </c>
      <c r="N926" s="4"/>
      <c r="O926" s="4">
        <v>1</v>
      </c>
      <c r="P926" s="4" t="s">
        <v>135</v>
      </c>
      <c r="Q926" s="4"/>
      <c r="R926" s="7">
        <v>95000</v>
      </c>
      <c r="S926" s="7">
        <v>0</v>
      </c>
      <c r="T926" s="7">
        <f>R926-S926</f>
        <v>0</v>
      </c>
      <c r="U926" s="7">
        <f>T926*O926</f>
        <v>0</v>
      </c>
    </row>
    <row r="927" spans="1:21">
      <c r="A927" s="4" t="s">
        <v>1347</v>
      </c>
      <c r="B927" s="4" t="s">
        <v>39</v>
      </c>
      <c r="C927" s="5">
        <v>45931.7783912037</v>
      </c>
      <c r="D927" s="5">
        <v>45931</v>
      </c>
      <c r="E927" s="6">
        <f>IF(AND(C927&lt;&gt;"",D927&lt;&gt;""),D927-C927,"")</f>
        <v>0</v>
      </c>
      <c r="F927" s="4" t="s">
        <v>188</v>
      </c>
      <c r="G927" s="4" t="s">
        <v>1348</v>
      </c>
      <c r="H927" s="4" t="s">
        <v>32</v>
      </c>
      <c r="I927" s="4" t="s">
        <v>33</v>
      </c>
      <c r="J927" s="4">
        <v>0</v>
      </c>
      <c r="K927" s="4">
        <v>0</v>
      </c>
      <c r="L927" s="4">
        <f>J927+K927</f>
        <v>0</v>
      </c>
      <c r="M927" s="4" t="s">
        <v>370</v>
      </c>
      <c r="N927" s="4"/>
      <c r="O927" s="4">
        <v>1</v>
      </c>
      <c r="P927" s="4" t="s">
        <v>135</v>
      </c>
      <c r="Q927" s="4"/>
      <c r="R927" s="7">
        <v>500000</v>
      </c>
      <c r="S927" s="7">
        <v>0</v>
      </c>
      <c r="T927" s="7">
        <f>R927-S927</f>
        <v>0</v>
      </c>
      <c r="U927" s="7">
        <f>T927*O927</f>
        <v>0</v>
      </c>
    </row>
    <row r="928" spans="1:21">
      <c r="A928" s="4" t="s">
        <v>1349</v>
      </c>
      <c r="B928" s="4" t="s">
        <v>39</v>
      </c>
      <c r="C928" s="5">
        <v>45931.78951388889</v>
      </c>
      <c r="D928" s="5">
        <v>45931</v>
      </c>
      <c r="E928" s="6">
        <f>IF(AND(C928&lt;&gt;"",D928&lt;&gt;""),D928-C928,"")</f>
        <v>0</v>
      </c>
      <c r="F928" s="4" t="s">
        <v>1350</v>
      </c>
      <c r="G928" s="4" t="s">
        <v>1351</v>
      </c>
      <c r="H928" s="4" t="s">
        <v>32</v>
      </c>
      <c r="I928" s="4" t="s">
        <v>33</v>
      </c>
      <c r="J928" s="4">
        <v>0</v>
      </c>
      <c r="K928" s="4">
        <v>0</v>
      </c>
      <c r="L928" s="4">
        <f>J928+K928</f>
        <v>0</v>
      </c>
      <c r="M928" s="4" t="s">
        <v>370</v>
      </c>
      <c r="N928" s="4"/>
      <c r="O928" s="4">
        <v>1</v>
      </c>
      <c r="P928" s="4" t="s">
        <v>135</v>
      </c>
      <c r="Q928" s="4"/>
      <c r="R928" s="7">
        <v>5000000</v>
      </c>
      <c r="S928" s="7">
        <v>0</v>
      </c>
      <c r="T928" s="7">
        <f>R928-S928</f>
        <v>0</v>
      </c>
      <c r="U928" s="7">
        <f>T928*O928</f>
        <v>0</v>
      </c>
    </row>
    <row r="929" spans="1:21">
      <c r="A929" s="4" t="s">
        <v>1352</v>
      </c>
      <c r="B929" s="4" t="s">
        <v>39</v>
      </c>
      <c r="C929" s="5">
        <v>45931.79766203704</v>
      </c>
      <c r="D929" s="5">
        <v>45931</v>
      </c>
      <c r="E929" s="6">
        <f>IF(AND(C929&lt;&gt;"",D929&lt;&gt;""),D929-C929,"")</f>
        <v>0</v>
      </c>
      <c r="F929" s="4" t="s">
        <v>188</v>
      </c>
      <c r="G929" s="4" t="s">
        <v>1353</v>
      </c>
      <c r="H929" s="4" t="s">
        <v>32</v>
      </c>
      <c r="I929" s="4" t="s">
        <v>33</v>
      </c>
      <c r="J929" s="4">
        <v>0</v>
      </c>
      <c r="K929" s="4">
        <v>0</v>
      </c>
      <c r="L929" s="4">
        <f>J929+K929</f>
        <v>0</v>
      </c>
      <c r="M929" s="4" t="s">
        <v>370</v>
      </c>
      <c r="N929" s="4"/>
      <c r="O929" s="4">
        <v>1</v>
      </c>
      <c r="P929" s="4" t="s">
        <v>135</v>
      </c>
      <c r="Q929" s="4"/>
      <c r="R929" s="7">
        <v>6000000</v>
      </c>
      <c r="S929" s="7">
        <v>0</v>
      </c>
      <c r="T929" s="7">
        <f>R929-S929</f>
        <v>0</v>
      </c>
      <c r="U929" s="7">
        <f>T929*O929</f>
        <v>0</v>
      </c>
    </row>
    <row r="930" spans="1:21">
      <c r="A930" s="4" t="s">
        <v>1354</v>
      </c>
      <c r="B930" s="4" t="s">
        <v>39</v>
      </c>
      <c r="C930" s="5">
        <v>45932.026875</v>
      </c>
      <c r="D930" s="5">
        <v>45932</v>
      </c>
      <c r="E930" s="6">
        <f>IF(AND(C930&lt;&gt;"",D930&lt;&gt;""),D930-C930,"")</f>
        <v>0</v>
      </c>
      <c r="F930" s="4" t="s">
        <v>1355</v>
      </c>
      <c r="G930" s="4" t="s">
        <v>1356</v>
      </c>
      <c r="H930" s="4" t="s">
        <v>177</v>
      </c>
      <c r="I930" s="4" t="s">
        <v>56</v>
      </c>
      <c r="J930" s="4">
        <v>0</v>
      </c>
      <c r="K930" s="4">
        <v>0</v>
      </c>
      <c r="L930" s="4">
        <f>J930+K930</f>
        <v>0</v>
      </c>
      <c r="M930" s="4" t="s">
        <v>370</v>
      </c>
      <c r="N930" s="4"/>
      <c r="O930" s="4">
        <v>1</v>
      </c>
      <c r="P930" s="4" t="s">
        <v>135</v>
      </c>
      <c r="Q930" s="4" t="s">
        <v>44</v>
      </c>
      <c r="R930" s="7">
        <v>2000000</v>
      </c>
      <c r="S930" s="7">
        <v>0</v>
      </c>
      <c r="T930" s="7">
        <f>R930-S930</f>
        <v>0</v>
      </c>
      <c r="U930" s="7">
        <f>T930*O930</f>
        <v>0</v>
      </c>
    </row>
    <row r="931" spans="1:21">
      <c r="A931" s="4" t="s">
        <v>1357</v>
      </c>
      <c r="B931" s="4" t="s">
        <v>39</v>
      </c>
      <c r="C931" s="5">
        <v>45932.02966435185</v>
      </c>
      <c r="D931" s="5">
        <v>45932</v>
      </c>
      <c r="E931" s="6">
        <f>IF(AND(C931&lt;&gt;"",D931&lt;&gt;""),D931-C931,"")</f>
        <v>0</v>
      </c>
      <c r="F931" s="4" t="s">
        <v>1358</v>
      </c>
      <c r="G931" s="4" t="s">
        <v>1359</v>
      </c>
      <c r="H931" s="4" t="s">
        <v>32</v>
      </c>
      <c r="I931" s="4" t="s">
        <v>33</v>
      </c>
      <c r="J931" s="4">
        <v>0</v>
      </c>
      <c r="K931" s="4">
        <v>0</v>
      </c>
      <c r="L931" s="4">
        <f>J931+K931</f>
        <v>0</v>
      </c>
      <c r="M931" s="4" t="s">
        <v>370</v>
      </c>
      <c r="N931" s="4"/>
      <c r="O931" s="4">
        <v>1</v>
      </c>
      <c r="P931" s="4" t="s">
        <v>135</v>
      </c>
      <c r="Q931" s="4" t="s">
        <v>44</v>
      </c>
      <c r="R931" s="7">
        <v>2000000</v>
      </c>
      <c r="S931" s="7">
        <v>0</v>
      </c>
      <c r="T931" s="7">
        <f>R931-S931</f>
        <v>0</v>
      </c>
      <c r="U931" s="7">
        <f>T931*O931</f>
        <v>0</v>
      </c>
    </row>
    <row r="932" spans="1:21">
      <c r="A932" s="4" t="s">
        <v>1360</v>
      </c>
      <c r="B932" s="4" t="s">
        <v>39</v>
      </c>
      <c r="C932" s="5">
        <v>45932.03068287037</v>
      </c>
      <c r="D932" s="5">
        <v>45932</v>
      </c>
      <c r="E932" s="6">
        <f>IF(AND(C932&lt;&gt;"",D932&lt;&gt;""),D932-C932,"")</f>
        <v>0</v>
      </c>
      <c r="F932" s="4" t="s">
        <v>1361</v>
      </c>
      <c r="G932" s="4" t="s">
        <v>1362</v>
      </c>
      <c r="H932" s="4" t="s">
        <v>32</v>
      </c>
      <c r="I932" s="4" t="s">
        <v>33</v>
      </c>
      <c r="J932" s="4">
        <v>0</v>
      </c>
      <c r="K932" s="4">
        <v>0</v>
      </c>
      <c r="L932" s="4">
        <f>J932+K932</f>
        <v>0</v>
      </c>
      <c r="M932" s="4" t="s">
        <v>370</v>
      </c>
      <c r="N932" s="4"/>
      <c r="O932" s="4">
        <v>0</v>
      </c>
      <c r="P932" s="4" t="s">
        <v>135</v>
      </c>
      <c r="Q932" s="4" t="s">
        <v>44</v>
      </c>
      <c r="R932" s="7">
        <v>200000</v>
      </c>
      <c r="S932" s="7">
        <v>0</v>
      </c>
      <c r="T932" s="7">
        <f>R932-S932</f>
        <v>0</v>
      </c>
      <c r="U932" s="7">
        <f>T932*O932</f>
        <v>0</v>
      </c>
    </row>
    <row r="933" spans="1:21">
      <c r="A933" s="4" t="s">
        <v>1363</v>
      </c>
      <c r="B933" s="4" t="s">
        <v>39</v>
      </c>
      <c r="C933" s="5">
        <v>45932.03252314815</v>
      </c>
      <c r="D933" s="5">
        <v>45932</v>
      </c>
      <c r="E933" s="6">
        <f>IF(AND(C933&lt;&gt;"",D933&lt;&gt;""),D933-C933,"")</f>
        <v>0</v>
      </c>
      <c r="F933" s="4" t="s">
        <v>1364</v>
      </c>
      <c r="G933" s="4" t="s">
        <v>1365</v>
      </c>
      <c r="H933" s="4" t="s">
        <v>32</v>
      </c>
      <c r="I933" s="4" t="s">
        <v>33</v>
      </c>
      <c r="J933" s="4">
        <v>0</v>
      </c>
      <c r="K933" s="4">
        <v>0</v>
      </c>
      <c r="L933" s="4">
        <f>J933+K933</f>
        <v>0</v>
      </c>
      <c r="M933" s="4" t="s">
        <v>370</v>
      </c>
      <c r="N933" s="4"/>
      <c r="O933" s="4">
        <v>1</v>
      </c>
      <c r="P933" s="4" t="s">
        <v>43</v>
      </c>
      <c r="Q933" s="4" t="s">
        <v>44</v>
      </c>
      <c r="R933" s="7">
        <v>2000000</v>
      </c>
      <c r="S933" s="7">
        <v>0</v>
      </c>
      <c r="T933" s="7">
        <f>R933-S933</f>
        <v>0</v>
      </c>
      <c r="U933" s="7">
        <f>T933*O933</f>
        <v>0</v>
      </c>
    </row>
    <row r="934" spans="1:21">
      <c r="A934" s="4" t="s">
        <v>1366</v>
      </c>
      <c r="B934" s="4" t="s">
        <v>39</v>
      </c>
      <c r="C934" s="5">
        <v>45932.0337037037</v>
      </c>
      <c r="D934" s="5">
        <v>45932</v>
      </c>
      <c r="E934" s="6">
        <f>IF(AND(C934&lt;&gt;"",D934&lt;&gt;""),D934-C934,"")</f>
        <v>0</v>
      </c>
      <c r="F934" s="4" t="s">
        <v>1367</v>
      </c>
      <c r="G934" s="4" t="s">
        <v>1368</v>
      </c>
      <c r="H934" s="4" t="s">
        <v>32</v>
      </c>
      <c r="I934" s="4" t="s">
        <v>33</v>
      </c>
      <c r="J934" s="4">
        <v>0</v>
      </c>
      <c r="K934" s="4">
        <v>0</v>
      </c>
      <c r="L934" s="4">
        <f>J934+K934</f>
        <v>0</v>
      </c>
      <c r="M934" s="4" t="s">
        <v>370</v>
      </c>
      <c r="N934" s="4"/>
      <c r="O934" s="4">
        <v>1</v>
      </c>
      <c r="P934" s="4" t="s">
        <v>135</v>
      </c>
      <c r="Q934" s="4" t="s">
        <v>44</v>
      </c>
      <c r="R934" s="7">
        <v>2000000</v>
      </c>
      <c r="S934" s="7">
        <v>0</v>
      </c>
      <c r="T934" s="7">
        <f>R934-S934</f>
        <v>0</v>
      </c>
      <c r="U934" s="7">
        <f>T934*O934</f>
        <v>0</v>
      </c>
    </row>
    <row r="935" spans="1:21">
      <c r="A935" s="4" t="s">
        <v>1369</v>
      </c>
      <c r="B935" s="4" t="s">
        <v>39</v>
      </c>
      <c r="C935" s="5">
        <v>45932.03439814815</v>
      </c>
      <c r="D935" s="5">
        <v>45932</v>
      </c>
      <c r="E935" s="6">
        <f>IF(AND(C935&lt;&gt;"",D935&lt;&gt;""),D935-C935,"")</f>
        <v>0</v>
      </c>
      <c r="F935" s="4" t="s">
        <v>1370</v>
      </c>
      <c r="G935" s="4" t="s">
        <v>1371</v>
      </c>
      <c r="H935" s="4" t="s">
        <v>32</v>
      </c>
      <c r="I935" s="4" t="s">
        <v>33</v>
      </c>
      <c r="J935" s="4">
        <v>0</v>
      </c>
      <c r="K935" s="4">
        <v>0</v>
      </c>
      <c r="L935" s="4">
        <f>J935+K935</f>
        <v>0</v>
      </c>
      <c r="M935" s="4" t="s">
        <v>370</v>
      </c>
      <c r="N935" s="4"/>
      <c r="O935" s="4">
        <v>1</v>
      </c>
      <c r="P935" s="4" t="s">
        <v>43</v>
      </c>
      <c r="Q935" s="4" t="s">
        <v>44</v>
      </c>
      <c r="R935" s="7">
        <v>2000000</v>
      </c>
      <c r="S935" s="7">
        <v>0</v>
      </c>
      <c r="T935" s="7">
        <f>R935-S935</f>
        <v>0</v>
      </c>
      <c r="U935" s="7">
        <f>T935*O935</f>
        <v>0</v>
      </c>
    </row>
    <row r="936" spans="1:21">
      <c r="A936" s="4" t="s">
        <v>1372</v>
      </c>
      <c r="B936" s="4" t="s">
        <v>39</v>
      </c>
      <c r="C936" s="5">
        <v>45932.08313657407</v>
      </c>
      <c r="D936" s="5">
        <v>45932</v>
      </c>
      <c r="E936" s="6">
        <f>IF(AND(C936&lt;&gt;"",D936&lt;&gt;""),D936-C936,"")</f>
        <v>0</v>
      </c>
      <c r="F936" s="4" t="s">
        <v>1373</v>
      </c>
      <c r="G936" s="4" t="s">
        <v>1374</v>
      </c>
      <c r="H936" s="4" t="s">
        <v>32</v>
      </c>
      <c r="I936" s="4" t="s">
        <v>33</v>
      </c>
      <c r="J936" s="4">
        <v>0</v>
      </c>
      <c r="K936" s="4">
        <v>0</v>
      </c>
      <c r="L936" s="4">
        <f>J936+K936</f>
        <v>0</v>
      </c>
      <c r="M936" s="4" t="s">
        <v>370</v>
      </c>
      <c r="N936" s="4"/>
      <c r="O936" s="4">
        <v>1</v>
      </c>
      <c r="P936" s="4" t="s">
        <v>135</v>
      </c>
      <c r="Q936" s="4" t="s">
        <v>44</v>
      </c>
      <c r="R936" s="7">
        <v>2000000</v>
      </c>
      <c r="S936" s="7">
        <v>0</v>
      </c>
      <c r="T936" s="7">
        <f>R936-S936</f>
        <v>0</v>
      </c>
      <c r="U936" s="7">
        <f>T936*O936</f>
        <v>0</v>
      </c>
    </row>
    <row r="937" spans="1:21">
      <c r="A937" s="4" t="s">
        <v>1375</v>
      </c>
      <c r="B937" s="4" t="s">
        <v>39</v>
      </c>
      <c r="C937" s="5">
        <v>45932.13040509259</v>
      </c>
      <c r="D937" s="5">
        <v>45932</v>
      </c>
      <c r="E937" s="6">
        <f>IF(AND(C937&lt;&gt;"",D937&lt;&gt;""),D937-C937,"")</f>
        <v>0</v>
      </c>
      <c r="F937" s="4" t="s">
        <v>1376</v>
      </c>
      <c r="G937" s="4" t="s">
        <v>1377</v>
      </c>
      <c r="H937" s="4" t="s">
        <v>32</v>
      </c>
      <c r="I937" s="4" t="s">
        <v>33</v>
      </c>
      <c r="J937" s="4">
        <v>1</v>
      </c>
      <c r="K937" s="4">
        <v>0</v>
      </c>
      <c r="L937" s="4">
        <f>J937+K937</f>
        <v>0</v>
      </c>
      <c r="M937" s="4" t="s">
        <v>42</v>
      </c>
      <c r="N937" s="4"/>
      <c r="O937" s="4">
        <v>1</v>
      </c>
      <c r="P937" s="4" t="s">
        <v>135</v>
      </c>
      <c r="Q937" s="4"/>
      <c r="R937" s="7">
        <v>370000</v>
      </c>
      <c r="S937" s="7">
        <v>0</v>
      </c>
      <c r="T937" s="7">
        <f>R937-S937</f>
        <v>0</v>
      </c>
      <c r="U937" s="7">
        <f>T937*O937</f>
        <v>0</v>
      </c>
    </row>
    <row r="938" spans="1:21">
      <c r="A938" s="4" t="s">
        <v>1375</v>
      </c>
      <c r="B938" s="4" t="s">
        <v>39</v>
      </c>
      <c r="C938" s="5">
        <v>45932.13040509259</v>
      </c>
      <c r="D938" s="5">
        <v>45932</v>
      </c>
      <c r="E938" s="6">
        <f>IF(AND(C938&lt;&gt;"",D938&lt;&gt;""),D938-C938,"")</f>
        <v>0</v>
      </c>
      <c r="F938" s="4" t="s">
        <v>1376</v>
      </c>
      <c r="G938" s="4" t="s">
        <v>1377</v>
      </c>
      <c r="H938" s="4" t="s">
        <v>32</v>
      </c>
      <c r="I938" s="4" t="s">
        <v>33</v>
      </c>
      <c r="J938" s="4">
        <v>1</v>
      </c>
      <c r="K938" s="4">
        <v>0</v>
      </c>
      <c r="L938" s="4">
        <f>J938+K938</f>
        <v>0</v>
      </c>
      <c r="M938" s="4" t="s">
        <v>42</v>
      </c>
      <c r="N938" s="4"/>
      <c r="O938" s="4">
        <v>1</v>
      </c>
      <c r="P938" s="4" t="s">
        <v>135</v>
      </c>
      <c r="Q938" s="4"/>
      <c r="R938" s="7">
        <v>370000</v>
      </c>
      <c r="S938" s="7">
        <v>0</v>
      </c>
      <c r="T938" s="7">
        <f>R938-S938</f>
        <v>0</v>
      </c>
      <c r="U938" s="7">
        <f>T938*O938</f>
        <v>0</v>
      </c>
    </row>
    <row r="939" spans="1:21">
      <c r="A939" s="4" t="s">
        <v>1375</v>
      </c>
      <c r="B939" s="4" t="s">
        <v>39</v>
      </c>
      <c r="C939" s="5">
        <v>45932.13040509259</v>
      </c>
      <c r="D939" s="5">
        <v>45932</v>
      </c>
      <c r="E939" s="6">
        <f>IF(AND(C939&lt;&gt;"",D939&lt;&gt;""),D939-C939,"")</f>
        <v>0</v>
      </c>
      <c r="F939" s="4" t="s">
        <v>1376</v>
      </c>
      <c r="G939" s="4" t="s">
        <v>1377</v>
      </c>
      <c r="H939" s="4" t="s">
        <v>32</v>
      </c>
      <c r="I939" s="4" t="s">
        <v>33</v>
      </c>
      <c r="J939" s="4">
        <v>0</v>
      </c>
      <c r="K939" s="4">
        <v>0</v>
      </c>
      <c r="L939" s="4">
        <f>J939+K939</f>
        <v>0</v>
      </c>
      <c r="M939" s="4" t="s">
        <v>247</v>
      </c>
      <c r="N939" s="4"/>
      <c r="O939" s="4">
        <v>1</v>
      </c>
      <c r="P939" s="4" t="s">
        <v>135</v>
      </c>
      <c r="Q939" s="4"/>
      <c r="R939" s="7">
        <v>75000</v>
      </c>
      <c r="S939" s="7">
        <v>0</v>
      </c>
      <c r="T939" s="7">
        <f>R939-S939</f>
        <v>0</v>
      </c>
      <c r="U939" s="7">
        <f>T939*O939</f>
        <v>0</v>
      </c>
    </row>
    <row r="940" spans="1:21">
      <c r="A940" s="4" t="s">
        <v>1375</v>
      </c>
      <c r="B940" s="4" t="s">
        <v>39</v>
      </c>
      <c r="C940" s="5">
        <v>45932.13040509259</v>
      </c>
      <c r="D940" s="5">
        <v>45932</v>
      </c>
      <c r="E940" s="6">
        <f>IF(AND(C940&lt;&gt;"",D940&lt;&gt;""),D940-C940,"")</f>
        <v>0</v>
      </c>
      <c r="F940" s="4" t="s">
        <v>1376</v>
      </c>
      <c r="G940" s="4" t="s">
        <v>1377</v>
      </c>
      <c r="H940" s="4" t="s">
        <v>32</v>
      </c>
      <c r="I940" s="4" t="s">
        <v>33</v>
      </c>
      <c r="J940" s="4">
        <v>0</v>
      </c>
      <c r="K940" s="4">
        <v>0</v>
      </c>
      <c r="L940" s="4">
        <f>J940+K940</f>
        <v>0</v>
      </c>
      <c r="M940" s="4" t="s">
        <v>247</v>
      </c>
      <c r="N940" s="4"/>
      <c r="O940" s="4">
        <v>1</v>
      </c>
      <c r="P940" s="4" t="s">
        <v>135</v>
      </c>
      <c r="Q940" s="4"/>
      <c r="R940" s="7">
        <v>75000</v>
      </c>
      <c r="S940" s="7">
        <v>0</v>
      </c>
      <c r="T940" s="7">
        <f>R940-S940</f>
        <v>0</v>
      </c>
      <c r="U940" s="7">
        <f>T940*O940</f>
        <v>0</v>
      </c>
    </row>
    <row r="941" spans="1:21">
      <c r="A941" s="4" t="s">
        <v>1375</v>
      </c>
      <c r="B941" s="4" t="s">
        <v>39</v>
      </c>
      <c r="C941" s="5">
        <v>45932.13040509259</v>
      </c>
      <c r="D941" s="5">
        <v>45932</v>
      </c>
      <c r="E941" s="6">
        <f>IF(AND(C941&lt;&gt;"",D941&lt;&gt;""),D941-C941,"")</f>
        <v>0</v>
      </c>
      <c r="F941" s="4" t="s">
        <v>1376</v>
      </c>
      <c r="G941" s="4" t="s">
        <v>1377</v>
      </c>
      <c r="H941" s="4" t="s">
        <v>32</v>
      </c>
      <c r="I941" s="4" t="s">
        <v>33</v>
      </c>
      <c r="J941" s="4">
        <v>0</v>
      </c>
      <c r="K941" s="4">
        <v>0</v>
      </c>
      <c r="L941" s="4">
        <f>J941+K941</f>
        <v>0</v>
      </c>
      <c r="M941" s="4" t="s">
        <v>370</v>
      </c>
      <c r="N941" s="4"/>
      <c r="O941" s="4">
        <v>1</v>
      </c>
      <c r="P941" s="4" t="s">
        <v>135</v>
      </c>
      <c r="Q941" s="4"/>
      <c r="R941" s="7">
        <v>5000000</v>
      </c>
      <c r="S941" s="7">
        <v>0</v>
      </c>
      <c r="T941" s="7">
        <f>R941-S941</f>
        <v>0</v>
      </c>
      <c r="U941" s="7">
        <f>T941*O941</f>
        <v>0</v>
      </c>
    </row>
    <row r="942" spans="1:21">
      <c r="A942" s="4" t="s">
        <v>1378</v>
      </c>
      <c r="B942" s="4" t="s">
        <v>39</v>
      </c>
      <c r="C942" s="5">
        <v>45932.13799768518</v>
      </c>
      <c r="D942" s="5">
        <v>45932</v>
      </c>
      <c r="E942" s="6">
        <f>IF(AND(C942&lt;&gt;"",D942&lt;&gt;""),D942-C942,"")</f>
        <v>0</v>
      </c>
      <c r="F942" s="4" t="s">
        <v>162</v>
      </c>
      <c r="G942" s="4" t="s">
        <v>163</v>
      </c>
      <c r="H942" s="4" t="s">
        <v>32</v>
      </c>
      <c r="I942" s="4" t="s">
        <v>33</v>
      </c>
      <c r="J942" s="4">
        <v>1</v>
      </c>
      <c r="K942" s="4">
        <v>0</v>
      </c>
      <c r="L942" s="4">
        <f>J942+K942</f>
        <v>0</v>
      </c>
      <c r="M942" s="4" t="s">
        <v>42</v>
      </c>
      <c r="N942" s="4"/>
      <c r="O942" s="4">
        <v>1</v>
      </c>
      <c r="P942" s="4" t="s">
        <v>43</v>
      </c>
      <c r="Q942" s="4" t="s">
        <v>44</v>
      </c>
      <c r="R942" s="7">
        <v>370000</v>
      </c>
      <c r="S942" s="7">
        <v>0</v>
      </c>
      <c r="T942" s="7">
        <f>R942-S942</f>
        <v>0</v>
      </c>
      <c r="U942" s="7">
        <f>T942*O942</f>
        <v>0</v>
      </c>
    </row>
    <row r="943" spans="1:21">
      <c r="A943" s="4" t="s">
        <v>1379</v>
      </c>
      <c r="B943" s="4" t="s">
        <v>48</v>
      </c>
      <c r="C943" s="5">
        <v>45932.14517361111</v>
      </c>
      <c r="D943" s="5">
        <v>45961</v>
      </c>
      <c r="E943" s="6">
        <f>IF(AND(C943&lt;&gt;"",D943&lt;&gt;""),D943-C943,"")</f>
        <v>0</v>
      </c>
      <c r="F943" s="4" t="s">
        <v>1380</v>
      </c>
      <c r="G943" s="4" t="s">
        <v>1381</v>
      </c>
      <c r="H943" s="4" t="s">
        <v>32</v>
      </c>
      <c r="I943" s="4" t="s">
        <v>33</v>
      </c>
      <c r="J943" s="4">
        <v>6</v>
      </c>
      <c r="K943" s="4">
        <v>0</v>
      </c>
      <c r="L943" s="4">
        <f>J943+K943</f>
        <v>0</v>
      </c>
      <c r="M943" s="4"/>
      <c r="N943" s="4"/>
      <c r="O943" s="4">
        <v>0</v>
      </c>
      <c r="P943" s="4"/>
      <c r="Q943" s="4"/>
      <c r="R943" s="7">
        <v>0</v>
      </c>
      <c r="S943" s="7">
        <v>0</v>
      </c>
      <c r="T943" s="7">
        <f>R943-S943</f>
        <v>0</v>
      </c>
      <c r="U943" s="7">
        <f>T943*O943</f>
        <v>0</v>
      </c>
    </row>
    <row r="944" spans="1:21">
      <c r="A944" s="4" t="s">
        <v>1382</v>
      </c>
      <c r="B944" s="4" t="s">
        <v>39</v>
      </c>
      <c r="C944" s="5">
        <v>45932.17003472222</v>
      </c>
      <c r="D944" s="5">
        <v>45932</v>
      </c>
      <c r="E944" s="6">
        <f>IF(AND(C944&lt;&gt;"",D944&lt;&gt;""),D944-C944,"")</f>
        <v>0</v>
      </c>
      <c r="F944" s="4" t="s">
        <v>1383</v>
      </c>
      <c r="G944" s="4" t="s">
        <v>1384</v>
      </c>
      <c r="H944" s="4" t="s">
        <v>32</v>
      </c>
      <c r="I944" s="4" t="s">
        <v>33</v>
      </c>
      <c r="J944" s="4">
        <v>2</v>
      </c>
      <c r="K944" s="4">
        <v>0</v>
      </c>
      <c r="L944" s="4">
        <f>J944+K944</f>
        <v>0</v>
      </c>
      <c r="M944" s="4" t="s">
        <v>42</v>
      </c>
      <c r="N944" s="4"/>
      <c r="O944" s="4">
        <v>2</v>
      </c>
      <c r="P944" s="4" t="s">
        <v>135</v>
      </c>
      <c r="Q944" s="4" t="s">
        <v>44</v>
      </c>
      <c r="R944" s="7">
        <v>370000</v>
      </c>
      <c r="S944" s="7">
        <v>0</v>
      </c>
      <c r="T944" s="7">
        <f>R944-S944</f>
        <v>0</v>
      </c>
      <c r="U944" s="7">
        <f>T944*O944</f>
        <v>0</v>
      </c>
    </row>
    <row r="945" spans="1:21">
      <c r="A945" s="4" t="s">
        <v>1385</v>
      </c>
      <c r="B945" s="4"/>
      <c r="C945" s="5">
        <v>45932.18328703703</v>
      </c>
      <c r="D945" s="5">
        <v>45961</v>
      </c>
      <c r="E945" s="6">
        <f>IF(AND(C945&lt;&gt;"",D945&lt;&gt;""),D945-C945,"")</f>
        <v>0</v>
      </c>
      <c r="F945" s="4" t="s">
        <v>162</v>
      </c>
      <c r="G945" s="4" t="s">
        <v>163</v>
      </c>
      <c r="H945" s="4" t="s">
        <v>32</v>
      </c>
      <c r="I945" s="4" t="s">
        <v>33</v>
      </c>
      <c r="J945" s="4">
        <v>2</v>
      </c>
      <c r="K945" s="4">
        <v>0</v>
      </c>
      <c r="L945" s="4">
        <f>J945+K945</f>
        <v>0</v>
      </c>
      <c r="M945" s="4"/>
      <c r="N945" s="4"/>
      <c r="O945" s="4">
        <v>0</v>
      </c>
      <c r="P945" s="4"/>
      <c r="Q945" s="4"/>
      <c r="R945" s="7">
        <v>0</v>
      </c>
      <c r="S945" s="7">
        <v>0</v>
      </c>
      <c r="T945" s="7">
        <f>R945-S945</f>
        <v>0</v>
      </c>
      <c r="U945" s="7">
        <f>T945*O945</f>
        <v>0</v>
      </c>
    </row>
    <row r="946" spans="1:21">
      <c r="A946" s="4" t="s">
        <v>1386</v>
      </c>
      <c r="B946" s="4" t="s">
        <v>39</v>
      </c>
      <c r="C946" s="5">
        <v>45932.18584490741</v>
      </c>
      <c r="D946" s="5">
        <v>45932</v>
      </c>
      <c r="E946" s="6">
        <f>IF(AND(C946&lt;&gt;"",D946&lt;&gt;""),D946-C946,"")</f>
        <v>0</v>
      </c>
      <c r="F946" s="4" t="s">
        <v>1387</v>
      </c>
      <c r="G946" s="4" t="s">
        <v>1388</v>
      </c>
      <c r="H946" s="4" t="s">
        <v>32</v>
      </c>
      <c r="I946" s="4" t="s">
        <v>33</v>
      </c>
      <c r="J946" s="4">
        <v>0</v>
      </c>
      <c r="K946" s="4">
        <v>0</v>
      </c>
      <c r="L946" s="4">
        <f>J946+K946</f>
        <v>0</v>
      </c>
      <c r="M946" s="4" t="s">
        <v>370</v>
      </c>
      <c r="N946" s="4"/>
      <c r="O946" s="4">
        <v>1</v>
      </c>
      <c r="P946" s="4" t="s">
        <v>43</v>
      </c>
      <c r="Q946" s="4" t="s">
        <v>44</v>
      </c>
      <c r="R946" s="7">
        <v>500000</v>
      </c>
      <c r="S946" s="7">
        <v>0</v>
      </c>
      <c r="T946" s="7">
        <f>R946-S946</f>
        <v>0</v>
      </c>
      <c r="U946" s="7">
        <f>T946*O946</f>
        <v>0</v>
      </c>
    </row>
    <row r="947" spans="1:21">
      <c r="A947" s="4" t="s">
        <v>1386</v>
      </c>
      <c r="B947" s="4" t="s">
        <v>39</v>
      </c>
      <c r="C947" s="5">
        <v>45932.18584490741</v>
      </c>
      <c r="D947" s="5">
        <v>45932</v>
      </c>
      <c r="E947" s="6">
        <f>IF(AND(C947&lt;&gt;"",D947&lt;&gt;""),D947-C947,"")</f>
        <v>0</v>
      </c>
      <c r="F947" s="4" t="s">
        <v>1387</v>
      </c>
      <c r="G947" s="4" t="s">
        <v>1388</v>
      </c>
      <c r="H947" s="4" t="s">
        <v>32</v>
      </c>
      <c r="I947" s="4" t="s">
        <v>33</v>
      </c>
      <c r="J947" s="4">
        <v>1</v>
      </c>
      <c r="K947" s="4">
        <v>0</v>
      </c>
      <c r="L947" s="4">
        <f>J947+K947</f>
        <v>0</v>
      </c>
      <c r="M947" s="4" t="s">
        <v>968</v>
      </c>
      <c r="N947" s="4"/>
      <c r="O947" s="4">
        <v>1</v>
      </c>
      <c r="P947" s="4" t="s">
        <v>43</v>
      </c>
      <c r="Q947" s="4" t="s">
        <v>44</v>
      </c>
      <c r="R947" s="7">
        <v>1050000</v>
      </c>
      <c r="S947" s="7">
        <v>0</v>
      </c>
      <c r="T947" s="7">
        <f>R947-S947</f>
        <v>0</v>
      </c>
      <c r="U947" s="7">
        <f>T947*O947</f>
        <v>0</v>
      </c>
    </row>
    <row r="948" spans="1:21">
      <c r="A948" s="4" t="s">
        <v>1389</v>
      </c>
      <c r="B948" s="4" t="s">
        <v>39</v>
      </c>
      <c r="C948" s="5">
        <v>45932.19190972222</v>
      </c>
      <c r="D948" s="5">
        <v>45932</v>
      </c>
      <c r="E948" s="6">
        <f>IF(AND(C948&lt;&gt;"",D948&lt;&gt;""),D948-C948,"")</f>
        <v>0</v>
      </c>
      <c r="F948" s="4" t="s">
        <v>1343</v>
      </c>
      <c r="G948" s="4" t="s">
        <v>1390</v>
      </c>
      <c r="H948" s="4" t="s">
        <v>32</v>
      </c>
      <c r="I948" s="4" t="s">
        <v>33</v>
      </c>
      <c r="J948" s="4">
        <v>0</v>
      </c>
      <c r="K948" s="4">
        <v>0</v>
      </c>
      <c r="L948" s="4">
        <f>J948+K948</f>
        <v>0</v>
      </c>
      <c r="M948" s="4" t="s">
        <v>370</v>
      </c>
      <c r="N948" s="4"/>
      <c r="O948" s="4">
        <v>1</v>
      </c>
      <c r="P948" s="4" t="s">
        <v>135</v>
      </c>
      <c r="Q948" s="4"/>
      <c r="R948" s="7">
        <v>4500000</v>
      </c>
      <c r="S948" s="7">
        <v>0</v>
      </c>
      <c r="T948" s="7">
        <f>R948-S948</f>
        <v>0</v>
      </c>
      <c r="U948" s="7">
        <f>T948*O948</f>
        <v>0</v>
      </c>
    </row>
    <row r="949" spans="1:21">
      <c r="A949" s="4" t="s">
        <v>1389</v>
      </c>
      <c r="B949" s="4" t="s">
        <v>39</v>
      </c>
      <c r="C949" s="5">
        <v>45932.19190972222</v>
      </c>
      <c r="D949" s="5">
        <v>45932</v>
      </c>
      <c r="E949" s="6">
        <f>IF(AND(C949&lt;&gt;"",D949&lt;&gt;""),D949-C949,"")</f>
        <v>0</v>
      </c>
      <c r="F949" s="4" t="s">
        <v>1343</v>
      </c>
      <c r="G949" s="4" t="s">
        <v>1390</v>
      </c>
      <c r="H949" s="4" t="s">
        <v>32</v>
      </c>
      <c r="I949" s="4" t="s">
        <v>33</v>
      </c>
      <c r="J949" s="4">
        <v>1</v>
      </c>
      <c r="K949" s="4">
        <v>0</v>
      </c>
      <c r="L949" s="4">
        <f>J949+K949</f>
        <v>0</v>
      </c>
      <c r="M949" s="4" t="s">
        <v>42</v>
      </c>
      <c r="N949" s="4"/>
      <c r="O949" s="4">
        <v>1</v>
      </c>
      <c r="P949" s="4" t="s">
        <v>135</v>
      </c>
      <c r="Q949" s="4"/>
      <c r="R949" s="7">
        <v>370000</v>
      </c>
      <c r="S949" s="7">
        <v>0</v>
      </c>
      <c r="T949" s="7">
        <f>R949-S949</f>
        <v>0</v>
      </c>
      <c r="U949" s="7">
        <f>T949*O949</f>
        <v>0</v>
      </c>
    </row>
    <row r="950" spans="1:21">
      <c r="A950" s="4" t="s">
        <v>1389</v>
      </c>
      <c r="B950" s="4" t="s">
        <v>39</v>
      </c>
      <c r="C950" s="5">
        <v>45932.19190972222</v>
      </c>
      <c r="D950" s="5">
        <v>45932</v>
      </c>
      <c r="E950" s="6">
        <f>IF(AND(C950&lt;&gt;"",D950&lt;&gt;""),D950-C950,"")</f>
        <v>0</v>
      </c>
      <c r="F950" s="4" t="s">
        <v>1343</v>
      </c>
      <c r="G950" s="4" t="s">
        <v>1390</v>
      </c>
      <c r="H950" s="4" t="s">
        <v>32</v>
      </c>
      <c r="I950" s="4" t="s">
        <v>33</v>
      </c>
      <c r="J950" s="4">
        <v>1</v>
      </c>
      <c r="K950" s="4">
        <v>0</v>
      </c>
      <c r="L950" s="4">
        <f>J950+K950</f>
        <v>0</v>
      </c>
      <c r="M950" s="4" t="s">
        <v>42</v>
      </c>
      <c r="N950" s="4"/>
      <c r="O950" s="4">
        <v>1</v>
      </c>
      <c r="P950" s="4" t="s">
        <v>135</v>
      </c>
      <c r="Q950" s="4"/>
      <c r="R950" s="7">
        <v>370000</v>
      </c>
      <c r="S950" s="7">
        <v>0</v>
      </c>
      <c r="T950" s="7">
        <f>R950-S950</f>
        <v>0</v>
      </c>
      <c r="U950" s="7">
        <f>T950*O950</f>
        <v>0</v>
      </c>
    </row>
    <row r="951" spans="1:21">
      <c r="A951" s="4" t="s">
        <v>1391</v>
      </c>
      <c r="B951" s="4" t="s">
        <v>48</v>
      </c>
      <c r="C951" s="5">
        <v>45932.1944212963</v>
      </c>
      <c r="D951" s="5">
        <v>45961</v>
      </c>
      <c r="E951" s="6">
        <f>IF(AND(C951&lt;&gt;"",D951&lt;&gt;""),D951-C951,"")</f>
        <v>0</v>
      </c>
      <c r="F951" s="4" t="s">
        <v>1392</v>
      </c>
      <c r="G951" s="4" t="s">
        <v>1393</v>
      </c>
      <c r="H951" s="4" t="s">
        <v>32</v>
      </c>
      <c r="I951" s="4" t="s">
        <v>33</v>
      </c>
      <c r="J951" s="4">
        <v>6</v>
      </c>
      <c r="K951" s="4">
        <v>0</v>
      </c>
      <c r="L951" s="4">
        <f>J951+K951</f>
        <v>0</v>
      </c>
      <c r="M951" s="4"/>
      <c r="N951" s="4"/>
      <c r="O951" s="4">
        <v>0</v>
      </c>
      <c r="P951" s="4"/>
      <c r="Q951" s="4"/>
      <c r="R951" s="7">
        <v>0</v>
      </c>
      <c r="S951" s="7">
        <v>0</v>
      </c>
      <c r="T951" s="7">
        <f>R951-S951</f>
        <v>0</v>
      </c>
      <c r="U951" s="7">
        <f>T951*O951</f>
        <v>0</v>
      </c>
    </row>
    <row r="952" spans="1:21">
      <c r="A952" s="4" t="s">
        <v>1394</v>
      </c>
      <c r="B952" s="4"/>
      <c r="C952" s="5">
        <v>45932.24211805555</v>
      </c>
      <c r="D952" s="5">
        <v>45961</v>
      </c>
      <c r="E952" s="6">
        <f>IF(AND(C952&lt;&gt;"",D952&lt;&gt;""),D952-C952,"")</f>
        <v>0</v>
      </c>
      <c r="F952" s="4" t="s">
        <v>162</v>
      </c>
      <c r="G952" s="4" t="s">
        <v>163</v>
      </c>
      <c r="H952" s="4" t="s">
        <v>32</v>
      </c>
      <c r="I952" s="4" t="s">
        <v>33</v>
      </c>
      <c r="J952" s="4">
        <v>2</v>
      </c>
      <c r="K952" s="4">
        <v>0</v>
      </c>
      <c r="L952" s="4">
        <f>J952+K952</f>
        <v>0</v>
      </c>
      <c r="M952" s="4"/>
      <c r="N952" s="4"/>
      <c r="O952" s="4">
        <v>0</v>
      </c>
      <c r="P952" s="4"/>
      <c r="Q952" s="4"/>
      <c r="R952" s="7">
        <v>0</v>
      </c>
      <c r="S952" s="7">
        <v>0</v>
      </c>
      <c r="T952" s="7">
        <f>R952-S952</f>
        <v>0</v>
      </c>
      <c r="U952" s="7">
        <f>T952*O952</f>
        <v>0</v>
      </c>
    </row>
    <row r="953" spans="1:21">
      <c r="A953" s="4" t="s">
        <v>1395</v>
      </c>
      <c r="B953" s="4" t="s">
        <v>39</v>
      </c>
      <c r="C953" s="5">
        <v>45932.26695601852</v>
      </c>
      <c r="D953" s="5">
        <v>45932</v>
      </c>
      <c r="E953" s="6">
        <f>IF(AND(C953&lt;&gt;"",D953&lt;&gt;""),D953-C953,"")</f>
        <v>0</v>
      </c>
      <c r="F953" s="4" t="s">
        <v>1396</v>
      </c>
      <c r="G953" s="4" t="s">
        <v>1397</v>
      </c>
      <c r="H953" s="4" t="s">
        <v>190</v>
      </c>
      <c r="I953" s="4" t="s">
        <v>56</v>
      </c>
      <c r="J953" s="4">
        <v>2</v>
      </c>
      <c r="K953" s="4">
        <v>0</v>
      </c>
      <c r="L953" s="4">
        <f>J953+K953</f>
        <v>0</v>
      </c>
      <c r="M953" s="4" t="s">
        <v>80</v>
      </c>
      <c r="N953" s="4"/>
      <c r="O953" s="4">
        <v>2</v>
      </c>
      <c r="P953" s="4" t="s">
        <v>43</v>
      </c>
      <c r="Q953" s="4" t="s">
        <v>44</v>
      </c>
      <c r="R953" s="7">
        <v>610000</v>
      </c>
      <c r="S953" s="7">
        <v>0</v>
      </c>
      <c r="T953" s="7">
        <f>R953-S953</f>
        <v>0</v>
      </c>
      <c r="U953" s="7">
        <f>T953*O953</f>
        <v>0</v>
      </c>
    </row>
    <row r="954" spans="1:21">
      <c r="A954" s="4" t="s">
        <v>1395</v>
      </c>
      <c r="B954" s="4" t="s">
        <v>39</v>
      </c>
      <c r="C954" s="5">
        <v>45932.26695601852</v>
      </c>
      <c r="D954" s="5">
        <v>45932</v>
      </c>
      <c r="E954" s="6">
        <f>IF(AND(C954&lt;&gt;"",D954&lt;&gt;""),D954-C954,"")</f>
        <v>0</v>
      </c>
      <c r="F954" s="4" t="s">
        <v>1396</v>
      </c>
      <c r="G954" s="4" t="s">
        <v>1397</v>
      </c>
      <c r="H954" s="4" t="s">
        <v>190</v>
      </c>
      <c r="I954" s="4" t="s">
        <v>56</v>
      </c>
      <c r="J954" s="4">
        <v>0</v>
      </c>
      <c r="K954" s="4">
        <v>0</v>
      </c>
      <c r="L954" s="4">
        <f>J954+K954</f>
        <v>0</v>
      </c>
      <c r="M954" s="4" t="s">
        <v>370</v>
      </c>
      <c r="N954" s="4"/>
      <c r="O954" s="4">
        <v>1</v>
      </c>
      <c r="P954" s="4" t="s">
        <v>43</v>
      </c>
      <c r="Q954" s="4" t="s">
        <v>44</v>
      </c>
      <c r="R954" s="7">
        <v>2000000</v>
      </c>
      <c r="S954" s="7">
        <v>0</v>
      </c>
      <c r="T954" s="7">
        <f>R954-S954</f>
        <v>0</v>
      </c>
      <c r="U954" s="7">
        <f>T954*O954</f>
        <v>0</v>
      </c>
    </row>
    <row r="955" spans="1:21">
      <c r="A955" s="4" t="s">
        <v>1398</v>
      </c>
      <c r="B955" s="4" t="s">
        <v>29</v>
      </c>
      <c r="C955" s="5">
        <v>45932.27717592593</v>
      </c>
      <c r="D955" s="5">
        <v>45961</v>
      </c>
      <c r="E955" s="6">
        <f>IF(AND(C955&lt;&gt;"",D955&lt;&gt;""),D955-C955,"")</f>
        <v>0</v>
      </c>
      <c r="F955" s="4" t="s">
        <v>1399</v>
      </c>
      <c r="G955" s="4" t="s">
        <v>202</v>
      </c>
      <c r="H955" s="4" t="s">
        <v>32</v>
      </c>
      <c r="I955" s="4" t="s">
        <v>33</v>
      </c>
      <c r="J955" s="4">
        <v>2</v>
      </c>
      <c r="K955" s="4">
        <v>0</v>
      </c>
      <c r="L955" s="4">
        <f>J955+K955</f>
        <v>0</v>
      </c>
      <c r="M955" s="4"/>
      <c r="N955" s="4"/>
      <c r="O955" s="4">
        <v>0</v>
      </c>
      <c r="P955" s="4"/>
      <c r="Q955" s="4"/>
      <c r="R955" s="7">
        <v>0</v>
      </c>
      <c r="S955" s="7">
        <v>0</v>
      </c>
      <c r="T955" s="7">
        <f>R955-S955</f>
        <v>0</v>
      </c>
      <c r="U955" s="7">
        <f>T955*O955</f>
        <v>0</v>
      </c>
    </row>
    <row r="956" spans="1:21">
      <c r="A956" s="4" t="s">
        <v>1400</v>
      </c>
      <c r="B956" s="4" t="s">
        <v>39</v>
      </c>
      <c r="C956" s="5">
        <v>45932.28787037037</v>
      </c>
      <c r="D956" s="5">
        <v>45932</v>
      </c>
      <c r="E956" s="6">
        <f>IF(AND(C956&lt;&gt;"",D956&lt;&gt;""),D956-C956,"")</f>
        <v>0</v>
      </c>
      <c r="F956" s="4" t="s">
        <v>1401</v>
      </c>
      <c r="G956" s="4" t="s">
        <v>1402</v>
      </c>
      <c r="H956" s="4" t="s">
        <v>32</v>
      </c>
      <c r="I956" s="4" t="s">
        <v>33</v>
      </c>
      <c r="J956" s="4">
        <v>0</v>
      </c>
      <c r="K956" s="4">
        <v>0</v>
      </c>
      <c r="L956" s="4">
        <f>J956+K956</f>
        <v>0</v>
      </c>
      <c r="M956" s="4" t="s">
        <v>370</v>
      </c>
      <c r="N956" s="4"/>
      <c r="O956" s="4">
        <v>1</v>
      </c>
      <c r="P956" s="4" t="s">
        <v>135</v>
      </c>
      <c r="Q956" s="4"/>
      <c r="R956" s="7">
        <v>10000</v>
      </c>
      <c r="S956" s="7">
        <v>0</v>
      </c>
      <c r="T956" s="7">
        <f>R956-S956</f>
        <v>0</v>
      </c>
      <c r="U956" s="7">
        <f>T956*O956</f>
        <v>0</v>
      </c>
    </row>
    <row r="957" spans="1:21">
      <c r="A957" s="4" t="s">
        <v>1400</v>
      </c>
      <c r="B957" s="4" t="s">
        <v>39</v>
      </c>
      <c r="C957" s="5">
        <v>45932.28787037037</v>
      </c>
      <c r="D957" s="5">
        <v>45932</v>
      </c>
      <c r="E957" s="6">
        <f>IF(AND(C957&lt;&gt;"",D957&lt;&gt;""),D957-C957,"")</f>
        <v>0</v>
      </c>
      <c r="F957" s="4" t="s">
        <v>1401</v>
      </c>
      <c r="G957" s="4" t="s">
        <v>1402</v>
      </c>
      <c r="H957" s="4" t="s">
        <v>32</v>
      </c>
      <c r="I957" s="4" t="s">
        <v>33</v>
      </c>
      <c r="J957" s="4">
        <v>0</v>
      </c>
      <c r="K957" s="4">
        <v>0</v>
      </c>
      <c r="L957" s="4">
        <f>J957+K957</f>
        <v>0</v>
      </c>
      <c r="M957" s="4" t="s">
        <v>247</v>
      </c>
      <c r="N957" s="4"/>
      <c r="O957" s="4">
        <v>1</v>
      </c>
      <c r="P957" s="4" t="s">
        <v>135</v>
      </c>
      <c r="Q957" s="4"/>
      <c r="R957" s="7">
        <v>20000</v>
      </c>
      <c r="S957" s="7">
        <v>0</v>
      </c>
      <c r="T957" s="7">
        <f>R957-S957</f>
        <v>0</v>
      </c>
      <c r="U957" s="7">
        <f>T957*O957</f>
        <v>0</v>
      </c>
    </row>
    <row r="958" spans="1:21">
      <c r="A958" s="4" t="s">
        <v>1403</v>
      </c>
      <c r="B958" s="4" t="s">
        <v>39</v>
      </c>
      <c r="C958" s="5">
        <v>45932.29209490741</v>
      </c>
      <c r="D958" s="5">
        <v>45932</v>
      </c>
      <c r="E958" s="6">
        <f>IF(AND(C958&lt;&gt;"",D958&lt;&gt;""),D958-C958,"")</f>
        <v>0</v>
      </c>
      <c r="F958" s="4" t="s">
        <v>1404</v>
      </c>
      <c r="G958" s="4" t="s">
        <v>1405</v>
      </c>
      <c r="H958" s="4" t="s">
        <v>32</v>
      </c>
      <c r="I958" s="4" t="s">
        <v>33</v>
      </c>
      <c r="J958" s="4">
        <v>0</v>
      </c>
      <c r="K958" s="4">
        <v>0</v>
      </c>
      <c r="L958" s="4">
        <f>J958+K958</f>
        <v>0</v>
      </c>
      <c r="M958" s="4" t="s">
        <v>370</v>
      </c>
      <c r="N958" s="4"/>
      <c r="O958" s="4">
        <v>1</v>
      </c>
      <c r="P958" s="4" t="s">
        <v>135</v>
      </c>
      <c r="Q958" s="4"/>
      <c r="R958" s="7">
        <v>500000</v>
      </c>
      <c r="S958" s="7">
        <v>0</v>
      </c>
      <c r="T958" s="7">
        <f>R958-S958</f>
        <v>0</v>
      </c>
      <c r="U958" s="7">
        <f>T958*O958</f>
        <v>0</v>
      </c>
    </row>
    <row r="959" spans="1:21">
      <c r="A959" s="4" t="s">
        <v>1406</v>
      </c>
      <c r="B959" s="4" t="s">
        <v>122</v>
      </c>
      <c r="C959" s="5">
        <v>45932.29383101852</v>
      </c>
      <c r="D959" s="5">
        <v>45961</v>
      </c>
      <c r="E959" s="6">
        <f>IF(AND(C959&lt;&gt;"",D959&lt;&gt;""),D959-C959,"")</f>
        <v>0</v>
      </c>
      <c r="F959" s="4" t="s">
        <v>1407</v>
      </c>
      <c r="G959" s="4" t="s">
        <v>1408</v>
      </c>
      <c r="H959" s="4" t="s">
        <v>32</v>
      </c>
      <c r="I959" s="4" t="s">
        <v>33</v>
      </c>
      <c r="J959" s="4">
        <v>200</v>
      </c>
      <c r="K959" s="4">
        <v>0</v>
      </c>
      <c r="L959" s="4">
        <f>J959+K959</f>
        <v>0</v>
      </c>
      <c r="M959" s="4"/>
      <c r="N959" s="4"/>
      <c r="O959" s="4">
        <v>0</v>
      </c>
      <c r="P959" s="4"/>
      <c r="Q959" s="4"/>
      <c r="R959" s="7">
        <v>0</v>
      </c>
      <c r="S959" s="7">
        <v>0</v>
      </c>
      <c r="T959" s="7">
        <f>R959-S959</f>
        <v>0</v>
      </c>
      <c r="U959" s="7">
        <f>T959*O959</f>
        <v>0</v>
      </c>
    </row>
    <row r="960" spans="1:21">
      <c r="A960" s="4" t="s">
        <v>1409</v>
      </c>
      <c r="B960" s="4" t="s">
        <v>39</v>
      </c>
      <c r="C960" s="5">
        <v>45932.30765046296</v>
      </c>
      <c r="D960" s="5">
        <v>45932</v>
      </c>
      <c r="E960" s="6">
        <f>IF(AND(C960&lt;&gt;"",D960&lt;&gt;""),D960-C960,"")</f>
        <v>0</v>
      </c>
      <c r="F960" s="4" t="s">
        <v>1410</v>
      </c>
      <c r="G960" s="4" t="s">
        <v>1411</v>
      </c>
      <c r="H960" s="4" t="s">
        <v>190</v>
      </c>
      <c r="I960" s="4" t="s">
        <v>56</v>
      </c>
      <c r="J960" s="4">
        <v>0</v>
      </c>
      <c r="K960" s="4">
        <v>0</v>
      </c>
      <c r="L960" s="4">
        <f>J960+K960</f>
        <v>0</v>
      </c>
      <c r="M960" s="4" t="s">
        <v>370</v>
      </c>
      <c r="N960" s="4"/>
      <c r="O960" s="4">
        <v>1</v>
      </c>
      <c r="P960" s="4" t="s">
        <v>43</v>
      </c>
      <c r="Q960" s="4" t="s">
        <v>44</v>
      </c>
      <c r="R960" s="7">
        <v>500000</v>
      </c>
      <c r="S960" s="7">
        <v>0</v>
      </c>
      <c r="T960" s="7">
        <f>R960-S960</f>
        <v>0</v>
      </c>
      <c r="U960" s="7">
        <f>T960*O960</f>
        <v>0</v>
      </c>
    </row>
    <row r="961" spans="1:21">
      <c r="A961" s="4" t="s">
        <v>1412</v>
      </c>
      <c r="B961" s="4" t="s">
        <v>122</v>
      </c>
      <c r="C961" s="5">
        <v>45932.32162037037</v>
      </c>
      <c r="D961" s="5">
        <v>45961</v>
      </c>
      <c r="E961" s="6">
        <f>IF(AND(C961&lt;&gt;"",D961&lt;&gt;""),D961-C961,"")</f>
        <v>0</v>
      </c>
      <c r="F961" s="4" t="s">
        <v>1413</v>
      </c>
      <c r="G961" s="4" t="s">
        <v>1408</v>
      </c>
      <c r="H961" s="4" t="s">
        <v>32</v>
      </c>
      <c r="I961" s="4" t="s">
        <v>33</v>
      </c>
      <c r="J961" s="4">
        <v>0</v>
      </c>
      <c r="K961" s="4">
        <v>0</v>
      </c>
      <c r="L961" s="4">
        <f>J961+K961</f>
        <v>0</v>
      </c>
      <c r="M961" s="4"/>
      <c r="N961" s="4"/>
      <c r="O961" s="4">
        <v>0</v>
      </c>
      <c r="P961" s="4"/>
      <c r="Q961" s="4"/>
      <c r="R961" s="7">
        <v>0</v>
      </c>
      <c r="S961" s="7">
        <v>0</v>
      </c>
      <c r="T961" s="7">
        <f>R961-S961</f>
        <v>0</v>
      </c>
      <c r="U961" s="7">
        <f>T961*O961</f>
        <v>0</v>
      </c>
    </row>
    <row r="962" spans="1:21">
      <c r="A962" s="4" t="s">
        <v>1414</v>
      </c>
      <c r="B962" s="4" t="s">
        <v>48</v>
      </c>
      <c r="C962" s="5">
        <v>45932.33315972222</v>
      </c>
      <c r="D962" s="5">
        <v>45961</v>
      </c>
      <c r="E962" s="6">
        <f>IF(AND(C962&lt;&gt;"",D962&lt;&gt;""),D962-C962,"")</f>
        <v>0</v>
      </c>
      <c r="F962" s="4" t="s">
        <v>1415</v>
      </c>
      <c r="G962" s="4" t="s">
        <v>1416</v>
      </c>
      <c r="H962" s="4" t="s">
        <v>32</v>
      </c>
      <c r="I962" s="4" t="s">
        <v>33</v>
      </c>
      <c r="J962" s="4">
        <v>1</v>
      </c>
      <c r="K962" s="4">
        <v>0</v>
      </c>
      <c r="L962" s="4">
        <f>J962+K962</f>
        <v>0</v>
      </c>
      <c r="M962" s="4"/>
      <c r="N962" s="4"/>
      <c r="O962" s="4">
        <v>0</v>
      </c>
      <c r="P962" s="4"/>
      <c r="Q962" s="4"/>
      <c r="R962" s="7">
        <v>0</v>
      </c>
      <c r="S962" s="7">
        <v>0</v>
      </c>
      <c r="T962" s="7">
        <f>R962-S962</f>
        <v>0</v>
      </c>
      <c r="U962" s="7">
        <f>T962*O962</f>
        <v>0</v>
      </c>
    </row>
    <row r="963" spans="1:21">
      <c r="A963" s="4" t="s">
        <v>1417</v>
      </c>
      <c r="B963" s="4" t="s">
        <v>122</v>
      </c>
      <c r="C963" s="5">
        <v>45932.33775462963</v>
      </c>
      <c r="D963" s="5">
        <v>45961</v>
      </c>
      <c r="E963" s="6">
        <f>IF(AND(C963&lt;&gt;"",D963&lt;&gt;""),D963-C963,"")</f>
        <v>0</v>
      </c>
      <c r="F963" s="4" t="s">
        <v>1413</v>
      </c>
      <c r="G963" s="4" t="s">
        <v>1408</v>
      </c>
      <c r="H963" s="4" t="s">
        <v>32</v>
      </c>
      <c r="I963" s="4" t="s">
        <v>33</v>
      </c>
      <c r="J963" s="4">
        <v>0</v>
      </c>
      <c r="K963" s="4">
        <v>0</v>
      </c>
      <c r="L963" s="4">
        <f>J963+K963</f>
        <v>0</v>
      </c>
      <c r="M963" s="4"/>
      <c r="N963" s="4"/>
      <c r="O963" s="4">
        <v>0</v>
      </c>
      <c r="P963" s="4"/>
      <c r="Q963" s="4"/>
      <c r="R963" s="7">
        <v>0</v>
      </c>
      <c r="S963" s="7">
        <v>0</v>
      </c>
      <c r="T963" s="7">
        <f>R963-S963</f>
        <v>0</v>
      </c>
      <c r="U963" s="7">
        <f>T963*O963</f>
        <v>0</v>
      </c>
    </row>
    <row r="964" spans="1:21">
      <c r="A964" s="4" t="s">
        <v>1418</v>
      </c>
      <c r="B964" s="4" t="s">
        <v>39</v>
      </c>
      <c r="C964" s="5">
        <v>45932.34288194445</v>
      </c>
      <c r="D964" s="5">
        <v>45932</v>
      </c>
      <c r="E964" s="6">
        <f>IF(AND(C964&lt;&gt;"",D964&lt;&gt;""),D964-C964,"")</f>
        <v>0</v>
      </c>
      <c r="F964" s="4" t="s">
        <v>918</v>
      </c>
      <c r="G964" s="4" t="s">
        <v>919</v>
      </c>
      <c r="H964" s="4"/>
      <c r="I964" s="4" t="s">
        <v>56</v>
      </c>
      <c r="J964" s="4">
        <v>0</v>
      </c>
      <c r="K964" s="4">
        <v>0</v>
      </c>
      <c r="L964" s="4">
        <f>J964+K964</f>
        <v>0</v>
      </c>
      <c r="M964" s="4" t="s">
        <v>1419</v>
      </c>
      <c r="N964" s="4"/>
      <c r="O964" s="4">
        <v>1</v>
      </c>
      <c r="P964" s="4" t="s">
        <v>43</v>
      </c>
      <c r="Q964" s="4"/>
      <c r="R964" s="7">
        <v>160000</v>
      </c>
      <c r="S964" s="7">
        <v>0</v>
      </c>
      <c r="T964" s="7">
        <f>R964-S964</f>
        <v>0</v>
      </c>
      <c r="U964" s="7">
        <f>T964*O964</f>
        <v>0</v>
      </c>
    </row>
    <row r="965" spans="1:21">
      <c r="A965" s="4" t="s">
        <v>1418</v>
      </c>
      <c r="B965" s="4" t="s">
        <v>39</v>
      </c>
      <c r="C965" s="5">
        <v>45932.34288194445</v>
      </c>
      <c r="D965" s="5">
        <v>45932</v>
      </c>
      <c r="E965" s="6">
        <f>IF(AND(C965&lt;&gt;"",D965&lt;&gt;""),D965-C965,"")</f>
        <v>0</v>
      </c>
      <c r="F965" s="4" t="s">
        <v>918</v>
      </c>
      <c r="G965" s="4" t="s">
        <v>919</v>
      </c>
      <c r="H965" s="4"/>
      <c r="I965" s="4" t="s">
        <v>56</v>
      </c>
      <c r="J965" s="4">
        <v>0</v>
      </c>
      <c r="K965" s="4">
        <v>0</v>
      </c>
      <c r="L965" s="4">
        <f>J965+K965</f>
        <v>0</v>
      </c>
      <c r="M965" s="4" t="s">
        <v>1420</v>
      </c>
      <c r="N965" s="4"/>
      <c r="O965" s="4">
        <v>1</v>
      </c>
      <c r="P965" s="4" t="s">
        <v>43</v>
      </c>
      <c r="Q965" s="4"/>
      <c r="R965" s="7">
        <v>108000</v>
      </c>
      <c r="S965" s="7">
        <v>0</v>
      </c>
      <c r="T965" s="7">
        <f>R965-S965</f>
        <v>0</v>
      </c>
      <c r="U965" s="7">
        <f>T965*O965</f>
        <v>0</v>
      </c>
    </row>
    <row r="966" spans="1:21">
      <c r="A966" s="4" t="s">
        <v>1418</v>
      </c>
      <c r="B966" s="4" t="s">
        <v>39</v>
      </c>
      <c r="C966" s="5">
        <v>45932.34288194445</v>
      </c>
      <c r="D966" s="5">
        <v>45932</v>
      </c>
      <c r="E966" s="6">
        <f>IF(AND(C966&lt;&gt;"",D966&lt;&gt;""),D966-C966,"")</f>
        <v>0</v>
      </c>
      <c r="F966" s="4" t="s">
        <v>918</v>
      </c>
      <c r="G966" s="4" t="s">
        <v>919</v>
      </c>
      <c r="H966" s="4"/>
      <c r="I966" s="4" t="s">
        <v>56</v>
      </c>
      <c r="J966" s="4">
        <v>1</v>
      </c>
      <c r="K966" s="4">
        <v>0</v>
      </c>
      <c r="L966" s="4">
        <f>J966+K966</f>
        <v>0</v>
      </c>
      <c r="M966" s="4" t="s">
        <v>921</v>
      </c>
      <c r="N966" s="4" t="s">
        <v>1421</v>
      </c>
      <c r="O966" s="4">
        <v>1</v>
      </c>
      <c r="P966" s="4" t="s">
        <v>43</v>
      </c>
      <c r="Q966" s="4"/>
      <c r="R966" s="7">
        <v>-134000</v>
      </c>
      <c r="S966" s="7">
        <v>0</v>
      </c>
      <c r="T966" s="7">
        <f>R966-S966</f>
        <v>0</v>
      </c>
      <c r="U966" s="7">
        <f>T966*O966</f>
        <v>0</v>
      </c>
    </row>
    <row r="967" spans="1:21">
      <c r="A967" s="4" t="s">
        <v>1422</v>
      </c>
      <c r="B967" s="4" t="s">
        <v>122</v>
      </c>
      <c r="C967" s="5">
        <v>45932.34393518518</v>
      </c>
      <c r="D967" s="5">
        <v>45961</v>
      </c>
      <c r="E967" s="6">
        <f>IF(AND(C967&lt;&gt;"",D967&lt;&gt;""),D967-C967,"")</f>
        <v>0</v>
      </c>
      <c r="F967" s="4" t="s">
        <v>30</v>
      </c>
      <c r="G967" s="4" t="s">
        <v>31</v>
      </c>
      <c r="H967" s="4" t="s">
        <v>32</v>
      </c>
      <c r="I967" s="4" t="s">
        <v>33</v>
      </c>
      <c r="J967" s="4">
        <v>3</v>
      </c>
      <c r="K967" s="4">
        <v>0</v>
      </c>
      <c r="L967" s="4">
        <f>J967+K967</f>
        <v>0</v>
      </c>
      <c r="M967" s="4"/>
      <c r="N967" s="4"/>
      <c r="O967" s="4">
        <v>0</v>
      </c>
      <c r="P967" s="4"/>
      <c r="Q967" s="4"/>
      <c r="R967" s="7">
        <v>0</v>
      </c>
      <c r="S967" s="7">
        <v>0</v>
      </c>
      <c r="T967" s="7">
        <f>R967-S967</f>
        <v>0</v>
      </c>
      <c r="U967" s="7">
        <f>T967*O967</f>
        <v>0</v>
      </c>
    </row>
    <row r="968" spans="1:21">
      <c r="A968" s="4" t="s">
        <v>1423</v>
      </c>
      <c r="B968" s="4" t="s">
        <v>122</v>
      </c>
      <c r="C968" s="5">
        <v>45932.3471875</v>
      </c>
      <c r="D968" s="5">
        <v>45961</v>
      </c>
      <c r="E968" s="6">
        <f>IF(AND(C968&lt;&gt;"",D968&lt;&gt;""),D968-C968,"")</f>
        <v>0</v>
      </c>
      <c r="F968" s="4" t="s">
        <v>1413</v>
      </c>
      <c r="G968" s="4" t="s">
        <v>1408</v>
      </c>
      <c r="H968" s="4" t="s">
        <v>32</v>
      </c>
      <c r="I968" s="4" t="s">
        <v>33</v>
      </c>
      <c r="J968" s="4">
        <v>0</v>
      </c>
      <c r="K968" s="4">
        <v>0</v>
      </c>
      <c r="L968" s="4">
        <f>J968+K968</f>
        <v>0</v>
      </c>
      <c r="M968" s="4"/>
      <c r="N968" s="4"/>
      <c r="O968" s="4">
        <v>0</v>
      </c>
      <c r="P968" s="4"/>
      <c r="Q968" s="4"/>
      <c r="R968" s="7">
        <v>0</v>
      </c>
      <c r="S968" s="7">
        <v>0</v>
      </c>
      <c r="T968" s="7">
        <f>R968-S968</f>
        <v>0</v>
      </c>
      <c r="U968" s="7">
        <f>T968*O968</f>
        <v>0</v>
      </c>
    </row>
    <row r="969" spans="1:21">
      <c r="A969" s="4" t="s">
        <v>1423</v>
      </c>
      <c r="B969" s="4" t="s">
        <v>122</v>
      </c>
      <c r="C969" s="5">
        <v>45932.3471875</v>
      </c>
      <c r="D969" s="5">
        <v>45961</v>
      </c>
      <c r="E969" s="6">
        <f>IF(AND(C969&lt;&gt;"",D969&lt;&gt;""),D969-C969,"")</f>
        <v>0</v>
      </c>
      <c r="F969" s="4" t="s">
        <v>1413</v>
      </c>
      <c r="G969" s="4" t="s">
        <v>1408</v>
      </c>
      <c r="H969" s="4" t="s">
        <v>32</v>
      </c>
      <c r="I969" s="4" t="s">
        <v>33</v>
      </c>
      <c r="J969" s="4">
        <v>0</v>
      </c>
      <c r="K969" s="4">
        <v>0</v>
      </c>
      <c r="L969" s="4">
        <f>J969+K969</f>
        <v>0</v>
      </c>
      <c r="M969" s="4"/>
      <c r="N969" s="4"/>
      <c r="O969" s="4">
        <v>0</v>
      </c>
      <c r="P969" s="4"/>
      <c r="Q969" s="4"/>
      <c r="R969" s="7">
        <v>0</v>
      </c>
      <c r="S969" s="7">
        <v>0</v>
      </c>
      <c r="T969" s="7">
        <f>R969-S969</f>
        <v>0</v>
      </c>
      <c r="U969" s="7">
        <f>T969*O969</f>
        <v>0</v>
      </c>
    </row>
    <row r="970" spans="1:21">
      <c r="A970" s="4" t="s">
        <v>1423</v>
      </c>
      <c r="B970" s="4" t="s">
        <v>122</v>
      </c>
      <c r="C970" s="5">
        <v>45932.34719907407</v>
      </c>
      <c r="D970" s="5">
        <v>45961</v>
      </c>
      <c r="E970" s="6">
        <f>IF(AND(C970&lt;&gt;"",D970&lt;&gt;""),D970-C970,"")</f>
        <v>0</v>
      </c>
      <c r="F970" s="4" t="s">
        <v>1413</v>
      </c>
      <c r="G970" s="4" t="s">
        <v>1408</v>
      </c>
      <c r="H970" s="4" t="s">
        <v>32</v>
      </c>
      <c r="I970" s="4" t="s">
        <v>33</v>
      </c>
      <c r="J970" s="4">
        <v>0</v>
      </c>
      <c r="K970" s="4">
        <v>0</v>
      </c>
      <c r="L970" s="4">
        <f>J970+K970</f>
        <v>0</v>
      </c>
      <c r="M970" s="4"/>
      <c r="N970" s="4"/>
      <c r="O970" s="4">
        <v>0</v>
      </c>
      <c r="P970" s="4"/>
      <c r="Q970" s="4"/>
      <c r="R970" s="7">
        <v>0</v>
      </c>
      <c r="S970" s="7">
        <v>0</v>
      </c>
      <c r="T970" s="7">
        <f>R970-S970</f>
        <v>0</v>
      </c>
      <c r="U970" s="7">
        <f>T970*O970</f>
        <v>0</v>
      </c>
    </row>
    <row r="971" spans="1:21">
      <c r="A971" s="4" t="s">
        <v>1424</v>
      </c>
      <c r="B971" s="4" t="s">
        <v>122</v>
      </c>
      <c r="C971" s="5">
        <v>45932.34719907407</v>
      </c>
      <c r="D971" s="5">
        <v>45961</v>
      </c>
      <c r="E971" s="6">
        <f>IF(AND(C971&lt;&gt;"",D971&lt;&gt;""),D971-C971,"")</f>
        <v>0</v>
      </c>
      <c r="F971" s="4" t="s">
        <v>1413</v>
      </c>
      <c r="G971" s="4" t="s">
        <v>1408</v>
      </c>
      <c r="H971" s="4" t="s">
        <v>32</v>
      </c>
      <c r="I971" s="4" t="s">
        <v>33</v>
      </c>
      <c r="J971" s="4">
        <v>0</v>
      </c>
      <c r="K971" s="4">
        <v>0</v>
      </c>
      <c r="L971" s="4">
        <f>J971+K971</f>
        <v>0</v>
      </c>
      <c r="M971" s="4"/>
      <c r="N971" s="4"/>
      <c r="O971" s="4">
        <v>0</v>
      </c>
      <c r="P971" s="4"/>
      <c r="Q971" s="4"/>
      <c r="R971" s="7">
        <v>0</v>
      </c>
      <c r="S971" s="7">
        <v>0</v>
      </c>
      <c r="T971" s="7">
        <f>R971-S971</f>
        <v>0</v>
      </c>
      <c r="U971" s="7">
        <f>T971*O971</f>
        <v>0</v>
      </c>
    </row>
    <row r="972" spans="1:21">
      <c r="A972" s="4" t="s">
        <v>1424</v>
      </c>
      <c r="B972" s="4" t="s">
        <v>122</v>
      </c>
      <c r="C972" s="5">
        <v>45932.34719907407</v>
      </c>
      <c r="D972" s="5">
        <v>45961</v>
      </c>
      <c r="E972" s="6">
        <f>IF(AND(C972&lt;&gt;"",D972&lt;&gt;""),D972-C972,"")</f>
        <v>0</v>
      </c>
      <c r="F972" s="4" t="s">
        <v>1413</v>
      </c>
      <c r="G972" s="4" t="s">
        <v>1408</v>
      </c>
      <c r="H972" s="4" t="s">
        <v>32</v>
      </c>
      <c r="I972" s="4" t="s">
        <v>33</v>
      </c>
      <c r="J972" s="4">
        <v>0</v>
      </c>
      <c r="K972" s="4">
        <v>0</v>
      </c>
      <c r="L972" s="4">
        <f>J972+K972</f>
        <v>0</v>
      </c>
      <c r="M972" s="4"/>
      <c r="N972" s="4"/>
      <c r="O972" s="4">
        <v>0</v>
      </c>
      <c r="P972" s="4"/>
      <c r="Q972" s="4"/>
      <c r="R972" s="7">
        <v>0</v>
      </c>
      <c r="S972" s="7">
        <v>0</v>
      </c>
      <c r="T972" s="7">
        <f>R972-S972</f>
        <v>0</v>
      </c>
      <c r="U972" s="7">
        <f>T972*O972</f>
        <v>0</v>
      </c>
    </row>
    <row r="973" spans="1:21">
      <c r="A973" s="4" t="s">
        <v>1424</v>
      </c>
      <c r="B973" s="4" t="s">
        <v>122</v>
      </c>
      <c r="C973" s="5">
        <v>45932.34719907407</v>
      </c>
      <c r="D973" s="5">
        <v>45961</v>
      </c>
      <c r="E973" s="6">
        <f>IF(AND(C973&lt;&gt;"",D973&lt;&gt;""),D973-C973,"")</f>
        <v>0</v>
      </c>
      <c r="F973" s="4" t="s">
        <v>1413</v>
      </c>
      <c r="G973" s="4" t="s">
        <v>1408</v>
      </c>
      <c r="H973" s="4" t="s">
        <v>32</v>
      </c>
      <c r="I973" s="4" t="s">
        <v>33</v>
      </c>
      <c r="J973" s="4">
        <v>0</v>
      </c>
      <c r="K973" s="4">
        <v>0</v>
      </c>
      <c r="L973" s="4">
        <f>J973+K973</f>
        <v>0</v>
      </c>
      <c r="M973" s="4"/>
      <c r="N973" s="4"/>
      <c r="O973" s="4">
        <v>0</v>
      </c>
      <c r="P973" s="4"/>
      <c r="Q973" s="4"/>
      <c r="R973" s="7">
        <v>0</v>
      </c>
      <c r="S973" s="7">
        <v>0</v>
      </c>
      <c r="T973" s="7">
        <f>R973-S973</f>
        <v>0</v>
      </c>
      <c r="U973" s="7">
        <f>T973*O973</f>
        <v>0</v>
      </c>
    </row>
    <row r="974" spans="1:21">
      <c r="A974" s="4" t="s">
        <v>1424</v>
      </c>
      <c r="B974" s="4" t="s">
        <v>122</v>
      </c>
      <c r="C974" s="5">
        <v>45932.34719907407</v>
      </c>
      <c r="D974" s="5">
        <v>45961</v>
      </c>
      <c r="E974" s="6">
        <f>IF(AND(C974&lt;&gt;"",D974&lt;&gt;""),D974-C974,"")</f>
        <v>0</v>
      </c>
      <c r="F974" s="4" t="s">
        <v>1413</v>
      </c>
      <c r="G974" s="4" t="s">
        <v>1408</v>
      </c>
      <c r="H974" s="4" t="s">
        <v>32</v>
      </c>
      <c r="I974" s="4" t="s">
        <v>33</v>
      </c>
      <c r="J974" s="4">
        <v>0</v>
      </c>
      <c r="K974" s="4">
        <v>0</v>
      </c>
      <c r="L974" s="4">
        <f>J974+K974</f>
        <v>0</v>
      </c>
      <c r="M974" s="4"/>
      <c r="N974" s="4"/>
      <c r="O974" s="4">
        <v>0</v>
      </c>
      <c r="P974" s="4"/>
      <c r="Q974" s="4"/>
      <c r="R974" s="7">
        <v>0</v>
      </c>
      <c r="S974" s="7">
        <v>0</v>
      </c>
      <c r="T974" s="7">
        <f>R974-S974</f>
        <v>0</v>
      </c>
      <c r="U974" s="7">
        <f>T974*O974</f>
        <v>0</v>
      </c>
    </row>
    <row r="975" spans="1:21">
      <c r="A975" s="4" t="s">
        <v>1425</v>
      </c>
      <c r="B975" s="4" t="s">
        <v>39</v>
      </c>
      <c r="C975" s="5">
        <v>45932.3512962963</v>
      </c>
      <c r="D975" s="5">
        <v>45932</v>
      </c>
      <c r="E975" s="6">
        <f>IF(AND(C975&lt;&gt;"",D975&lt;&gt;""),D975-C975,"")</f>
        <v>0</v>
      </c>
      <c r="F975" s="4" t="s">
        <v>114</v>
      </c>
      <c r="G975" s="4"/>
      <c r="H975" s="4"/>
      <c r="I975" s="4" t="s">
        <v>56</v>
      </c>
      <c r="J975" s="4">
        <v>0</v>
      </c>
      <c r="K975" s="4">
        <v>0</v>
      </c>
      <c r="L975" s="4">
        <f>J975+K975</f>
        <v>0</v>
      </c>
      <c r="M975" s="4" t="s">
        <v>370</v>
      </c>
      <c r="N975" s="4"/>
      <c r="O975" s="4">
        <v>0</v>
      </c>
      <c r="P975" s="4" t="s">
        <v>135</v>
      </c>
      <c r="Q975" s="4"/>
      <c r="R975" s="7">
        <v>10000</v>
      </c>
      <c r="S975" s="7">
        <v>0</v>
      </c>
      <c r="T975" s="7">
        <f>R975-S975</f>
        <v>0</v>
      </c>
      <c r="U975" s="7">
        <f>T975*O975</f>
        <v>0</v>
      </c>
    </row>
    <row r="976" spans="1:21">
      <c r="A976" s="4" t="s">
        <v>1426</v>
      </c>
      <c r="B976" s="4" t="s">
        <v>48</v>
      </c>
      <c r="C976" s="5">
        <v>45932.37521990741</v>
      </c>
      <c r="D976" s="5">
        <v>45961</v>
      </c>
      <c r="E976" s="6">
        <f>IF(AND(C976&lt;&gt;"",D976&lt;&gt;""),D976-C976,"")</f>
        <v>0</v>
      </c>
      <c r="F976" s="4" t="s">
        <v>1427</v>
      </c>
      <c r="G976" s="4" t="s">
        <v>1428</v>
      </c>
      <c r="H976" s="4" t="s">
        <v>32</v>
      </c>
      <c r="I976" s="4" t="s">
        <v>33</v>
      </c>
      <c r="J976" s="4">
        <v>1</v>
      </c>
      <c r="K976" s="4">
        <v>0</v>
      </c>
      <c r="L976" s="4">
        <f>J976+K976</f>
        <v>0</v>
      </c>
      <c r="M976" s="4"/>
      <c r="N976" s="4"/>
      <c r="O976" s="4">
        <v>0</v>
      </c>
      <c r="P976" s="4"/>
      <c r="Q976" s="4"/>
      <c r="R976" s="7">
        <v>0</v>
      </c>
      <c r="S976" s="7">
        <v>0</v>
      </c>
      <c r="T976" s="7">
        <f>R976-S976</f>
        <v>0</v>
      </c>
      <c r="U976" s="7">
        <f>T976*O976</f>
        <v>0</v>
      </c>
    </row>
    <row r="977" spans="1:21">
      <c r="A977" s="4" t="s">
        <v>1429</v>
      </c>
      <c r="B977" s="4" t="s">
        <v>39</v>
      </c>
      <c r="C977" s="5">
        <v>45932.38702546297</v>
      </c>
      <c r="D977" s="5">
        <v>45932</v>
      </c>
      <c r="E977" s="6">
        <f>IF(AND(C977&lt;&gt;"",D977&lt;&gt;""),D977-C977,"")</f>
        <v>0</v>
      </c>
      <c r="F977" s="4" t="s">
        <v>1430</v>
      </c>
      <c r="G977" s="4"/>
      <c r="H977" s="4"/>
      <c r="I977" s="4" t="s">
        <v>56</v>
      </c>
      <c r="J977" s="4">
        <v>0</v>
      </c>
      <c r="K977" s="4">
        <v>0</v>
      </c>
      <c r="L977" s="4">
        <f>J977+K977</f>
        <v>0</v>
      </c>
      <c r="M977" s="4" t="s">
        <v>370</v>
      </c>
      <c r="N977" s="4"/>
      <c r="O977" s="4">
        <v>1</v>
      </c>
      <c r="P977" s="4" t="s">
        <v>43</v>
      </c>
      <c r="Q977" s="4" t="s">
        <v>44</v>
      </c>
      <c r="R977" s="7">
        <v>0</v>
      </c>
      <c r="S977" s="7">
        <v>0</v>
      </c>
      <c r="T977" s="7">
        <f>R977-S977</f>
        <v>0</v>
      </c>
      <c r="U977" s="7">
        <f>T977*O977</f>
        <v>0</v>
      </c>
    </row>
    <row r="978" spans="1:21">
      <c r="A978" s="4" t="s">
        <v>1431</v>
      </c>
      <c r="B978" s="4" t="s">
        <v>29</v>
      </c>
      <c r="C978" s="5">
        <v>45932.44780092593</v>
      </c>
      <c r="D978" s="5">
        <v>45961</v>
      </c>
      <c r="E978" s="6">
        <f>IF(AND(C978&lt;&gt;"",D978&lt;&gt;""),D978-C978,"")</f>
        <v>0</v>
      </c>
      <c r="F978" s="4" t="s">
        <v>30</v>
      </c>
      <c r="G978" s="4" t="s">
        <v>31</v>
      </c>
      <c r="H978" s="4" t="s">
        <v>32</v>
      </c>
      <c r="I978" s="4" t="s">
        <v>33</v>
      </c>
      <c r="J978" s="4">
        <v>1</v>
      </c>
      <c r="K978" s="4">
        <v>1</v>
      </c>
      <c r="L978" s="4">
        <f>J978+K978</f>
        <v>0</v>
      </c>
      <c r="M978" s="4"/>
      <c r="N978" s="4"/>
      <c r="O978" s="4">
        <v>0</v>
      </c>
      <c r="P978" s="4"/>
      <c r="Q978" s="4"/>
      <c r="R978" s="7">
        <v>0</v>
      </c>
      <c r="S978" s="7">
        <v>0</v>
      </c>
      <c r="T978" s="7">
        <f>R978-S978</f>
        <v>0</v>
      </c>
      <c r="U978" s="7">
        <f>T978*O978</f>
        <v>0</v>
      </c>
    </row>
    <row r="979" spans="1:21">
      <c r="A979" s="4" t="s">
        <v>1432</v>
      </c>
      <c r="B979" s="4" t="s">
        <v>29</v>
      </c>
      <c r="C979" s="5">
        <v>45932.4814699074</v>
      </c>
      <c r="D979" s="5">
        <v>45961</v>
      </c>
      <c r="E979" s="6">
        <f>IF(AND(C979&lt;&gt;"",D979&lt;&gt;""),D979-C979,"")</f>
        <v>0</v>
      </c>
      <c r="F979" s="4" t="s">
        <v>1433</v>
      </c>
      <c r="G979" s="4" t="s">
        <v>1434</v>
      </c>
      <c r="H979" s="4" t="s">
        <v>1435</v>
      </c>
      <c r="I979" s="4" t="s">
        <v>56</v>
      </c>
      <c r="J979" s="4">
        <v>1</v>
      </c>
      <c r="K979" s="4">
        <v>0</v>
      </c>
      <c r="L979" s="4">
        <f>J979+K979</f>
        <v>0</v>
      </c>
      <c r="M979" s="4"/>
      <c r="N979" s="4"/>
      <c r="O979" s="4">
        <v>0</v>
      </c>
      <c r="P979" s="4"/>
      <c r="Q979" s="4"/>
      <c r="R979" s="7">
        <v>0</v>
      </c>
      <c r="S979" s="7">
        <v>0</v>
      </c>
      <c r="T979" s="7">
        <f>R979-S979</f>
        <v>0</v>
      </c>
      <c r="U979" s="7">
        <f>T979*O979</f>
        <v>0</v>
      </c>
    </row>
    <row r="980" spans="1:21">
      <c r="A980" s="4" t="s">
        <v>1436</v>
      </c>
      <c r="B980" s="4" t="s">
        <v>29</v>
      </c>
      <c r="C980" s="5">
        <v>45932.54871527778</v>
      </c>
      <c r="D980" s="5">
        <v>45961</v>
      </c>
      <c r="E980" s="6">
        <f>IF(AND(C980&lt;&gt;"",D980&lt;&gt;""),D980-C980,"")</f>
        <v>0</v>
      </c>
      <c r="F980" s="4" t="s">
        <v>307</v>
      </c>
      <c r="G980" s="4" t="s">
        <v>308</v>
      </c>
      <c r="H980" s="4" t="s">
        <v>190</v>
      </c>
      <c r="I980" s="4" t="s">
        <v>56</v>
      </c>
      <c r="J980" s="4">
        <v>1</v>
      </c>
      <c r="K980" s="4">
        <v>0</v>
      </c>
      <c r="L980" s="4">
        <f>J980+K980</f>
        <v>0</v>
      </c>
      <c r="M980" s="4"/>
      <c r="N980" s="4"/>
      <c r="O980" s="4">
        <v>0</v>
      </c>
      <c r="P980" s="4"/>
      <c r="Q980" s="4"/>
      <c r="R980" s="7">
        <v>0</v>
      </c>
      <c r="S980" s="7">
        <v>0</v>
      </c>
      <c r="T980" s="7">
        <f>R980-S980</f>
        <v>0</v>
      </c>
      <c r="U980" s="7">
        <f>T980*O980</f>
        <v>0</v>
      </c>
    </row>
    <row r="981" spans="1:21">
      <c r="A981" s="4" t="s">
        <v>1437</v>
      </c>
      <c r="B981" s="4" t="s">
        <v>39</v>
      </c>
      <c r="C981" s="5">
        <v>45932.55568287037</v>
      </c>
      <c r="D981" s="5">
        <v>45932</v>
      </c>
      <c r="E981" s="6">
        <f>IF(AND(C981&lt;&gt;"",D981&lt;&gt;""),D981-C981,"")</f>
        <v>0</v>
      </c>
      <c r="F981" s="4" t="s">
        <v>317</v>
      </c>
      <c r="G981" s="4" t="s">
        <v>318</v>
      </c>
      <c r="H981" s="4" t="s">
        <v>319</v>
      </c>
      <c r="I981" s="4" t="s">
        <v>56</v>
      </c>
      <c r="J981" s="4">
        <v>0</v>
      </c>
      <c r="K981" s="4">
        <v>1</v>
      </c>
      <c r="L981" s="4">
        <f>J981+K981</f>
        <v>0</v>
      </c>
      <c r="M981" s="4" t="s">
        <v>46</v>
      </c>
      <c r="N981" s="4"/>
      <c r="O981" s="4">
        <v>1</v>
      </c>
      <c r="P981" s="4" t="s">
        <v>43</v>
      </c>
      <c r="Q981" s="4" t="s">
        <v>44</v>
      </c>
      <c r="R981" s="7">
        <v>325000</v>
      </c>
      <c r="S981" s="7">
        <v>0</v>
      </c>
      <c r="T981" s="7">
        <f>R981-S981</f>
        <v>0</v>
      </c>
      <c r="U981" s="7">
        <f>T981*O981</f>
        <v>0</v>
      </c>
    </row>
    <row r="982" spans="1:21">
      <c r="A982" s="4" t="s">
        <v>1438</v>
      </c>
      <c r="B982" s="4" t="s">
        <v>39</v>
      </c>
      <c r="C982" s="5">
        <v>45932.55715277778</v>
      </c>
      <c r="D982" s="5">
        <v>45932</v>
      </c>
      <c r="E982" s="6">
        <f>IF(AND(C982&lt;&gt;"",D982&lt;&gt;""),D982-C982,"")</f>
        <v>0</v>
      </c>
      <c r="F982" s="4" t="s">
        <v>1439</v>
      </c>
      <c r="G982" s="4" t="s">
        <v>1440</v>
      </c>
      <c r="H982" s="4" t="s">
        <v>190</v>
      </c>
      <c r="I982" s="4" t="s">
        <v>56</v>
      </c>
      <c r="J982" s="4">
        <v>0</v>
      </c>
      <c r="K982" s="4">
        <v>1</v>
      </c>
      <c r="L982" s="4">
        <f>J982+K982</f>
        <v>0</v>
      </c>
      <c r="M982" s="4" t="s">
        <v>46</v>
      </c>
      <c r="N982" s="4"/>
      <c r="O982" s="4">
        <v>1</v>
      </c>
      <c r="P982" s="4" t="s">
        <v>43</v>
      </c>
      <c r="Q982" s="4" t="s">
        <v>44</v>
      </c>
      <c r="R982" s="7">
        <v>325000</v>
      </c>
      <c r="S982" s="7">
        <v>0</v>
      </c>
      <c r="T982" s="7">
        <f>R982-S982</f>
        <v>0</v>
      </c>
      <c r="U982" s="7">
        <f>T982*O982</f>
        <v>0</v>
      </c>
    </row>
    <row r="983" spans="1:21">
      <c r="A983" s="4" t="s">
        <v>1441</v>
      </c>
      <c r="B983" s="4" t="s">
        <v>29</v>
      </c>
      <c r="C983" s="5">
        <v>45932.59144675926</v>
      </c>
      <c r="D983" s="5">
        <v>45961</v>
      </c>
      <c r="E983" s="6">
        <f>IF(AND(C983&lt;&gt;"",D983&lt;&gt;""),D983-C983,"")</f>
        <v>0</v>
      </c>
      <c r="F983" s="4" t="s">
        <v>30</v>
      </c>
      <c r="G983" s="4" t="s">
        <v>31</v>
      </c>
      <c r="H983" s="4" t="s">
        <v>32</v>
      </c>
      <c r="I983" s="4" t="s">
        <v>33</v>
      </c>
      <c r="J983" s="4">
        <v>1</v>
      </c>
      <c r="K983" s="4">
        <v>0</v>
      </c>
      <c r="L983" s="4">
        <f>J983+K983</f>
        <v>0</v>
      </c>
      <c r="M983" s="4"/>
      <c r="N983" s="4"/>
      <c r="O983" s="4">
        <v>0</v>
      </c>
      <c r="P983" s="4"/>
      <c r="Q983" s="4"/>
      <c r="R983" s="7">
        <v>0</v>
      </c>
      <c r="S983" s="7">
        <v>0</v>
      </c>
      <c r="T983" s="7">
        <f>R983-S983</f>
        <v>0</v>
      </c>
      <c r="U983" s="7">
        <f>T983*O983</f>
        <v>0</v>
      </c>
    </row>
    <row r="984" spans="1:21">
      <c r="A984" s="4" t="s">
        <v>1442</v>
      </c>
      <c r="B984" s="4" t="s">
        <v>29</v>
      </c>
      <c r="C984" s="5">
        <v>45932.595625</v>
      </c>
      <c r="D984" s="5">
        <v>45961</v>
      </c>
      <c r="E984" s="6">
        <f>IF(AND(C984&lt;&gt;"",D984&lt;&gt;""),D984-C984,"")</f>
        <v>0</v>
      </c>
      <c r="F984" s="4" t="s">
        <v>30</v>
      </c>
      <c r="G984" s="4" t="s">
        <v>31</v>
      </c>
      <c r="H984" s="4" t="s">
        <v>32</v>
      </c>
      <c r="I984" s="4" t="s">
        <v>33</v>
      </c>
      <c r="J984" s="4">
        <v>1</v>
      </c>
      <c r="K984" s="4">
        <v>1</v>
      </c>
      <c r="L984" s="4">
        <f>J984+K984</f>
        <v>0</v>
      </c>
      <c r="M984" s="4"/>
      <c r="N984" s="4"/>
      <c r="O984" s="4">
        <v>0</v>
      </c>
      <c r="P984" s="4"/>
      <c r="Q984" s="4"/>
      <c r="R984" s="7">
        <v>0</v>
      </c>
      <c r="S984" s="7">
        <v>0</v>
      </c>
      <c r="T984" s="7">
        <f>R984-S984</f>
        <v>0</v>
      </c>
      <c r="U984" s="7">
        <f>T984*O984</f>
        <v>0</v>
      </c>
    </row>
    <row r="985" spans="1:21">
      <c r="A985" s="4" t="s">
        <v>1443</v>
      </c>
      <c r="B985" s="4" t="s">
        <v>48</v>
      </c>
      <c r="C985" s="5">
        <v>45932.60125</v>
      </c>
      <c r="D985" s="5">
        <v>45961</v>
      </c>
      <c r="E985" s="6">
        <f>IF(AND(C985&lt;&gt;"",D985&lt;&gt;""),D985-C985,"")</f>
        <v>0</v>
      </c>
      <c r="F985" s="4" t="s">
        <v>64</v>
      </c>
      <c r="G985" s="4" t="s">
        <v>1444</v>
      </c>
      <c r="H985" s="4" t="s">
        <v>32</v>
      </c>
      <c r="I985" s="4" t="s">
        <v>33</v>
      </c>
      <c r="J985" s="4">
        <v>2</v>
      </c>
      <c r="K985" s="4">
        <v>2</v>
      </c>
      <c r="L985" s="4">
        <f>J985+K985</f>
        <v>0</v>
      </c>
      <c r="M985" s="4"/>
      <c r="N985" s="4"/>
      <c r="O985" s="4">
        <v>0</v>
      </c>
      <c r="P985" s="4"/>
      <c r="Q985" s="4"/>
      <c r="R985" s="7">
        <v>0</v>
      </c>
      <c r="S985" s="7">
        <v>0</v>
      </c>
      <c r="T985" s="7">
        <f>R985-S985</f>
        <v>0</v>
      </c>
      <c r="U985" s="7">
        <f>T985*O985</f>
        <v>0</v>
      </c>
    </row>
    <row r="986" spans="1:21">
      <c r="A986" s="4" t="s">
        <v>1445</v>
      </c>
      <c r="B986" s="4" t="s">
        <v>39</v>
      </c>
      <c r="C986" s="5">
        <v>45932.62016203703</v>
      </c>
      <c r="D986" s="5">
        <v>45932</v>
      </c>
      <c r="E986" s="6">
        <f>IF(AND(C986&lt;&gt;"",D986&lt;&gt;""),D986-C986,"")</f>
        <v>0</v>
      </c>
      <c r="F986" s="4" t="s">
        <v>1446</v>
      </c>
      <c r="G986" s="4" t="s">
        <v>1447</v>
      </c>
      <c r="H986" s="4" t="s">
        <v>32</v>
      </c>
      <c r="I986" s="4" t="s">
        <v>33</v>
      </c>
      <c r="J986" s="4">
        <v>0</v>
      </c>
      <c r="K986" s="4">
        <v>0</v>
      </c>
      <c r="L986" s="4">
        <f>J986+K986</f>
        <v>0</v>
      </c>
      <c r="M986" s="4" t="s">
        <v>247</v>
      </c>
      <c r="N986" s="4"/>
      <c r="O986" s="4">
        <v>1</v>
      </c>
      <c r="P986" s="4" t="s">
        <v>135</v>
      </c>
      <c r="Q986" s="4"/>
      <c r="R986" s="7">
        <v>75000</v>
      </c>
      <c r="S986" s="7">
        <v>0</v>
      </c>
      <c r="T986" s="7">
        <f>R986-S986</f>
        <v>0</v>
      </c>
      <c r="U986" s="7">
        <f>T986*O986</f>
        <v>0</v>
      </c>
    </row>
    <row r="987" spans="1:21">
      <c r="A987" s="4" t="s">
        <v>1445</v>
      </c>
      <c r="B987" s="4" t="s">
        <v>39</v>
      </c>
      <c r="C987" s="5">
        <v>45932.62016203703</v>
      </c>
      <c r="D987" s="5">
        <v>45932</v>
      </c>
      <c r="E987" s="6">
        <f>IF(AND(C987&lt;&gt;"",D987&lt;&gt;""),D987-C987,"")</f>
        <v>0</v>
      </c>
      <c r="F987" s="4" t="s">
        <v>1446</v>
      </c>
      <c r="G987" s="4" t="s">
        <v>1447</v>
      </c>
      <c r="H987" s="4" t="s">
        <v>32</v>
      </c>
      <c r="I987" s="4" t="s">
        <v>33</v>
      </c>
      <c r="J987" s="4">
        <v>0</v>
      </c>
      <c r="K987" s="4">
        <v>0</v>
      </c>
      <c r="L987" s="4">
        <f>J987+K987</f>
        <v>0</v>
      </c>
      <c r="M987" s="4" t="s">
        <v>370</v>
      </c>
      <c r="N987" s="4"/>
      <c r="O987" s="4">
        <v>1</v>
      </c>
      <c r="P987" s="4" t="s">
        <v>135</v>
      </c>
      <c r="Q987" s="4"/>
      <c r="R987" s="7">
        <v>300000</v>
      </c>
      <c r="S987" s="7">
        <v>0</v>
      </c>
      <c r="T987" s="7">
        <f>R987-S987</f>
        <v>0</v>
      </c>
      <c r="U987" s="7">
        <f>T987*O987</f>
        <v>0</v>
      </c>
    </row>
    <row r="988" spans="1:21">
      <c r="A988" s="4" t="s">
        <v>1448</v>
      </c>
      <c r="B988" s="4" t="s">
        <v>48</v>
      </c>
      <c r="C988" s="5">
        <v>45932.64548611111</v>
      </c>
      <c r="D988" s="5">
        <v>45961</v>
      </c>
      <c r="E988" s="6">
        <f>IF(AND(C988&lt;&gt;"",D988&lt;&gt;""),D988-C988,"")</f>
        <v>0</v>
      </c>
      <c r="F988" s="4" t="s">
        <v>64</v>
      </c>
      <c r="G988" s="4" t="s">
        <v>1449</v>
      </c>
      <c r="H988" s="4" t="s">
        <v>32</v>
      </c>
      <c r="I988" s="4" t="s">
        <v>33</v>
      </c>
      <c r="J988" s="4">
        <v>1</v>
      </c>
      <c r="K988" s="4">
        <v>0</v>
      </c>
      <c r="L988" s="4">
        <f>J988+K988</f>
        <v>0</v>
      </c>
      <c r="M988" s="4"/>
      <c r="N988" s="4"/>
      <c r="O988" s="4">
        <v>0</v>
      </c>
      <c r="P988" s="4"/>
      <c r="Q988" s="4"/>
      <c r="R988" s="7">
        <v>0</v>
      </c>
      <c r="S988" s="7">
        <v>0</v>
      </c>
      <c r="T988" s="7">
        <f>R988-S988</f>
        <v>0</v>
      </c>
      <c r="U988" s="7">
        <f>T988*O988</f>
        <v>0</v>
      </c>
    </row>
    <row r="989" spans="1:21">
      <c r="A989" s="4" t="s">
        <v>1450</v>
      </c>
      <c r="B989" s="4" t="s">
        <v>39</v>
      </c>
      <c r="C989" s="5">
        <v>45932.68805555555</v>
      </c>
      <c r="D989" s="5">
        <v>45932</v>
      </c>
      <c r="E989" s="6">
        <f>IF(AND(C989&lt;&gt;"",D989&lt;&gt;""),D989-C989,"")</f>
        <v>0</v>
      </c>
      <c r="F989" s="4" t="s">
        <v>1315</v>
      </c>
      <c r="G989" s="4"/>
      <c r="H989" s="4"/>
      <c r="I989" s="4" t="s">
        <v>56</v>
      </c>
      <c r="J989" s="4">
        <v>1</v>
      </c>
      <c r="K989" s="4">
        <v>0</v>
      </c>
      <c r="L989" s="4">
        <f>J989+K989</f>
        <v>0</v>
      </c>
      <c r="M989" s="4" t="s">
        <v>976</v>
      </c>
      <c r="N989" s="4"/>
      <c r="O989" s="4">
        <v>1</v>
      </c>
      <c r="P989" s="4" t="s">
        <v>135</v>
      </c>
      <c r="Q989" s="4" t="s">
        <v>44</v>
      </c>
      <c r="R989" s="7">
        <v>1500000</v>
      </c>
      <c r="S989" s="7">
        <v>0</v>
      </c>
      <c r="T989" s="7">
        <f>R989-S989</f>
        <v>0</v>
      </c>
      <c r="U989" s="7">
        <f>T989*O989</f>
        <v>0</v>
      </c>
    </row>
    <row r="990" spans="1:21">
      <c r="A990" s="4" t="s">
        <v>1451</v>
      </c>
      <c r="B990" s="4" t="s">
        <v>39</v>
      </c>
      <c r="C990" s="5">
        <v>45932.69289351852</v>
      </c>
      <c r="D990" s="5">
        <v>45932</v>
      </c>
      <c r="E990" s="6">
        <f>IF(AND(C990&lt;&gt;"",D990&lt;&gt;""),D990-C990,"")</f>
        <v>0</v>
      </c>
      <c r="F990" s="4" t="s">
        <v>1452</v>
      </c>
      <c r="G990" s="4" t="s">
        <v>1453</v>
      </c>
      <c r="H990" s="4" t="s">
        <v>177</v>
      </c>
      <c r="I990" s="4" t="s">
        <v>56</v>
      </c>
      <c r="J990" s="4">
        <v>1</v>
      </c>
      <c r="K990" s="4">
        <v>0</v>
      </c>
      <c r="L990" s="4">
        <f>J990+K990</f>
        <v>0</v>
      </c>
      <c r="M990" s="4" t="s">
        <v>968</v>
      </c>
      <c r="N990" s="4"/>
      <c r="O990" s="4">
        <v>1</v>
      </c>
      <c r="P990" s="4" t="s">
        <v>135</v>
      </c>
      <c r="Q990" s="4" t="s">
        <v>44</v>
      </c>
      <c r="R990" s="7">
        <v>1050000</v>
      </c>
      <c r="S990" s="7">
        <v>0</v>
      </c>
      <c r="T990" s="7">
        <f>R990-S990</f>
        <v>0</v>
      </c>
      <c r="U990" s="7">
        <f>T990*O990</f>
        <v>0</v>
      </c>
    </row>
    <row r="991" spans="1:21">
      <c r="A991" s="4" t="s">
        <v>1454</v>
      </c>
      <c r="B991" s="4" t="s">
        <v>39</v>
      </c>
      <c r="C991" s="5">
        <v>45932.69692129629</v>
      </c>
      <c r="D991" s="5">
        <v>45932</v>
      </c>
      <c r="E991" s="6">
        <f>IF(AND(C991&lt;&gt;"",D991&lt;&gt;""),D991-C991,"")</f>
        <v>0</v>
      </c>
      <c r="F991" s="4" t="s">
        <v>1455</v>
      </c>
      <c r="G991" s="4" t="s">
        <v>1456</v>
      </c>
      <c r="H991" s="4" t="s">
        <v>32</v>
      </c>
      <c r="I991" s="4" t="s">
        <v>33</v>
      </c>
      <c r="J991" s="4">
        <v>0</v>
      </c>
      <c r="K991" s="4">
        <v>0</v>
      </c>
      <c r="L991" s="4">
        <f>J991+K991</f>
        <v>0</v>
      </c>
      <c r="M991" s="4" t="s">
        <v>1457</v>
      </c>
      <c r="N991" s="4"/>
      <c r="O991" s="4">
        <v>1</v>
      </c>
      <c r="P991" s="4" t="s">
        <v>135</v>
      </c>
      <c r="Q991" s="4" t="s">
        <v>44</v>
      </c>
      <c r="R991" s="7">
        <v>950000</v>
      </c>
      <c r="S991" s="7">
        <v>0</v>
      </c>
      <c r="T991" s="7">
        <f>R991-S991</f>
        <v>0</v>
      </c>
      <c r="U991" s="7">
        <f>T991*O991</f>
        <v>0</v>
      </c>
    </row>
    <row r="992" spans="1:21">
      <c r="A992" s="4" t="s">
        <v>1458</v>
      </c>
      <c r="B992" s="4" t="s">
        <v>39</v>
      </c>
      <c r="C992" s="5">
        <v>45932.69956018519</v>
      </c>
      <c r="D992" s="5">
        <v>45932</v>
      </c>
      <c r="E992" s="6">
        <f>IF(AND(C992&lt;&gt;"",D992&lt;&gt;""),D992-C992,"")</f>
        <v>0</v>
      </c>
      <c r="F992" s="4" t="s">
        <v>1459</v>
      </c>
      <c r="G992" s="4" t="s">
        <v>1460</v>
      </c>
      <c r="H992" s="4" t="s">
        <v>177</v>
      </c>
      <c r="I992" s="4" t="s">
        <v>56</v>
      </c>
      <c r="J992" s="4">
        <v>1</v>
      </c>
      <c r="K992" s="4">
        <v>0</v>
      </c>
      <c r="L992" s="4">
        <f>J992+K992</f>
        <v>0</v>
      </c>
      <c r="M992" s="4" t="s">
        <v>976</v>
      </c>
      <c r="N992" s="4"/>
      <c r="O992" s="4">
        <v>1</v>
      </c>
      <c r="P992" s="4" t="s">
        <v>135</v>
      </c>
      <c r="Q992" s="4" t="s">
        <v>44</v>
      </c>
      <c r="R992" s="7">
        <v>1500000</v>
      </c>
      <c r="S992" s="7">
        <v>0</v>
      </c>
      <c r="T992" s="7">
        <f>R992-S992</f>
        <v>0</v>
      </c>
      <c r="U992" s="7">
        <f>T992*O992</f>
        <v>0</v>
      </c>
    </row>
    <row r="993" spans="1:21">
      <c r="A993" s="4" t="s">
        <v>1461</v>
      </c>
      <c r="B993" s="4" t="s">
        <v>39</v>
      </c>
      <c r="C993" s="5">
        <v>45932.70591435185</v>
      </c>
      <c r="D993" s="5">
        <v>45932</v>
      </c>
      <c r="E993" s="6">
        <f>IF(AND(C993&lt;&gt;"",D993&lt;&gt;""),D993-C993,"")</f>
        <v>0</v>
      </c>
      <c r="F993" s="4" t="s">
        <v>1462</v>
      </c>
      <c r="G993" s="4" t="s">
        <v>1463</v>
      </c>
      <c r="H993" s="4" t="s">
        <v>32</v>
      </c>
      <c r="I993" s="4" t="s">
        <v>33</v>
      </c>
      <c r="J993" s="4">
        <v>0</v>
      </c>
      <c r="K993" s="4">
        <v>0</v>
      </c>
      <c r="L993" s="4">
        <f>J993+K993</f>
        <v>0</v>
      </c>
      <c r="M993" s="4" t="s">
        <v>1464</v>
      </c>
      <c r="N993" s="4"/>
      <c r="O993" s="4">
        <v>1</v>
      </c>
      <c r="P993" s="4" t="s">
        <v>135</v>
      </c>
      <c r="Q993" s="4" t="s">
        <v>44</v>
      </c>
      <c r="R993" s="7">
        <v>2200000</v>
      </c>
      <c r="S993" s="7">
        <v>0</v>
      </c>
      <c r="T993" s="7">
        <f>R993-S993</f>
        <v>0</v>
      </c>
      <c r="U993" s="7">
        <f>T993*O993</f>
        <v>0</v>
      </c>
    </row>
    <row r="994" spans="1:21">
      <c r="A994" s="4" t="s">
        <v>1461</v>
      </c>
      <c r="B994" s="4" t="s">
        <v>39</v>
      </c>
      <c r="C994" s="5">
        <v>45932.70591435185</v>
      </c>
      <c r="D994" s="5">
        <v>45932</v>
      </c>
      <c r="E994" s="6">
        <f>IF(AND(C994&lt;&gt;"",D994&lt;&gt;""),D994-C994,"")</f>
        <v>0</v>
      </c>
      <c r="F994" s="4" t="s">
        <v>1462</v>
      </c>
      <c r="G994" s="4" t="s">
        <v>1463</v>
      </c>
      <c r="H994" s="4" t="s">
        <v>32</v>
      </c>
      <c r="I994" s="4" t="s">
        <v>33</v>
      </c>
      <c r="J994" s="4">
        <v>0</v>
      </c>
      <c r="K994" s="4">
        <v>0</v>
      </c>
      <c r="L994" s="4">
        <f>J994+K994</f>
        <v>0</v>
      </c>
      <c r="M994" s="4" t="s">
        <v>370</v>
      </c>
      <c r="N994" s="4"/>
      <c r="O994" s="4">
        <v>1</v>
      </c>
      <c r="P994" s="4" t="s">
        <v>135</v>
      </c>
      <c r="Q994" s="4" t="s">
        <v>44</v>
      </c>
      <c r="R994" s="7">
        <v>500000</v>
      </c>
      <c r="S994" s="7">
        <v>0</v>
      </c>
      <c r="T994" s="7">
        <f>R994-S994</f>
        <v>0</v>
      </c>
      <c r="U994" s="7">
        <f>T994*O994</f>
        <v>0</v>
      </c>
    </row>
    <row r="995" spans="1:21">
      <c r="A995" s="4" t="s">
        <v>1465</v>
      </c>
      <c r="B995" s="4" t="s">
        <v>39</v>
      </c>
      <c r="C995" s="5">
        <v>45932.71099537037</v>
      </c>
      <c r="D995" s="5">
        <v>45932</v>
      </c>
      <c r="E995" s="6">
        <f>IF(AND(C995&lt;&gt;"",D995&lt;&gt;""),D995-C995,"")</f>
        <v>0</v>
      </c>
      <c r="F995" s="4" t="s">
        <v>1466</v>
      </c>
      <c r="G995" s="4" t="s">
        <v>1467</v>
      </c>
      <c r="H995" s="4" t="s">
        <v>32</v>
      </c>
      <c r="I995" s="4" t="s">
        <v>33</v>
      </c>
      <c r="J995" s="4">
        <v>0</v>
      </c>
      <c r="K995" s="4">
        <v>0</v>
      </c>
      <c r="L995" s="4">
        <f>J995+K995</f>
        <v>0</v>
      </c>
      <c r="M995" s="4" t="s">
        <v>370</v>
      </c>
      <c r="N995" s="4"/>
      <c r="O995" s="4">
        <v>1</v>
      </c>
      <c r="P995" s="4" t="s">
        <v>135</v>
      </c>
      <c r="Q995" s="4" t="s">
        <v>44</v>
      </c>
      <c r="R995" s="7">
        <v>1000000</v>
      </c>
      <c r="S995" s="7">
        <v>0</v>
      </c>
      <c r="T995" s="7">
        <f>R995-S995</f>
        <v>0</v>
      </c>
      <c r="U995" s="7">
        <f>T995*O995</f>
        <v>0</v>
      </c>
    </row>
    <row r="996" spans="1:21">
      <c r="A996" s="4" t="s">
        <v>1465</v>
      </c>
      <c r="B996" s="4" t="s">
        <v>39</v>
      </c>
      <c r="C996" s="5">
        <v>45932.71099537037</v>
      </c>
      <c r="D996" s="5">
        <v>45932</v>
      </c>
      <c r="E996" s="6">
        <f>IF(AND(C996&lt;&gt;"",D996&lt;&gt;""),D996-C996,"")</f>
        <v>0</v>
      </c>
      <c r="F996" s="4" t="s">
        <v>1466</v>
      </c>
      <c r="G996" s="4" t="s">
        <v>1467</v>
      </c>
      <c r="H996" s="4" t="s">
        <v>32</v>
      </c>
      <c r="I996" s="4" t="s">
        <v>33</v>
      </c>
      <c r="J996" s="4">
        <v>0</v>
      </c>
      <c r="K996" s="4">
        <v>0</v>
      </c>
      <c r="L996" s="4">
        <f>J996+K996</f>
        <v>0</v>
      </c>
      <c r="M996" s="4" t="s">
        <v>247</v>
      </c>
      <c r="N996" s="4"/>
      <c r="O996" s="4">
        <v>1</v>
      </c>
      <c r="P996" s="4" t="s">
        <v>135</v>
      </c>
      <c r="Q996" s="4" t="s">
        <v>44</v>
      </c>
      <c r="R996" s="7">
        <v>75000</v>
      </c>
      <c r="S996" s="7">
        <v>0</v>
      </c>
      <c r="T996" s="7">
        <f>R996-S996</f>
        <v>0</v>
      </c>
      <c r="U996" s="7">
        <f>T996*O996</f>
        <v>0</v>
      </c>
    </row>
    <row r="997" spans="1:21">
      <c r="A997" s="4" t="s">
        <v>1468</v>
      </c>
      <c r="B997" s="4" t="s">
        <v>39</v>
      </c>
      <c r="C997" s="5">
        <v>45932.71450231481</v>
      </c>
      <c r="D997" s="5">
        <v>45932</v>
      </c>
      <c r="E997" s="6">
        <f>IF(AND(C997&lt;&gt;"",D997&lt;&gt;""),D997-C997,"")</f>
        <v>0</v>
      </c>
      <c r="F997" s="4" t="s">
        <v>1469</v>
      </c>
      <c r="G997" s="4" t="s">
        <v>1470</v>
      </c>
      <c r="H997" s="4" t="s">
        <v>32</v>
      </c>
      <c r="I997" s="4" t="s">
        <v>33</v>
      </c>
      <c r="J997" s="4">
        <v>0</v>
      </c>
      <c r="K997" s="4">
        <v>0</v>
      </c>
      <c r="L997" s="4">
        <f>J997+K997</f>
        <v>0</v>
      </c>
      <c r="M997" s="4" t="s">
        <v>370</v>
      </c>
      <c r="N997" s="4"/>
      <c r="O997" s="4">
        <v>1</v>
      </c>
      <c r="P997" s="4" t="s">
        <v>43</v>
      </c>
      <c r="Q997" s="4"/>
      <c r="R997" s="7">
        <v>5000000</v>
      </c>
      <c r="S997" s="7">
        <v>0</v>
      </c>
      <c r="T997" s="7">
        <f>R997-S997</f>
        <v>0</v>
      </c>
      <c r="U997" s="7">
        <f>T997*O997</f>
        <v>0</v>
      </c>
    </row>
    <row r="998" spans="1:21">
      <c r="A998" s="4" t="s">
        <v>1468</v>
      </c>
      <c r="B998" s="4" t="s">
        <v>39</v>
      </c>
      <c r="C998" s="5">
        <v>45932.71450231481</v>
      </c>
      <c r="D998" s="5">
        <v>45932</v>
      </c>
      <c r="E998" s="6">
        <f>IF(AND(C998&lt;&gt;"",D998&lt;&gt;""),D998-C998,"")</f>
        <v>0</v>
      </c>
      <c r="F998" s="4" t="s">
        <v>1469</v>
      </c>
      <c r="G998" s="4" t="s">
        <v>1470</v>
      </c>
      <c r="H998" s="4" t="s">
        <v>32</v>
      </c>
      <c r="I998" s="4" t="s">
        <v>33</v>
      </c>
      <c r="J998" s="4">
        <v>0</v>
      </c>
      <c r="K998" s="4">
        <v>0</v>
      </c>
      <c r="L998" s="4">
        <f>J998+K998</f>
        <v>0</v>
      </c>
      <c r="M998" s="4" t="s">
        <v>247</v>
      </c>
      <c r="N998" s="4"/>
      <c r="O998" s="4">
        <v>1</v>
      </c>
      <c r="P998" s="4" t="s">
        <v>43</v>
      </c>
      <c r="Q998" s="4"/>
      <c r="R998" s="7">
        <v>75000</v>
      </c>
      <c r="S998" s="7">
        <v>0</v>
      </c>
      <c r="T998" s="7">
        <f>R998-S998</f>
        <v>0</v>
      </c>
      <c r="U998" s="7">
        <f>T998*O998</f>
        <v>0</v>
      </c>
    </row>
    <row r="999" spans="1:21">
      <c r="A999" s="4" t="s">
        <v>1468</v>
      </c>
      <c r="B999" s="4" t="s">
        <v>39</v>
      </c>
      <c r="C999" s="5">
        <v>45932.71450231481</v>
      </c>
      <c r="D999" s="5">
        <v>45932</v>
      </c>
      <c r="E999" s="6">
        <f>IF(AND(C999&lt;&gt;"",D999&lt;&gt;""),D999-C999,"")</f>
        <v>0</v>
      </c>
      <c r="F999" s="4" t="s">
        <v>1469</v>
      </c>
      <c r="G999" s="4" t="s">
        <v>1470</v>
      </c>
      <c r="H999" s="4" t="s">
        <v>32</v>
      </c>
      <c r="I999" s="4" t="s">
        <v>33</v>
      </c>
      <c r="J999" s="4">
        <v>0</v>
      </c>
      <c r="K999" s="4">
        <v>0</v>
      </c>
      <c r="L999" s="4">
        <f>J999+K999</f>
        <v>0</v>
      </c>
      <c r="M999" s="4" t="s">
        <v>247</v>
      </c>
      <c r="N999" s="4"/>
      <c r="O999" s="4">
        <v>1</v>
      </c>
      <c r="P999" s="4" t="s">
        <v>43</v>
      </c>
      <c r="Q999" s="4"/>
      <c r="R999" s="7">
        <v>75000</v>
      </c>
      <c r="S999" s="7">
        <v>0</v>
      </c>
      <c r="T999" s="7">
        <f>R999-S999</f>
        <v>0</v>
      </c>
      <c r="U999" s="7">
        <f>T999*O999</f>
        <v>0</v>
      </c>
    </row>
    <row r="1000" spans="1:21">
      <c r="A1000" s="4" t="s">
        <v>1471</v>
      </c>
      <c r="B1000" s="4" t="s">
        <v>48</v>
      </c>
      <c r="C1000" s="5">
        <v>45933.06239583333</v>
      </c>
      <c r="D1000" s="5">
        <v>45961</v>
      </c>
      <c r="E1000" s="6">
        <f>IF(AND(C1000&lt;&gt;"",D1000&lt;&gt;""),D1000-C1000,"")</f>
        <v>0</v>
      </c>
      <c r="F1000" s="4" t="s">
        <v>1472</v>
      </c>
      <c r="G1000" s="4" t="s">
        <v>400</v>
      </c>
      <c r="H1000" s="4" t="s">
        <v>1473</v>
      </c>
      <c r="I1000" s="4" t="s">
        <v>56</v>
      </c>
      <c r="J1000" s="4">
        <v>5</v>
      </c>
      <c r="K1000" s="4">
        <v>2</v>
      </c>
      <c r="L1000" s="4">
        <f>J1000+K1000</f>
        <v>0</v>
      </c>
      <c r="M1000" s="4"/>
      <c r="N1000" s="4"/>
      <c r="O1000" s="4">
        <v>0</v>
      </c>
      <c r="P1000" s="4"/>
      <c r="Q1000" s="4"/>
      <c r="R1000" s="7">
        <v>0</v>
      </c>
      <c r="S1000" s="7">
        <v>0</v>
      </c>
      <c r="T1000" s="7">
        <f>R1000-S1000</f>
        <v>0</v>
      </c>
      <c r="U1000" s="7">
        <f>T1000*O1000</f>
        <v>0</v>
      </c>
    </row>
    <row r="1001" spans="1:21">
      <c r="A1001" s="4" t="s">
        <v>1474</v>
      </c>
      <c r="B1001" s="4" t="s">
        <v>39</v>
      </c>
      <c r="C1001" s="5">
        <v>45933.0702662037</v>
      </c>
      <c r="D1001" s="5">
        <v>45933</v>
      </c>
      <c r="E1001" s="6">
        <f>IF(AND(C1001&lt;&gt;"",D1001&lt;&gt;""),D1001-C1001,"")</f>
        <v>0</v>
      </c>
      <c r="F1001" s="4" t="s">
        <v>1475</v>
      </c>
      <c r="G1001" s="4"/>
      <c r="H1001" s="4"/>
      <c r="I1001" s="4" t="s">
        <v>56</v>
      </c>
      <c r="J1001" s="4">
        <v>0</v>
      </c>
      <c r="K1001" s="4">
        <v>0</v>
      </c>
      <c r="L1001" s="4">
        <f>J1001+K1001</f>
        <v>0</v>
      </c>
      <c r="M1001" s="4" t="s">
        <v>247</v>
      </c>
      <c r="N1001" s="4"/>
      <c r="O1001" s="4">
        <v>1</v>
      </c>
      <c r="P1001" s="4" t="s">
        <v>135</v>
      </c>
      <c r="Q1001" s="4" t="s">
        <v>44</v>
      </c>
      <c r="R1001" s="7">
        <v>75000</v>
      </c>
      <c r="S1001" s="7">
        <v>0</v>
      </c>
      <c r="T1001" s="7">
        <f>R1001-S1001</f>
        <v>0</v>
      </c>
      <c r="U1001" s="7">
        <f>T1001*O1001</f>
        <v>0</v>
      </c>
    </row>
    <row r="1002" spans="1:21">
      <c r="A1002" s="4" t="s">
        <v>1474</v>
      </c>
      <c r="B1002" s="4" t="s">
        <v>39</v>
      </c>
      <c r="C1002" s="5">
        <v>45933.0702662037</v>
      </c>
      <c r="D1002" s="5">
        <v>45933</v>
      </c>
      <c r="E1002" s="6">
        <f>IF(AND(C1002&lt;&gt;"",D1002&lt;&gt;""),D1002-C1002,"")</f>
        <v>0</v>
      </c>
      <c r="F1002" s="4" t="s">
        <v>1475</v>
      </c>
      <c r="G1002" s="4"/>
      <c r="H1002" s="4"/>
      <c r="I1002" s="4" t="s">
        <v>56</v>
      </c>
      <c r="J1002" s="4">
        <v>0</v>
      </c>
      <c r="K1002" s="4">
        <v>0</v>
      </c>
      <c r="L1002" s="4">
        <f>J1002+K1002</f>
        <v>0</v>
      </c>
      <c r="M1002" s="4" t="s">
        <v>247</v>
      </c>
      <c r="N1002" s="4"/>
      <c r="O1002" s="4">
        <v>1</v>
      </c>
      <c r="P1002" s="4" t="s">
        <v>135</v>
      </c>
      <c r="Q1002" s="4" t="s">
        <v>44</v>
      </c>
      <c r="R1002" s="7">
        <v>75000</v>
      </c>
      <c r="S1002" s="7">
        <v>0</v>
      </c>
      <c r="T1002" s="7">
        <f>R1002-S1002</f>
        <v>0</v>
      </c>
      <c r="U1002" s="7">
        <f>T1002*O1002</f>
        <v>0</v>
      </c>
    </row>
    <row r="1003" spans="1:21">
      <c r="A1003" s="4" t="s">
        <v>1476</v>
      </c>
      <c r="B1003" s="4" t="s">
        <v>39</v>
      </c>
      <c r="C1003" s="5">
        <v>45933.08496527778</v>
      </c>
      <c r="D1003" s="5">
        <v>45933</v>
      </c>
      <c r="E1003" s="6">
        <f>IF(AND(C1003&lt;&gt;"",D1003&lt;&gt;""),D1003-C1003,"")</f>
        <v>0</v>
      </c>
      <c r="F1003" s="4" t="s">
        <v>1355</v>
      </c>
      <c r="G1003" s="4" t="s">
        <v>1356</v>
      </c>
      <c r="H1003" s="4" t="s">
        <v>177</v>
      </c>
      <c r="I1003" s="4" t="s">
        <v>56</v>
      </c>
      <c r="J1003" s="4">
        <v>0</v>
      </c>
      <c r="K1003" s="4">
        <v>0</v>
      </c>
      <c r="L1003" s="4">
        <f>J1003+K1003</f>
        <v>0</v>
      </c>
      <c r="M1003" s="4" t="s">
        <v>370</v>
      </c>
      <c r="N1003" s="4"/>
      <c r="O1003" s="4">
        <v>1</v>
      </c>
      <c r="P1003" s="4" t="s">
        <v>135</v>
      </c>
      <c r="Q1003" s="4" t="s">
        <v>44</v>
      </c>
      <c r="R1003" s="7">
        <v>2000000</v>
      </c>
      <c r="S1003" s="7">
        <v>0</v>
      </c>
      <c r="T1003" s="7">
        <f>R1003-S1003</f>
        <v>0</v>
      </c>
      <c r="U1003" s="7">
        <f>T1003*O1003</f>
        <v>0</v>
      </c>
    </row>
    <row r="1004" spans="1:21">
      <c r="A1004" s="4" t="s">
        <v>1477</v>
      </c>
      <c r="B1004" s="4" t="s">
        <v>39</v>
      </c>
      <c r="C1004" s="5">
        <v>45933.08553240741</v>
      </c>
      <c r="D1004" s="5">
        <v>45933</v>
      </c>
      <c r="E1004" s="6">
        <f>IF(AND(C1004&lt;&gt;"",D1004&lt;&gt;""),D1004-C1004,"")</f>
        <v>0</v>
      </c>
      <c r="F1004" s="4" t="s">
        <v>1358</v>
      </c>
      <c r="G1004" s="4" t="s">
        <v>1359</v>
      </c>
      <c r="H1004" s="4" t="s">
        <v>32</v>
      </c>
      <c r="I1004" s="4" t="s">
        <v>33</v>
      </c>
      <c r="J1004" s="4">
        <v>0</v>
      </c>
      <c r="K1004" s="4">
        <v>0</v>
      </c>
      <c r="L1004" s="4">
        <f>J1004+K1004</f>
        <v>0</v>
      </c>
      <c r="M1004" s="4" t="s">
        <v>370</v>
      </c>
      <c r="N1004" s="4"/>
      <c r="O1004" s="4">
        <v>1</v>
      </c>
      <c r="P1004" s="4" t="s">
        <v>135</v>
      </c>
      <c r="Q1004" s="4" t="s">
        <v>44</v>
      </c>
      <c r="R1004" s="7">
        <v>2000000</v>
      </c>
      <c r="S1004" s="7">
        <v>0</v>
      </c>
      <c r="T1004" s="7">
        <f>R1004-S1004</f>
        <v>0</v>
      </c>
      <c r="U1004" s="7">
        <f>T1004*O1004</f>
        <v>0</v>
      </c>
    </row>
    <row r="1005" spans="1:21">
      <c r="A1005" s="4" t="s">
        <v>1478</v>
      </c>
      <c r="B1005" s="4" t="s">
        <v>39</v>
      </c>
      <c r="C1005" s="5">
        <v>45933.08657407408</v>
      </c>
      <c r="D1005" s="5">
        <v>45933</v>
      </c>
      <c r="E1005" s="6">
        <f>IF(AND(C1005&lt;&gt;"",D1005&lt;&gt;""),D1005-C1005,"")</f>
        <v>0</v>
      </c>
      <c r="F1005" s="4" t="s">
        <v>1361</v>
      </c>
      <c r="G1005" s="4" t="s">
        <v>1362</v>
      </c>
      <c r="H1005" s="4" t="s">
        <v>32</v>
      </c>
      <c r="I1005" s="4" t="s">
        <v>33</v>
      </c>
      <c r="J1005" s="4">
        <v>0</v>
      </c>
      <c r="K1005" s="4">
        <v>0</v>
      </c>
      <c r="L1005" s="4">
        <f>J1005+K1005</f>
        <v>0</v>
      </c>
      <c r="M1005" s="4" t="s">
        <v>370</v>
      </c>
      <c r="N1005" s="4"/>
      <c r="O1005" s="4">
        <v>1</v>
      </c>
      <c r="P1005" s="4" t="s">
        <v>135</v>
      </c>
      <c r="Q1005" s="4" t="s">
        <v>44</v>
      </c>
      <c r="R1005" s="7">
        <v>2000000</v>
      </c>
      <c r="S1005" s="7">
        <v>0</v>
      </c>
      <c r="T1005" s="7">
        <f>R1005-S1005</f>
        <v>0</v>
      </c>
      <c r="U1005" s="7">
        <f>T1005*O1005</f>
        <v>0</v>
      </c>
    </row>
    <row r="1006" spans="1:21">
      <c r="A1006" s="4" t="s">
        <v>1479</v>
      </c>
      <c r="B1006" s="4" t="s">
        <v>39</v>
      </c>
      <c r="C1006" s="5">
        <v>45933.08773148148</v>
      </c>
      <c r="D1006" s="5">
        <v>45933</v>
      </c>
      <c r="E1006" s="6">
        <f>IF(AND(C1006&lt;&gt;"",D1006&lt;&gt;""),D1006-C1006,"")</f>
        <v>0</v>
      </c>
      <c r="F1006" s="4" t="s">
        <v>1367</v>
      </c>
      <c r="G1006" s="4" t="s">
        <v>1368</v>
      </c>
      <c r="H1006" s="4" t="s">
        <v>32</v>
      </c>
      <c r="I1006" s="4" t="s">
        <v>33</v>
      </c>
      <c r="J1006" s="4">
        <v>0</v>
      </c>
      <c r="K1006" s="4">
        <v>0</v>
      </c>
      <c r="L1006" s="4">
        <f>J1006+K1006</f>
        <v>0</v>
      </c>
      <c r="M1006" s="4" t="s">
        <v>370</v>
      </c>
      <c r="N1006" s="4"/>
      <c r="O1006" s="4">
        <v>1</v>
      </c>
      <c r="P1006" s="4" t="s">
        <v>135</v>
      </c>
      <c r="Q1006" s="4" t="s">
        <v>44</v>
      </c>
      <c r="R1006" s="7">
        <v>2000000</v>
      </c>
      <c r="S1006" s="7">
        <v>0</v>
      </c>
      <c r="T1006" s="7">
        <f>R1006-S1006</f>
        <v>0</v>
      </c>
      <c r="U1006" s="7">
        <f>T1006*O1006</f>
        <v>0</v>
      </c>
    </row>
    <row r="1007" spans="1:21">
      <c r="A1007" s="4" t="s">
        <v>1480</v>
      </c>
      <c r="B1007" s="4" t="s">
        <v>39</v>
      </c>
      <c r="C1007" s="5">
        <v>45933.08939814815</v>
      </c>
      <c r="D1007" s="5">
        <v>45933</v>
      </c>
      <c r="E1007" s="6">
        <f>IF(AND(C1007&lt;&gt;"",D1007&lt;&gt;""),D1007-C1007,"")</f>
        <v>0</v>
      </c>
      <c r="F1007" s="4" t="s">
        <v>1370</v>
      </c>
      <c r="G1007" s="4" t="s">
        <v>1371</v>
      </c>
      <c r="H1007" s="4" t="s">
        <v>32</v>
      </c>
      <c r="I1007" s="4" t="s">
        <v>33</v>
      </c>
      <c r="J1007" s="4">
        <v>0</v>
      </c>
      <c r="K1007" s="4">
        <v>0</v>
      </c>
      <c r="L1007" s="4">
        <f>J1007+K1007</f>
        <v>0</v>
      </c>
      <c r="M1007" s="4" t="s">
        <v>370</v>
      </c>
      <c r="N1007" s="4"/>
      <c r="O1007" s="4">
        <v>1</v>
      </c>
      <c r="P1007" s="4" t="s">
        <v>135</v>
      </c>
      <c r="Q1007" s="4" t="s">
        <v>44</v>
      </c>
      <c r="R1007" s="7">
        <v>2000000</v>
      </c>
      <c r="S1007" s="7">
        <v>0</v>
      </c>
      <c r="T1007" s="7">
        <f>R1007-S1007</f>
        <v>0</v>
      </c>
      <c r="U1007" s="7">
        <f>T1007*O1007</f>
        <v>0</v>
      </c>
    </row>
    <row r="1008" spans="1:21">
      <c r="A1008" s="4" t="s">
        <v>1481</v>
      </c>
      <c r="B1008" s="4" t="s">
        <v>39</v>
      </c>
      <c r="C1008" s="5">
        <v>45933.09054398148</v>
      </c>
      <c r="D1008" s="5">
        <v>45933</v>
      </c>
      <c r="E1008" s="6">
        <f>IF(AND(C1008&lt;&gt;"",D1008&lt;&gt;""),D1008-C1008,"")</f>
        <v>0</v>
      </c>
      <c r="F1008" s="4" t="s">
        <v>1373</v>
      </c>
      <c r="G1008" s="4" t="s">
        <v>1374</v>
      </c>
      <c r="H1008" s="4" t="s">
        <v>32</v>
      </c>
      <c r="I1008" s="4" t="s">
        <v>33</v>
      </c>
      <c r="J1008" s="4">
        <v>0</v>
      </c>
      <c r="K1008" s="4">
        <v>0</v>
      </c>
      <c r="L1008" s="4">
        <f>J1008+K1008</f>
        <v>0</v>
      </c>
      <c r="M1008" s="4" t="s">
        <v>370</v>
      </c>
      <c r="N1008" s="4"/>
      <c r="O1008" s="4">
        <v>1</v>
      </c>
      <c r="P1008" s="4" t="s">
        <v>135</v>
      </c>
      <c r="Q1008" s="4" t="s">
        <v>44</v>
      </c>
      <c r="R1008" s="7">
        <v>2000000</v>
      </c>
      <c r="S1008" s="7">
        <v>0</v>
      </c>
      <c r="T1008" s="7">
        <f>R1008-S1008</f>
        <v>0</v>
      </c>
      <c r="U1008" s="7">
        <f>T1008*O1008</f>
        <v>0</v>
      </c>
    </row>
    <row r="1009" spans="1:21">
      <c r="A1009" s="4" t="s">
        <v>1482</v>
      </c>
      <c r="B1009" s="4" t="s">
        <v>39</v>
      </c>
      <c r="C1009" s="5">
        <v>45933.14302083333</v>
      </c>
      <c r="D1009" s="5">
        <v>45933</v>
      </c>
      <c r="E1009" s="6">
        <f>IF(AND(C1009&lt;&gt;"",D1009&lt;&gt;""),D1009-C1009,"")</f>
        <v>0</v>
      </c>
      <c r="F1009" s="4" t="s">
        <v>1483</v>
      </c>
      <c r="G1009" s="4" t="s">
        <v>1484</v>
      </c>
      <c r="H1009" s="4" t="s">
        <v>32</v>
      </c>
      <c r="I1009" s="4" t="s">
        <v>33</v>
      </c>
      <c r="J1009" s="4">
        <v>0</v>
      </c>
      <c r="K1009" s="4">
        <v>0</v>
      </c>
      <c r="L1009" s="4">
        <f>J1009+K1009</f>
        <v>0</v>
      </c>
      <c r="M1009" s="4" t="s">
        <v>370</v>
      </c>
      <c r="N1009" s="4"/>
      <c r="O1009" s="4">
        <v>1</v>
      </c>
      <c r="P1009" s="4" t="s">
        <v>135</v>
      </c>
      <c r="Q1009" s="4" t="s">
        <v>44</v>
      </c>
      <c r="R1009" s="7">
        <v>1000000</v>
      </c>
      <c r="S1009" s="7">
        <v>0</v>
      </c>
      <c r="T1009" s="7">
        <f>R1009-S1009</f>
        <v>0</v>
      </c>
      <c r="U1009" s="7">
        <f>T1009*O1009</f>
        <v>0</v>
      </c>
    </row>
    <row r="1010" spans="1:21">
      <c r="A1010" s="4" t="s">
        <v>1485</v>
      </c>
      <c r="B1010" s="4" t="s">
        <v>39</v>
      </c>
      <c r="C1010" s="5">
        <v>45933.14747685185</v>
      </c>
      <c r="D1010" s="5">
        <v>45933</v>
      </c>
      <c r="E1010" s="6">
        <f>IF(AND(C1010&lt;&gt;"",D1010&lt;&gt;""),D1010-C1010,"")</f>
        <v>0</v>
      </c>
      <c r="F1010" s="4" t="s">
        <v>1483</v>
      </c>
      <c r="G1010" s="4" t="s">
        <v>1484</v>
      </c>
      <c r="H1010" s="4" t="s">
        <v>32</v>
      </c>
      <c r="I1010" s="4" t="s">
        <v>33</v>
      </c>
      <c r="J1010" s="4">
        <v>0</v>
      </c>
      <c r="K1010" s="4">
        <v>0</v>
      </c>
      <c r="L1010" s="4">
        <f>J1010+K1010</f>
        <v>0</v>
      </c>
      <c r="M1010" s="4" t="s">
        <v>370</v>
      </c>
      <c r="N1010" s="4"/>
      <c r="O1010" s="4">
        <v>1</v>
      </c>
      <c r="P1010" s="4" t="s">
        <v>43</v>
      </c>
      <c r="Q1010" s="4" t="s">
        <v>44</v>
      </c>
      <c r="R1010" s="7">
        <v>1000000</v>
      </c>
      <c r="S1010" s="7">
        <v>0</v>
      </c>
      <c r="T1010" s="7">
        <f>R1010-S1010</f>
        <v>0</v>
      </c>
      <c r="U1010" s="7">
        <f>T1010*O1010</f>
        <v>0</v>
      </c>
    </row>
    <row r="1011" spans="1:21">
      <c r="A1011" s="4" t="s">
        <v>1486</v>
      </c>
      <c r="B1011" s="4" t="s">
        <v>39</v>
      </c>
      <c r="C1011" s="5">
        <v>45933.1599074074</v>
      </c>
      <c r="D1011" s="5">
        <v>45933</v>
      </c>
      <c r="E1011" s="6">
        <f>IF(AND(C1011&lt;&gt;"",D1011&lt;&gt;""),D1011-C1011,"")</f>
        <v>0</v>
      </c>
      <c r="F1011" s="4" t="s">
        <v>1487</v>
      </c>
      <c r="G1011" s="4" t="s">
        <v>1488</v>
      </c>
      <c r="H1011" s="4" t="s">
        <v>32</v>
      </c>
      <c r="I1011" s="4" t="s">
        <v>33</v>
      </c>
      <c r="J1011" s="4">
        <v>0</v>
      </c>
      <c r="K1011" s="4">
        <v>0</v>
      </c>
      <c r="L1011" s="4">
        <f>J1011+K1011</f>
        <v>0</v>
      </c>
      <c r="M1011" s="4" t="s">
        <v>370</v>
      </c>
      <c r="N1011" s="4"/>
      <c r="O1011" s="4">
        <v>1</v>
      </c>
      <c r="P1011" s="4" t="s">
        <v>135</v>
      </c>
      <c r="Q1011" s="4" t="s">
        <v>44</v>
      </c>
      <c r="R1011" s="7">
        <v>1000000</v>
      </c>
      <c r="S1011" s="7">
        <v>0</v>
      </c>
      <c r="T1011" s="7">
        <f>R1011-S1011</f>
        <v>0</v>
      </c>
      <c r="U1011" s="7">
        <f>T1011*O1011</f>
        <v>0</v>
      </c>
    </row>
    <row r="1012" spans="1:21">
      <c r="A1012" s="4" t="s">
        <v>1489</v>
      </c>
      <c r="B1012" s="4" t="s">
        <v>39</v>
      </c>
      <c r="C1012" s="5">
        <v>45933.18844907408</v>
      </c>
      <c r="D1012" s="5">
        <v>45933</v>
      </c>
      <c r="E1012" s="6">
        <f>IF(AND(C1012&lt;&gt;"",D1012&lt;&gt;""),D1012-C1012,"")</f>
        <v>0</v>
      </c>
      <c r="F1012" s="4" t="s">
        <v>1490</v>
      </c>
      <c r="G1012" s="4"/>
      <c r="H1012" s="4"/>
      <c r="I1012" s="4" t="s">
        <v>56</v>
      </c>
      <c r="J1012" s="4">
        <v>1</v>
      </c>
      <c r="K1012" s="4">
        <v>0</v>
      </c>
      <c r="L1012" s="4">
        <f>J1012+K1012</f>
        <v>0</v>
      </c>
      <c r="M1012" s="4" t="s">
        <v>80</v>
      </c>
      <c r="N1012" s="4"/>
      <c r="O1012" s="4">
        <v>1</v>
      </c>
      <c r="P1012" s="4" t="s">
        <v>135</v>
      </c>
      <c r="Q1012" s="4" t="s">
        <v>1491</v>
      </c>
      <c r="R1012" s="7">
        <v>598000</v>
      </c>
      <c r="S1012" s="7">
        <v>0</v>
      </c>
      <c r="T1012" s="7">
        <f>R1012-S1012</f>
        <v>0</v>
      </c>
      <c r="U1012" s="7">
        <f>T1012*O1012</f>
        <v>0</v>
      </c>
    </row>
    <row r="1013" spans="1:21">
      <c r="A1013" s="4" t="s">
        <v>1489</v>
      </c>
      <c r="B1013" s="4" t="s">
        <v>39</v>
      </c>
      <c r="C1013" s="5">
        <v>45933.18844907408</v>
      </c>
      <c r="D1013" s="5">
        <v>45933</v>
      </c>
      <c r="E1013" s="6">
        <f>IF(AND(C1013&lt;&gt;"",D1013&lt;&gt;""),D1013-C1013,"")</f>
        <v>0</v>
      </c>
      <c r="F1013" s="4" t="s">
        <v>1490</v>
      </c>
      <c r="G1013" s="4"/>
      <c r="H1013" s="4"/>
      <c r="I1013" s="4" t="s">
        <v>56</v>
      </c>
      <c r="J1013" s="4">
        <v>1</v>
      </c>
      <c r="K1013" s="4">
        <v>0</v>
      </c>
      <c r="L1013" s="4">
        <f>J1013+K1013</f>
        <v>0</v>
      </c>
      <c r="M1013" s="4" t="s">
        <v>42</v>
      </c>
      <c r="N1013" s="4"/>
      <c r="O1013" s="4">
        <v>1</v>
      </c>
      <c r="P1013" s="4" t="s">
        <v>135</v>
      </c>
      <c r="Q1013" s="4" t="s">
        <v>1491</v>
      </c>
      <c r="R1013" s="7">
        <v>499000</v>
      </c>
      <c r="S1013" s="7">
        <v>0</v>
      </c>
      <c r="T1013" s="7">
        <f>R1013-S1013</f>
        <v>0</v>
      </c>
      <c r="U1013" s="7">
        <f>T1013*O1013</f>
        <v>0</v>
      </c>
    </row>
    <row r="1014" spans="1:21">
      <c r="A1014" s="4" t="s">
        <v>1492</v>
      </c>
      <c r="B1014" s="4" t="s">
        <v>39</v>
      </c>
      <c r="C1014" s="5">
        <v>45933.19086805556</v>
      </c>
      <c r="D1014" s="5">
        <v>45933</v>
      </c>
      <c r="E1014" s="6">
        <f>IF(AND(C1014&lt;&gt;"",D1014&lt;&gt;""),D1014-C1014,"")</f>
        <v>0</v>
      </c>
      <c r="F1014" s="4" t="s">
        <v>1493</v>
      </c>
      <c r="G1014" s="4"/>
      <c r="H1014" s="4"/>
      <c r="I1014" s="4" t="s">
        <v>56</v>
      </c>
      <c r="J1014" s="4">
        <v>1</v>
      </c>
      <c r="K1014" s="4">
        <v>0</v>
      </c>
      <c r="L1014" s="4">
        <f>J1014+K1014</f>
        <v>0</v>
      </c>
      <c r="M1014" s="4" t="s">
        <v>42</v>
      </c>
      <c r="N1014" s="4"/>
      <c r="O1014" s="4">
        <v>1</v>
      </c>
      <c r="P1014" s="4" t="s">
        <v>135</v>
      </c>
      <c r="Q1014" s="4" t="s">
        <v>44</v>
      </c>
      <c r="R1014" s="7">
        <v>370000</v>
      </c>
      <c r="S1014" s="7">
        <v>0</v>
      </c>
      <c r="T1014" s="7">
        <f>R1014-S1014</f>
        <v>0</v>
      </c>
      <c r="U1014" s="7">
        <f>T1014*O1014</f>
        <v>0</v>
      </c>
    </row>
    <row r="1015" spans="1:21">
      <c r="A1015" s="4" t="s">
        <v>1492</v>
      </c>
      <c r="B1015" s="4" t="s">
        <v>39</v>
      </c>
      <c r="C1015" s="5">
        <v>45933.19086805556</v>
      </c>
      <c r="D1015" s="5">
        <v>45933</v>
      </c>
      <c r="E1015" s="6">
        <f>IF(AND(C1015&lt;&gt;"",D1015&lt;&gt;""),D1015-C1015,"")</f>
        <v>0</v>
      </c>
      <c r="F1015" s="4" t="s">
        <v>1493</v>
      </c>
      <c r="G1015" s="4"/>
      <c r="H1015" s="4"/>
      <c r="I1015" s="4" t="s">
        <v>56</v>
      </c>
      <c r="J1015" s="4">
        <v>1</v>
      </c>
      <c r="K1015" s="4">
        <v>0</v>
      </c>
      <c r="L1015" s="4">
        <f>J1015+K1015</f>
        <v>0</v>
      </c>
      <c r="M1015" s="4" t="s">
        <v>80</v>
      </c>
      <c r="N1015" s="4"/>
      <c r="O1015" s="4">
        <v>1</v>
      </c>
      <c r="P1015" s="4" t="s">
        <v>135</v>
      </c>
      <c r="Q1015" s="4" t="s">
        <v>44</v>
      </c>
      <c r="R1015" s="7">
        <v>610000</v>
      </c>
      <c r="S1015" s="7">
        <v>0</v>
      </c>
      <c r="T1015" s="7">
        <f>R1015-S1015</f>
        <v>0</v>
      </c>
      <c r="U1015" s="7">
        <f>T1015*O1015</f>
        <v>0</v>
      </c>
    </row>
    <row r="1016" spans="1:21">
      <c r="A1016" s="4" t="s">
        <v>1494</v>
      </c>
      <c r="B1016" s="4" t="s">
        <v>48</v>
      </c>
      <c r="C1016" s="5">
        <v>45933.23862268519</v>
      </c>
      <c r="D1016" s="5">
        <v>45961</v>
      </c>
      <c r="E1016" s="6">
        <f>IF(AND(C1016&lt;&gt;"",D1016&lt;&gt;""),D1016-C1016,"")</f>
        <v>0</v>
      </c>
      <c r="F1016" s="4" t="s">
        <v>201</v>
      </c>
      <c r="G1016" s="4" t="s">
        <v>202</v>
      </c>
      <c r="H1016" s="4" t="s">
        <v>32</v>
      </c>
      <c r="I1016" s="4" t="s">
        <v>33</v>
      </c>
      <c r="J1016" s="4">
        <v>1</v>
      </c>
      <c r="K1016" s="4">
        <v>1</v>
      </c>
      <c r="L1016" s="4">
        <f>J1016+K1016</f>
        <v>0</v>
      </c>
      <c r="M1016" s="4"/>
      <c r="N1016" s="4"/>
      <c r="O1016" s="4">
        <v>0</v>
      </c>
      <c r="P1016" s="4"/>
      <c r="Q1016" s="4"/>
      <c r="R1016" s="7">
        <v>0</v>
      </c>
      <c r="S1016" s="7">
        <v>0</v>
      </c>
      <c r="T1016" s="7">
        <f>R1016-S1016</f>
        <v>0</v>
      </c>
      <c r="U1016" s="7">
        <f>T1016*O1016</f>
        <v>0</v>
      </c>
    </row>
    <row r="1017" spans="1:21">
      <c r="A1017" s="4" t="s">
        <v>1495</v>
      </c>
      <c r="B1017" s="4" t="s">
        <v>48</v>
      </c>
      <c r="C1017" s="5">
        <v>45933.31569444444</v>
      </c>
      <c r="D1017" s="5">
        <v>45961</v>
      </c>
      <c r="E1017" s="6">
        <f>IF(AND(C1017&lt;&gt;"",D1017&lt;&gt;""),D1017-C1017,"")</f>
        <v>0</v>
      </c>
      <c r="F1017" s="4" t="s">
        <v>892</v>
      </c>
      <c r="G1017" s="4" t="s">
        <v>400</v>
      </c>
      <c r="H1017" s="4" t="s">
        <v>32</v>
      </c>
      <c r="I1017" s="4" t="s">
        <v>33</v>
      </c>
      <c r="J1017" s="4">
        <v>8</v>
      </c>
      <c r="K1017" s="4">
        <v>2</v>
      </c>
      <c r="L1017" s="4">
        <f>J1017+K1017</f>
        <v>0</v>
      </c>
      <c r="M1017" s="4"/>
      <c r="N1017" s="4"/>
      <c r="O1017" s="4">
        <v>0</v>
      </c>
      <c r="P1017" s="4"/>
      <c r="Q1017" s="4"/>
      <c r="R1017" s="7">
        <v>0</v>
      </c>
      <c r="S1017" s="7">
        <v>0</v>
      </c>
      <c r="T1017" s="7">
        <f>R1017-S1017</f>
        <v>0</v>
      </c>
      <c r="U1017" s="7">
        <f>T1017*O1017</f>
        <v>0</v>
      </c>
    </row>
    <row r="1018" spans="1:21">
      <c r="A1018" s="4" t="s">
        <v>1496</v>
      </c>
      <c r="B1018" s="4" t="s">
        <v>48</v>
      </c>
      <c r="C1018" s="5">
        <v>45933.3196875</v>
      </c>
      <c r="D1018" s="5">
        <v>45961</v>
      </c>
      <c r="E1018" s="6">
        <f>IF(AND(C1018&lt;&gt;"",D1018&lt;&gt;""),D1018-C1018,"")</f>
        <v>0</v>
      </c>
      <c r="F1018" s="4" t="s">
        <v>1497</v>
      </c>
      <c r="G1018" s="4" t="s">
        <v>1498</v>
      </c>
      <c r="H1018" s="4" t="s">
        <v>32</v>
      </c>
      <c r="I1018" s="4" t="s">
        <v>33</v>
      </c>
      <c r="J1018" s="4">
        <v>3</v>
      </c>
      <c r="K1018" s="4">
        <v>0</v>
      </c>
      <c r="L1018" s="4">
        <f>J1018+K1018</f>
        <v>0</v>
      </c>
      <c r="M1018" s="4"/>
      <c r="N1018" s="4"/>
      <c r="O1018" s="4">
        <v>0</v>
      </c>
      <c r="P1018" s="4"/>
      <c r="Q1018" s="4"/>
      <c r="R1018" s="7">
        <v>0</v>
      </c>
      <c r="S1018" s="7">
        <v>0</v>
      </c>
      <c r="T1018" s="7">
        <f>R1018-S1018</f>
        <v>0</v>
      </c>
      <c r="U1018" s="7">
        <f>T1018*O1018</f>
        <v>0</v>
      </c>
    </row>
    <row r="1019" spans="1:21">
      <c r="A1019" s="4" t="s">
        <v>1499</v>
      </c>
      <c r="B1019" s="4" t="s">
        <v>48</v>
      </c>
      <c r="C1019" s="5">
        <v>45933.34064814815</v>
      </c>
      <c r="D1019" s="5">
        <v>45961</v>
      </c>
      <c r="E1019" s="6">
        <f>IF(AND(C1019&lt;&gt;"",D1019&lt;&gt;""),D1019-C1019,"")</f>
        <v>0</v>
      </c>
      <c r="F1019" s="4" t="s">
        <v>372</v>
      </c>
      <c r="G1019" s="4" t="s">
        <v>373</v>
      </c>
      <c r="H1019" s="4" t="s">
        <v>32</v>
      </c>
      <c r="I1019" s="4" t="s">
        <v>33</v>
      </c>
      <c r="J1019" s="4">
        <v>11</v>
      </c>
      <c r="K1019" s="4">
        <v>2</v>
      </c>
      <c r="L1019" s="4">
        <f>J1019+K1019</f>
        <v>0</v>
      </c>
      <c r="M1019" s="4"/>
      <c r="N1019" s="4"/>
      <c r="O1019" s="4">
        <v>0</v>
      </c>
      <c r="P1019" s="4"/>
      <c r="Q1019" s="4"/>
      <c r="R1019" s="7">
        <v>0</v>
      </c>
      <c r="S1019" s="7">
        <v>0</v>
      </c>
      <c r="T1019" s="7">
        <f>R1019-S1019</f>
        <v>0</v>
      </c>
      <c r="U1019" s="7">
        <f>T1019*O1019</f>
        <v>0</v>
      </c>
    </row>
    <row r="1020" spans="1:21">
      <c r="A1020" s="4" t="s">
        <v>1500</v>
      </c>
      <c r="B1020" s="4" t="s">
        <v>48</v>
      </c>
      <c r="C1020" s="5">
        <v>45933.37219907407</v>
      </c>
      <c r="D1020" s="5">
        <v>45961</v>
      </c>
      <c r="E1020" s="6">
        <f>IF(AND(C1020&lt;&gt;"",D1020&lt;&gt;""),D1020-C1020,"")</f>
        <v>0</v>
      </c>
      <c r="F1020" s="4" t="s">
        <v>1501</v>
      </c>
      <c r="G1020" s="4" t="s">
        <v>1502</v>
      </c>
      <c r="H1020" s="4" t="s">
        <v>32</v>
      </c>
      <c r="I1020" s="4" t="s">
        <v>33</v>
      </c>
      <c r="J1020" s="4">
        <v>3</v>
      </c>
      <c r="K1020" s="4">
        <v>0</v>
      </c>
      <c r="L1020" s="4">
        <f>J1020+K1020</f>
        <v>0</v>
      </c>
      <c r="M1020" s="4"/>
      <c r="N1020" s="4"/>
      <c r="O1020" s="4">
        <v>0</v>
      </c>
      <c r="P1020" s="4"/>
      <c r="Q1020" s="4"/>
      <c r="R1020" s="7">
        <v>0</v>
      </c>
      <c r="S1020" s="7">
        <v>0</v>
      </c>
      <c r="T1020" s="7">
        <f>R1020-S1020</f>
        <v>0</v>
      </c>
      <c r="U1020" s="7">
        <f>T1020*O1020</f>
        <v>0</v>
      </c>
    </row>
    <row r="1021" spans="1:21">
      <c r="A1021" s="4" t="s">
        <v>1503</v>
      </c>
      <c r="B1021" s="4" t="s">
        <v>48</v>
      </c>
      <c r="C1021" s="5">
        <v>45933.38135416667</v>
      </c>
      <c r="D1021" s="5">
        <v>45961</v>
      </c>
      <c r="E1021" s="6">
        <f>IF(AND(C1021&lt;&gt;"",D1021&lt;&gt;""),D1021-C1021,"")</f>
        <v>0</v>
      </c>
      <c r="F1021" s="4" t="s">
        <v>162</v>
      </c>
      <c r="G1021" s="4" t="s">
        <v>163</v>
      </c>
      <c r="H1021" s="4" t="s">
        <v>32</v>
      </c>
      <c r="I1021" s="4" t="s">
        <v>33</v>
      </c>
      <c r="J1021" s="4">
        <v>8</v>
      </c>
      <c r="K1021" s="4">
        <v>0</v>
      </c>
      <c r="L1021" s="4">
        <f>J1021+K1021</f>
        <v>0</v>
      </c>
      <c r="M1021" s="4"/>
      <c r="N1021" s="4"/>
      <c r="O1021" s="4">
        <v>0</v>
      </c>
      <c r="P1021" s="4"/>
      <c r="Q1021" s="4"/>
      <c r="R1021" s="7">
        <v>0</v>
      </c>
      <c r="S1021" s="7">
        <v>0</v>
      </c>
      <c r="T1021" s="7">
        <f>R1021-S1021</f>
        <v>0</v>
      </c>
      <c r="U1021" s="7">
        <f>T1021*O1021</f>
        <v>0</v>
      </c>
    </row>
    <row r="1022" spans="1:21">
      <c r="A1022" s="4" t="s">
        <v>1504</v>
      </c>
      <c r="B1022" s="4" t="s">
        <v>29</v>
      </c>
      <c r="C1022" s="5">
        <v>45933.54846064815</v>
      </c>
      <c r="D1022" s="5">
        <v>45961</v>
      </c>
      <c r="E1022" s="6">
        <f>IF(AND(C1022&lt;&gt;"",D1022&lt;&gt;""),D1022-C1022,"")</f>
        <v>0</v>
      </c>
      <c r="F1022" s="4" t="s">
        <v>307</v>
      </c>
      <c r="G1022" s="4" t="s">
        <v>308</v>
      </c>
      <c r="H1022" s="4" t="s">
        <v>190</v>
      </c>
      <c r="I1022" s="4" t="s">
        <v>56</v>
      </c>
      <c r="J1022" s="4">
        <v>1</v>
      </c>
      <c r="K1022" s="4">
        <v>0</v>
      </c>
      <c r="L1022" s="4">
        <f>J1022+K1022</f>
        <v>0</v>
      </c>
      <c r="M1022" s="4"/>
      <c r="N1022" s="4"/>
      <c r="O1022" s="4">
        <v>0</v>
      </c>
      <c r="P1022" s="4"/>
      <c r="Q1022" s="4"/>
      <c r="R1022" s="7">
        <v>0</v>
      </c>
      <c r="S1022" s="7">
        <v>0</v>
      </c>
      <c r="T1022" s="7">
        <f>R1022-S1022</f>
        <v>0</v>
      </c>
      <c r="U1022" s="7">
        <f>T1022*O1022</f>
        <v>0</v>
      </c>
    </row>
    <row r="1023" spans="1:21">
      <c r="A1023" s="4" t="s">
        <v>1505</v>
      </c>
      <c r="B1023" s="4" t="s">
        <v>29</v>
      </c>
      <c r="C1023" s="5">
        <v>45933.54872685186</v>
      </c>
      <c r="D1023" s="5">
        <v>45961</v>
      </c>
      <c r="E1023" s="6">
        <f>IF(AND(C1023&lt;&gt;"",D1023&lt;&gt;""),D1023-C1023,"")</f>
        <v>0</v>
      </c>
      <c r="F1023" s="4" t="s">
        <v>307</v>
      </c>
      <c r="G1023" s="4" t="s">
        <v>308</v>
      </c>
      <c r="H1023" s="4" t="s">
        <v>190</v>
      </c>
      <c r="I1023" s="4" t="s">
        <v>56</v>
      </c>
      <c r="J1023" s="4">
        <v>1</v>
      </c>
      <c r="K1023" s="4">
        <v>0</v>
      </c>
      <c r="L1023" s="4">
        <f>J1023+K1023</f>
        <v>0</v>
      </c>
      <c r="M1023" s="4"/>
      <c r="N1023" s="4"/>
      <c r="O1023" s="4">
        <v>0</v>
      </c>
      <c r="P1023" s="4"/>
      <c r="Q1023" s="4"/>
      <c r="R1023" s="7">
        <v>0</v>
      </c>
      <c r="S1023" s="7">
        <v>0</v>
      </c>
      <c r="T1023" s="7">
        <f>R1023-S1023</f>
        <v>0</v>
      </c>
      <c r="U1023" s="7">
        <f>T1023*O1023</f>
        <v>0</v>
      </c>
    </row>
    <row r="1024" spans="1:21">
      <c r="A1024" s="4" t="s">
        <v>1506</v>
      </c>
      <c r="B1024" s="4" t="s">
        <v>39</v>
      </c>
      <c r="C1024" s="5">
        <v>45934.25202546296</v>
      </c>
      <c r="D1024" s="5">
        <v>45934</v>
      </c>
      <c r="E1024" s="6">
        <f>IF(AND(C1024&lt;&gt;"",D1024&lt;&gt;""),D1024-C1024,"")</f>
        <v>0</v>
      </c>
      <c r="F1024" s="4" t="s">
        <v>1507</v>
      </c>
      <c r="G1024" s="4" t="s">
        <v>1508</v>
      </c>
      <c r="H1024" s="4" t="s">
        <v>190</v>
      </c>
      <c r="I1024" s="4" t="s">
        <v>56</v>
      </c>
      <c r="J1024" s="4">
        <v>0</v>
      </c>
      <c r="K1024" s="4">
        <v>0</v>
      </c>
      <c r="L1024" s="4">
        <f>J1024+K1024</f>
        <v>0</v>
      </c>
      <c r="M1024" s="4" t="s">
        <v>370</v>
      </c>
      <c r="N1024" s="4"/>
      <c r="O1024" s="4">
        <v>1</v>
      </c>
      <c r="P1024" s="4" t="s">
        <v>135</v>
      </c>
      <c r="Q1024" s="4" t="s">
        <v>44</v>
      </c>
      <c r="R1024" s="7">
        <v>2000000</v>
      </c>
      <c r="S1024" s="7">
        <v>0</v>
      </c>
      <c r="T1024" s="7">
        <f>R1024-S1024</f>
        <v>0</v>
      </c>
      <c r="U1024" s="7">
        <f>T1024*O1024</f>
        <v>0</v>
      </c>
    </row>
    <row r="1025" spans="1:21">
      <c r="A1025" s="4" t="s">
        <v>1509</v>
      </c>
      <c r="B1025" s="4" t="s">
        <v>39</v>
      </c>
      <c r="C1025" s="5">
        <v>45934.25278935185</v>
      </c>
      <c r="D1025" s="5">
        <v>45934</v>
      </c>
      <c r="E1025" s="6">
        <f>IF(AND(C1025&lt;&gt;"",D1025&lt;&gt;""),D1025-C1025,"")</f>
        <v>0</v>
      </c>
      <c r="F1025" s="4" t="s">
        <v>1507</v>
      </c>
      <c r="G1025" s="4" t="s">
        <v>1508</v>
      </c>
      <c r="H1025" s="4" t="s">
        <v>190</v>
      </c>
      <c r="I1025" s="4" t="s">
        <v>56</v>
      </c>
      <c r="J1025" s="4">
        <v>0</v>
      </c>
      <c r="K1025" s="4">
        <v>0</v>
      </c>
      <c r="L1025" s="4">
        <f>J1025+K1025</f>
        <v>0</v>
      </c>
      <c r="M1025" s="4" t="s">
        <v>370</v>
      </c>
      <c r="N1025" s="4"/>
      <c r="O1025" s="4">
        <v>1</v>
      </c>
      <c r="P1025" s="4" t="s">
        <v>135</v>
      </c>
      <c r="Q1025" s="4" t="s">
        <v>44</v>
      </c>
      <c r="R1025" s="7">
        <v>2000000</v>
      </c>
      <c r="S1025" s="7">
        <v>0</v>
      </c>
      <c r="T1025" s="7">
        <f>R1025-S1025</f>
        <v>0</v>
      </c>
      <c r="U1025" s="7">
        <f>T1025*O1025</f>
        <v>0</v>
      </c>
    </row>
    <row r="1026" spans="1:21">
      <c r="A1026" s="4" t="s">
        <v>1510</v>
      </c>
      <c r="B1026" s="4" t="s">
        <v>39</v>
      </c>
      <c r="C1026" s="5">
        <v>45934.25422453704</v>
      </c>
      <c r="D1026" s="5">
        <v>45934</v>
      </c>
      <c r="E1026" s="6">
        <f>IF(AND(C1026&lt;&gt;"",D1026&lt;&gt;""),D1026-C1026,"")</f>
        <v>0</v>
      </c>
      <c r="F1026" s="4" t="s">
        <v>1507</v>
      </c>
      <c r="G1026" s="4" t="s">
        <v>1508</v>
      </c>
      <c r="H1026" s="4" t="s">
        <v>190</v>
      </c>
      <c r="I1026" s="4" t="s">
        <v>56</v>
      </c>
      <c r="J1026" s="4">
        <v>0</v>
      </c>
      <c r="K1026" s="4">
        <v>0</v>
      </c>
      <c r="L1026" s="4">
        <f>J1026+K1026</f>
        <v>0</v>
      </c>
      <c r="M1026" s="4" t="s">
        <v>370</v>
      </c>
      <c r="N1026" s="4"/>
      <c r="O1026" s="4">
        <v>1</v>
      </c>
      <c r="P1026" s="4" t="s">
        <v>135</v>
      </c>
      <c r="Q1026" s="4" t="s">
        <v>44</v>
      </c>
      <c r="R1026" s="7">
        <v>2000000</v>
      </c>
      <c r="S1026" s="7">
        <v>0</v>
      </c>
      <c r="T1026" s="7">
        <f>R1026-S1026</f>
        <v>0</v>
      </c>
      <c r="U1026" s="7">
        <f>T1026*O1026</f>
        <v>0</v>
      </c>
    </row>
    <row r="1027" spans="1:21">
      <c r="A1027" s="4" t="s">
        <v>1511</v>
      </c>
      <c r="B1027" s="4" t="s">
        <v>39</v>
      </c>
      <c r="C1027" s="5">
        <v>45934.25503472222</v>
      </c>
      <c r="D1027" s="5">
        <v>45934</v>
      </c>
      <c r="E1027" s="6">
        <f>IF(AND(C1027&lt;&gt;"",D1027&lt;&gt;""),D1027-C1027,"")</f>
        <v>0</v>
      </c>
      <c r="F1027" s="4" t="s">
        <v>1507</v>
      </c>
      <c r="G1027" s="4" t="s">
        <v>1508</v>
      </c>
      <c r="H1027" s="4" t="s">
        <v>190</v>
      </c>
      <c r="I1027" s="4" t="s">
        <v>56</v>
      </c>
      <c r="J1027" s="4">
        <v>0</v>
      </c>
      <c r="K1027" s="4">
        <v>0</v>
      </c>
      <c r="L1027" s="4">
        <f>J1027+K1027</f>
        <v>0</v>
      </c>
      <c r="M1027" s="4" t="s">
        <v>370</v>
      </c>
      <c r="N1027" s="4"/>
      <c r="O1027" s="4">
        <v>1</v>
      </c>
      <c r="P1027" s="4" t="s">
        <v>135</v>
      </c>
      <c r="Q1027" s="4" t="s">
        <v>44</v>
      </c>
      <c r="R1027" s="7">
        <v>2000000</v>
      </c>
      <c r="S1027" s="7">
        <v>0</v>
      </c>
      <c r="T1027" s="7">
        <f>R1027-S1027</f>
        <v>0</v>
      </c>
      <c r="U1027" s="7">
        <f>T1027*O1027</f>
        <v>0</v>
      </c>
    </row>
    <row r="1028" spans="1:21">
      <c r="A1028" s="4" t="s">
        <v>1512</v>
      </c>
      <c r="B1028" s="4" t="s">
        <v>48</v>
      </c>
      <c r="C1028" s="5">
        <v>45934.30212962963</v>
      </c>
      <c r="D1028" s="5">
        <v>45961</v>
      </c>
      <c r="E1028" s="6">
        <f>IF(AND(C1028&lt;&gt;"",D1028&lt;&gt;""),D1028-C1028,"")</f>
        <v>0</v>
      </c>
      <c r="F1028" s="4" t="s">
        <v>1399</v>
      </c>
      <c r="G1028" s="4" t="s">
        <v>202</v>
      </c>
      <c r="H1028" s="4" t="s">
        <v>32</v>
      </c>
      <c r="I1028" s="4" t="s">
        <v>33</v>
      </c>
      <c r="J1028" s="4">
        <v>1</v>
      </c>
      <c r="K1028" s="4">
        <v>0</v>
      </c>
      <c r="L1028" s="4">
        <f>J1028+K1028</f>
        <v>0</v>
      </c>
      <c r="M1028" s="4"/>
      <c r="N1028" s="4"/>
      <c r="O1028" s="4">
        <v>0</v>
      </c>
      <c r="P1028" s="4"/>
      <c r="Q1028" s="4"/>
      <c r="R1028" s="7">
        <v>0</v>
      </c>
      <c r="S1028" s="7">
        <v>0</v>
      </c>
      <c r="T1028" s="7">
        <f>R1028-S1028</f>
        <v>0</v>
      </c>
      <c r="U1028" s="7">
        <f>T1028*O1028</f>
        <v>0</v>
      </c>
    </row>
    <row r="1029" spans="1:21">
      <c r="A1029" s="4" t="s">
        <v>1513</v>
      </c>
      <c r="B1029" s="4" t="s">
        <v>39</v>
      </c>
      <c r="C1029" s="5">
        <v>45934.36138888889</v>
      </c>
      <c r="D1029" s="5">
        <v>45934</v>
      </c>
      <c r="E1029" s="6">
        <f>IF(AND(C1029&lt;&gt;"",D1029&lt;&gt;""),D1029-C1029,"")</f>
        <v>0</v>
      </c>
      <c r="F1029" s="4" t="s">
        <v>1507</v>
      </c>
      <c r="G1029" s="4" t="s">
        <v>1508</v>
      </c>
      <c r="H1029" s="4" t="s">
        <v>190</v>
      </c>
      <c r="I1029" s="4" t="s">
        <v>56</v>
      </c>
      <c r="J1029" s="4">
        <v>0</v>
      </c>
      <c r="K1029" s="4">
        <v>0</v>
      </c>
      <c r="L1029" s="4">
        <f>J1029+K1029</f>
        <v>0</v>
      </c>
      <c r="M1029" s="4" t="s">
        <v>370</v>
      </c>
      <c r="N1029" s="4"/>
      <c r="O1029" s="4">
        <v>1</v>
      </c>
      <c r="P1029" s="4" t="s">
        <v>43</v>
      </c>
      <c r="Q1029" s="4" t="s">
        <v>44</v>
      </c>
      <c r="R1029" s="7">
        <v>1000000</v>
      </c>
      <c r="S1029" s="7">
        <v>0</v>
      </c>
      <c r="T1029" s="7">
        <f>R1029-S1029</f>
        <v>0</v>
      </c>
      <c r="U1029" s="7">
        <f>T1029*O1029</f>
        <v>0</v>
      </c>
    </row>
    <row r="1030" spans="1:21">
      <c r="A1030" s="4" t="s">
        <v>1514</v>
      </c>
      <c r="B1030" s="4" t="s">
        <v>39</v>
      </c>
      <c r="C1030" s="5">
        <v>45934.3622800926</v>
      </c>
      <c r="D1030" s="5">
        <v>45934</v>
      </c>
      <c r="E1030" s="6">
        <f>IF(AND(C1030&lt;&gt;"",D1030&lt;&gt;""),D1030-C1030,"")</f>
        <v>0</v>
      </c>
      <c r="F1030" s="4" t="s">
        <v>1507</v>
      </c>
      <c r="G1030" s="4" t="s">
        <v>1508</v>
      </c>
      <c r="H1030" s="4" t="s">
        <v>190</v>
      </c>
      <c r="I1030" s="4" t="s">
        <v>56</v>
      </c>
      <c r="J1030" s="4">
        <v>0</v>
      </c>
      <c r="K1030" s="4">
        <v>0</v>
      </c>
      <c r="L1030" s="4">
        <f>J1030+K1030</f>
        <v>0</v>
      </c>
      <c r="M1030" s="4" t="s">
        <v>370</v>
      </c>
      <c r="N1030" s="4"/>
      <c r="O1030" s="4">
        <v>1</v>
      </c>
      <c r="P1030" s="4" t="s">
        <v>43</v>
      </c>
      <c r="Q1030" s="4" t="s">
        <v>44</v>
      </c>
      <c r="R1030" s="7">
        <v>500000</v>
      </c>
      <c r="S1030" s="7">
        <v>0</v>
      </c>
      <c r="T1030" s="7">
        <f>R1030-S1030</f>
        <v>0</v>
      </c>
      <c r="U1030" s="7">
        <f>T1030*O1030</f>
        <v>0</v>
      </c>
    </row>
    <row r="1031" spans="1:21">
      <c r="A1031" s="4" t="s">
        <v>1515</v>
      </c>
      <c r="B1031" s="4" t="s">
        <v>39</v>
      </c>
      <c r="C1031" s="5">
        <v>45934.37215277777</v>
      </c>
      <c r="D1031" s="5">
        <v>45934</v>
      </c>
      <c r="E1031" s="6">
        <f>IF(AND(C1031&lt;&gt;"",D1031&lt;&gt;""),D1031-C1031,"")</f>
        <v>0</v>
      </c>
      <c r="F1031" s="4" t="s">
        <v>1507</v>
      </c>
      <c r="G1031" s="4" t="s">
        <v>1508</v>
      </c>
      <c r="H1031" s="4" t="s">
        <v>190</v>
      </c>
      <c r="I1031" s="4" t="s">
        <v>56</v>
      </c>
      <c r="J1031" s="4">
        <v>0</v>
      </c>
      <c r="K1031" s="4">
        <v>0</v>
      </c>
      <c r="L1031" s="4">
        <f>J1031+K1031</f>
        <v>0</v>
      </c>
      <c r="M1031" s="4" t="s">
        <v>370</v>
      </c>
      <c r="N1031" s="4"/>
      <c r="O1031" s="4">
        <v>1</v>
      </c>
      <c r="P1031" s="4" t="s">
        <v>43</v>
      </c>
      <c r="Q1031" s="4" t="s">
        <v>44</v>
      </c>
      <c r="R1031" s="7">
        <v>500000</v>
      </c>
      <c r="S1031" s="7">
        <v>0</v>
      </c>
      <c r="T1031" s="7">
        <f>R1031-S1031</f>
        <v>0</v>
      </c>
      <c r="U1031" s="7">
        <f>T1031*O1031</f>
        <v>0</v>
      </c>
    </row>
    <row r="1032" spans="1:21">
      <c r="A1032" s="4" t="s">
        <v>1516</v>
      </c>
      <c r="B1032" s="4" t="s">
        <v>39</v>
      </c>
      <c r="C1032" s="5">
        <v>45934.37245370371</v>
      </c>
      <c r="D1032" s="5">
        <v>45934</v>
      </c>
      <c r="E1032" s="6">
        <f>IF(AND(C1032&lt;&gt;"",D1032&lt;&gt;""),D1032-C1032,"")</f>
        <v>0</v>
      </c>
      <c r="F1032" s="4" t="s">
        <v>1507</v>
      </c>
      <c r="G1032" s="4" t="s">
        <v>1508</v>
      </c>
      <c r="H1032" s="4" t="s">
        <v>190</v>
      </c>
      <c r="I1032" s="4" t="s">
        <v>56</v>
      </c>
      <c r="J1032" s="4">
        <v>0</v>
      </c>
      <c r="K1032" s="4">
        <v>0</v>
      </c>
      <c r="L1032" s="4">
        <f>J1032+K1032</f>
        <v>0</v>
      </c>
      <c r="M1032" s="4" t="s">
        <v>370</v>
      </c>
      <c r="N1032" s="4"/>
      <c r="O1032" s="4">
        <v>1</v>
      </c>
      <c r="P1032" s="4" t="s">
        <v>135</v>
      </c>
      <c r="Q1032" s="4" t="s">
        <v>44</v>
      </c>
      <c r="R1032" s="7">
        <v>1000000</v>
      </c>
      <c r="S1032" s="7">
        <v>0</v>
      </c>
      <c r="T1032" s="7">
        <f>R1032-S1032</f>
        <v>0</v>
      </c>
      <c r="U1032" s="7">
        <f>T1032*O1032</f>
        <v>0</v>
      </c>
    </row>
    <row r="1033" spans="1:21">
      <c r="A1033" s="4" t="s">
        <v>1517</v>
      </c>
      <c r="B1033" s="4" t="s">
        <v>39</v>
      </c>
      <c r="C1033" s="5">
        <v>45934.37288194444</v>
      </c>
      <c r="D1033" s="5">
        <v>45934</v>
      </c>
      <c r="E1033" s="6">
        <f>IF(AND(C1033&lt;&gt;"",D1033&lt;&gt;""),D1033-C1033,"")</f>
        <v>0</v>
      </c>
      <c r="F1033" s="4" t="s">
        <v>1507</v>
      </c>
      <c r="G1033" s="4" t="s">
        <v>1508</v>
      </c>
      <c r="H1033" s="4" t="s">
        <v>190</v>
      </c>
      <c r="I1033" s="4" t="s">
        <v>56</v>
      </c>
      <c r="J1033" s="4">
        <v>0</v>
      </c>
      <c r="K1033" s="4">
        <v>0</v>
      </c>
      <c r="L1033" s="4">
        <f>J1033+K1033</f>
        <v>0</v>
      </c>
      <c r="M1033" s="4" t="s">
        <v>370</v>
      </c>
      <c r="N1033" s="4"/>
      <c r="O1033" s="4">
        <v>1</v>
      </c>
      <c r="P1033" s="4" t="s">
        <v>43</v>
      </c>
      <c r="Q1033" s="4" t="s">
        <v>44</v>
      </c>
      <c r="R1033" s="7">
        <v>500000</v>
      </c>
      <c r="S1033" s="7">
        <v>0</v>
      </c>
      <c r="T1033" s="7">
        <f>R1033-S1033</f>
        <v>0</v>
      </c>
      <c r="U1033" s="7">
        <f>T1033*O1033</f>
        <v>0</v>
      </c>
    </row>
    <row r="1034" spans="1:21">
      <c r="A1034" s="4" t="s">
        <v>1518</v>
      </c>
      <c r="B1034" s="4" t="s">
        <v>39</v>
      </c>
      <c r="C1034" s="5">
        <v>45934.37373842593</v>
      </c>
      <c r="D1034" s="5">
        <v>45934</v>
      </c>
      <c r="E1034" s="6">
        <f>IF(AND(C1034&lt;&gt;"",D1034&lt;&gt;""),D1034-C1034,"")</f>
        <v>0</v>
      </c>
      <c r="F1034" s="4" t="s">
        <v>1519</v>
      </c>
      <c r="G1034" s="4" t="s">
        <v>1520</v>
      </c>
      <c r="H1034" s="4" t="s">
        <v>32</v>
      </c>
      <c r="I1034" s="4" t="s">
        <v>33</v>
      </c>
      <c r="J1034" s="4">
        <v>0</v>
      </c>
      <c r="K1034" s="4">
        <v>0</v>
      </c>
      <c r="L1034" s="4">
        <f>J1034+K1034</f>
        <v>0</v>
      </c>
      <c r="M1034" s="4" t="s">
        <v>370</v>
      </c>
      <c r="N1034" s="4"/>
      <c r="O1034" s="4">
        <v>1</v>
      </c>
      <c r="P1034" s="4" t="s">
        <v>43</v>
      </c>
      <c r="Q1034" s="4" t="s">
        <v>44</v>
      </c>
      <c r="R1034" s="7">
        <v>1000000</v>
      </c>
      <c r="S1034" s="7">
        <v>0</v>
      </c>
      <c r="T1034" s="7">
        <f>R1034-S1034</f>
        <v>0</v>
      </c>
      <c r="U1034" s="7">
        <f>T1034*O1034</f>
        <v>0</v>
      </c>
    </row>
    <row r="1035" spans="1:21">
      <c r="A1035" s="4" t="s">
        <v>1521</v>
      </c>
      <c r="B1035" s="4" t="s">
        <v>39</v>
      </c>
      <c r="C1035" s="5">
        <v>45934.55898148148</v>
      </c>
      <c r="D1035" s="5">
        <v>45934</v>
      </c>
      <c r="E1035" s="6">
        <f>IF(AND(C1035&lt;&gt;"",D1035&lt;&gt;""),D1035-C1035,"")</f>
        <v>0</v>
      </c>
      <c r="F1035" s="4" t="s">
        <v>1522</v>
      </c>
      <c r="G1035" s="4" t="s">
        <v>1523</v>
      </c>
      <c r="H1035" s="4"/>
      <c r="I1035" s="4" t="s">
        <v>56</v>
      </c>
      <c r="J1035" s="4">
        <v>1</v>
      </c>
      <c r="K1035" s="4">
        <v>0</v>
      </c>
      <c r="L1035" s="4">
        <f>J1035+K1035</f>
        <v>0</v>
      </c>
      <c r="M1035" s="4" t="s">
        <v>80</v>
      </c>
      <c r="N1035" s="4"/>
      <c r="O1035" s="4">
        <v>1</v>
      </c>
      <c r="P1035" s="4" t="s">
        <v>135</v>
      </c>
      <c r="Q1035" s="4"/>
      <c r="R1035" s="7">
        <v>610000</v>
      </c>
      <c r="S1035" s="7">
        <v>0</v>
      </c>
      <c r="T1035" s="7">
        <f>R1035-S1035</f>
        <v>0</v>
      </c>
      <c r="U1035" s="7">
        <f>T1035*O1035</f>
        <v>0</v>
      </c>
    </row>
    <row r="1036" spans="1:21">
      <c r="A1036" s="4" t="s">
        <v>1524</v>
      </c>
      <c r="B1036" s="4" t="s">
        <v>39</v>
      </c>
      <c r="C1036" s="5">
        <v>45935.27407407408</v>
      </c>
      <c r="D1036" s="5">
        <v>45935</v>
      </c>
      <c r="E1036" s="6">
        <f>IF(AND(C1036&lt;&gt;"",D1036&lt;&gt;""),D1036-C1036,"")</f>
        <v>0</v>
      </c>
      <c r="F1036" s="4" t="s">
        <v>1507</v>
      </c>
      <c r="G1036" s="4" t="s">
        <v>1508</v>
      </c>
      <c r="H1036" s="4" t="s">
        <v>190</v>
      </c>
      <c r="I1036" s="4" t="s">
        <v>56</v>
      </c>
      <c r="J1036" s="4">
        <v>0</v>
      </c>
      <c r="K1036" s="4">
        <v>0</v>
      </c>
      <c r="L1036" s="4">
        <f>J1036+K1036</f>
        <v>0</v>
      </c>
      <c r="M1036" s="4" t="s">
        <v>370</v>
      </c>
      <c r="N1036" s="4"/>
      <c r="O1036" s="4">
        <v>1</v>
      </c>
      <c r="P1036" s="4" t="s">
        <v>43</v>
      </c>
      <c r="Q1036" s="4" t="s">
        <v>44</v>
      </c>
      <c r="R1036" s="7">
        <v>2000000</v>
      </c>
      <c r="S1036" s="7">
        <v>0</v>
      </c>
      <c r="T1036" s="7">
        <f>R1036-S1036</f>
        <v>0</v>
      </c>
      <c r="U1036" s="7">
        <f>T1036*O1036</f>
        <v>0</v>
      </c>
    </row>
    <row r="1037" spans="1:21">
      <c r="A1037" s="4" t="s">
        <v>1525</v>
      </c>
      <c r="B1037" s="4" t="s">
        <v>39</v>
      </c>
      <c r="C1037" s="5">
        <v>45935.27640046296</v>
      </c>
      <c r="D1037" s="5">
        <v>45935</v>
      </c>
      <c r="E1037" s="6">
        <f>IF(AND(C1037&lt;&gt;"",D1037&lt;&gt;""),D1037-C1037,"")</f>
        <v>0</v>
      </c>
      <c r="F1037" s="4" t="s">
        <v>1507</v>
      </c>
      <c r="G1037" s="4" t="s">
        <v>1508</v>
      </c>
      <c r="H1037" s="4" t="s">
        <v>190</v>
      </c>
      <c r="I1037" s="4" t="s">
        <v>56</v>
      </c>
      <c r="J1037" s="4">
        <v>0</v>
      </c>
      <c r="K1037" s="4">
        <v>0</v>
      </c>
      <c r="L1037" s="4">
        <f>J1037+K1037</f>
        <v>0</v>
      </c>
      <c r="M1037" s="4" t="s">
        <v>370</v>
      </c>
      <c r="N1037" s="4"/>
      <c r="O1037" s="4">
        <v>1</v>
      </c>
      <c r="P1037" s="4" t="s">
        <v>43</v>
      </c>
      <c r="Q1037" s="4" t="s">
        <v>44</v>
      </c>
      <c r="R1037" s="7">
        <v>2000000</v>
      </c>
      <c r="S1037" s="7">
        <v>0</v>
      </c>
      <c r="T1037" s="7">
        <f>R1037-S1037</f>
        <v>0</v>
      </c>
      <c r="U1037" s="7">
        <f>T1037*O1037</f>
        <v>0</v>
      </c>
    </row>
    <row r="1038" spans="1:21">
      <c r="A1038" s="4" t="s">
        <v>1526</v>
      </c>
      <c r="B1038" s="4" t="s">
        <v>39</v>
      </c>
      <c r="C1038" s="5">
        <v>45935.27707175926</v>
      </c>
      <c r="D1038" s="5">
        <v>45935</v>
      </c>
      <c r="E1038" s="6">
        <f>IF(AND(C1038&lt;&gt;"",D1038&lt;&gt;""),D1038-C1038,"")</f>
        <v>0</v>
      </c>
      <c r="F1038" s="4" t="s">
        <v>1507</v>
      </c>
      <c r="G1038" s="4" t="s">
        <v>1508</v>
      </c>
      <c r="H1038" s="4" t="s">
        <v>190</v>
      </c>
      <c r="I1038" s="4" t="s">
        <v>56</v>
      </c>
      <c r="J1038" s="4">
        <v>0</v>
      </c>
      <c r="K1038" s="4">
        <v>0</v>
      </c>
      <c r="L1038" s="4">
        <f>J1038+K1038</f>
        <v>0</v>
      </c>
      <c r="M1038" s="4" t="s">
        <v>370</v>
      </c>
      <c r="N1038" s="4"/>
      <c r="O1038" s="4">
        <v>1</v>
      </c>
      <c r="P1038" s="4" t="s">
        <v>43</v>
      </c>
      <c r="Q1038" s="4" t="s">
        <v>44</v>
      </c>
      <c r="R1038" s="7">
        <v>2000000</v>
      </c>
      <c r="S1038" s="7">
        <v>0</v>
      </c>
      <c r="T1038" s="7">
        <f>R1038-S1038</f>
        <v>0</v>
      </c>
      <c r="U1038" s="7">
        <f>T1038*O1038</f>
        <v>0</v>
      </c>
    </row>
    <row r="1039" spans="1:21">
      <c r="A1039" s="4" t="s">
        <v>1527</v>
      </c>
      <c r="B1039" s="4" t="s">
        <v>39</v>
      </c>
      <c r="C1039" s="5">
        <v>45935.27761574074</v>
      </c>
      <c r="D1039" s="5">
        <v>45935</v>
      </c>
      <c r="E1039" s="6">
        <f>IF(AND(C1039&lt;&gt;"",D1039&lt;&gt;""),D1039-C1039,"")</f>
        <v>0</v>
      </c>
      <c r="F1039" s="4" t="s">
        <v>1507</v>
      </c>
      <c r="G1039" s="4" t="s">
        <v>1508</v>
      </c>
      <c r="H1039" s="4" t="s">
        <v>190</v>
      </c>
      <c r="I1039" s="4" t="s">
        <v>56</v>
      </c>
      <c r="J1039" s="4">
        <v>0</v>
      </c>
      <c r="K1039" s="4">
        <v>0</v>
      </c>
      <c r="L1039" s="4">
        <f>J1039+K1039</f>
        <v>0</v>
      </c>
      <c r="M1039" s="4" t="s">
        <v>370</v>
      </c>
      <c r="N1039" s="4"/>
      <c r="O1039" s="4">
        <v>1</v>
      </c>
      <c r="P1039" s="4" t="s">
        <v>43</v>
      </c>
      <c r="Q1039" s="4" t="s">
        <v>44</v>
      </c>
      <c r="R1039" s="7">
        <v>2000000</v>
      </c>
      <c r="S1039" s="7">
        <v>0</v>
      </c>
      <c r="T1039" s="7">
        <f>R1039-S1039</f>
        <v>0</v>
      </c>
      <c r="U1039" s="7">
        <f>T1039*O1039</f>
        <v>0</v>
      </c>
    </row>
    <row r="1040" spans="1:21">
      <c r="A1040" s="4" t="s">
        <v>1528</v>
      </c>
      <c r="B1040" s="4" t="s">
        <v>39</v>
      </c>
      <c r="C1040" s="5">
        <v>45935.2783449074</v>
      </c>
      <c r="D1040" s="5">
        <v>45935</v>
      </c>
      <c r="E1040" s="6">
        <f>IF(AND(C1040&lt;&gt;"",D1040&lt;&gt;""),D1040-C1040,"")</f>
        <v>0</v>
      </c>
      <c r="F1040" s="4" t="s">
        <v>1507</v>
      </c>
      <c r="G1040" s="4" t="s">
        <v>1508</v>
      </c>
      <c r="H1040" s="4" t="s">
        <v>190</v>
      </c>
      <c r="I1040" s="4" t="s">
        <v>56</v>
      </c>
      <c r="J1040" s="4">
        <v>0</v>
      </c>
      <c r="K1040" s="4">
        <v>0</v>
      </c>
      <c r="L1040" s="4">
        <f>J1040+K1040</f>
        <v>0</v>
      </c>
      <c r="M1040" s="4" t="s">
        <v>370</v>
      </c>
      <c r="N1040" s="4"/>
      <c r="O1040" s="4">
        <v>1</v>
      </c>
      <c r="P1040" s="4" t="s">
        <v>43</v>
      </c>
      <c r="Q1040" s="4" t="s">
        <v>44</v>
      </c>
      <c r="R1040" s="7">
        <v>2000000</v>
      </c>
      <c r="S1040" s="7">
        <v>0</v>
      </c>
      <c r="T1040" s="7">
        <f>R1040-S1040</f>
        <v>0</v>
      </c>
      <c r="U1040" s="7">
        <f>T1040*O1040</f>
        <v>0</v>
      </c>
    </row>
    <row r="1041" spans="1:21">
      <c r="A1041" s="4" t="s">
        <v>1529</v>
      </c>
      <c r="B1041" s="4" t="s">
        <v>39</v>
      </c>
      <c r="C1041" s="5">
        <v>45935.28835648148</v>
      </c>
      <c r="D1041" s="5">
        <v>45935</v>
      </c>
      <c r="E1041" s="6">
        <f>IF(AND(C1041&lt;&gt;"",D1041&lt;&gt;""),D1041-C1041,"")</f>
        <v>0</v>
      </c>
      <c r="F1041" s="4" t="s">
        <v>1507</v>
      </c>
      <c r="G1041" s="4" t="s">
        <v>1508</v>
      </c>
      <c r="H1041" s="4" t="s">
        <v>190</v>
      </c>
      <c r="I1041" s="4" t="s">
        <v>56</v>
      </c>
      <c r="J1041" s="4">
        <v>0</v>
      </c>
      <c r="K1041" s="4">
        <v>0</v>
      </c>
      <c r="L1041" s="4">
        <f>J1041+K1041</f>
        <v>0</v>
      </c>
      <c r="M1041" s="4" t="s">
        <v>370</v>
      </c>
      <c r="N1041" s="4"/>
      <c r="O1041" s="4">
        <v>1</v>
      </c>
      <c r="P1041" s="4" t="s">
        <v>43</v>
      </c>
      <c r="Q1041" s="4" t="s">
        <v>44</v>
      </c>
      <c r="R1041" s="7">
        <v>500000</v>
      </c>
      <c r="S1041" s="7">
        <v>0</v>
      </c>
      <c r="T1041" s="7">
        <f>R1041-S1041</f>
        <v>0</v>
      </c>
      <c r="U1041" s="7">
        <f>T1041*O1041</f>
        <v>0</v>
      </c>
    </row>
    <row r="1042" spans="1:21">
      <c r="A1042" s="4" t="s">
        <v>1530</v>
      </c>
      <c r="B1042" s="4" t="s">
        <v>39</v>
      </c>
      <c r="C1042" s="5">
        <v>45935.48596064815</v>
      </c>
      <c r="D1042" s="5">
        <v>45935</v>
      </c>
      <c r="E1042" s="6">
        <f>IF(AND(C1042&lt;&gt;"",D1042&lt;&gt;""),D1042-C1042,"")</f>
        <v>0</v>
      </c>
      <c r="F1042" s="4" t="s">
        <v>1531</v>
      </c>
      <c r="G1042" s="4" t="s">
        <v>1532</v>
      </c>
      <c r="H1042" s="4" t="s">
        <v>32</v>
      </c>
      <c r="I1042" s="4" t="s">
        <v>33</v>
      </c>
      <c r="J1042" s="4">
        <v>0</v>
      </c>
      <c r="K1042" s="4">
        <v>0</v>
      </c>
      <c r="L1042" s="4">
        <f>J1042+K1042</f>
        <v>0</v>
      </c>
      <c r="M1042" s="4" t="s">
        <v>1420</v>
      </c>
      <c r="N1042" s="4"/>
      <c r="O1042" s="4">
        <v>1</v>
      </c>
      <c r="P1042" s="4" t="s">
        <v>135</v>
      </c>
      <c r="Q1042" s="4"/>
      <c r="R1042" s="7">
        <v>108000</v>
      </c>
      <c r="S1042" s="7">
        <v>0</v>
      </c>
      <c r="T1042" s="7">
        <f>R1042-S1042</f>
        <v>0</v>
      </c>
      <c r="U1042" s="7">
        <f>T1042*O1042</f>
        <v>0</v>
      </c>
    </row>
    <row r="1043" spans="1:21">
      <c r="A1043" s="4" t="s">
        <v>1530</v>
      </c>
      <c r="B1043" s="4" t="s">
        <v>39</v>
      </c>
      <c r="C1043" s="5">
        <v>45935.48596064815</v>
      </c>
      <c r="D1043" s="5">
        <v>45935</v>
      </c>
      <c r="E1043" s="6">
        <f>IF(AND(C1043&lt;&gt;"",D1043&lt;&gt;""),D1043-C1043,"")</f>
        <v>0</v>
      </c>
      <c r="F1043" s="4" t="s">
        <v>1531</v>
      </c>
      <c r="G1043" s="4" t="s">
        <v>1532</v>
      </c>
      <c r="H1043" s="4" t="s">
        <v>32</v>
      </c>
      <c r="I1043" s="4" t="s">
        <v>33</v>
      </c>
      <c r="J1043" s="4">
        <v>0</v>
      </c>
      <c r="K1043" s="4">
        <v>0</v>
      </c>
      <c r="L1043" s="4">
        <f>J1043+K1043</f>
        <v>0</v>
      </c>
      <c r="M1043" s="4" t="s">
        <v>1533</v>
      </c>
      <c r="N1043" s="4"/>
      <c r="O1043" s="4">
        <v>1</v>
      </c>
      <c r="P1043" s="4" t="s">
        <v>135</v>
      </c>
      <c r="Q1043" s="4"/>
      <c r="R1043" s="7">
        <v>108000</v>
      </c>
      <c r="S1043" s="7">
        <v>0</v>
      </c>
      <c r="T1043" s="7">
        <f>R1043-S1043</f>
        <v>0</v>
      </c>
      <c r="U1043" s="7">
        <f>T1043*O1043</f>
        <v>0</v>
      </c>
    </row>
    <row r="1044" spans="1:21">
      <c r="A1044" s="4" t="s">
        <v>1534</v>
      </c>
      <c r="B1044" s="4" t="s">
        <v>122</v>
      </c>
      <c r="C1044" s="5">
        <v>45935.66319444445</v>
      </c>
      <c r="D1044" s="5">
        <v>45961</v>
      </c>
      <c r="E1044" s="6">
        <f>IF(AND(C1044&lt;&gt;"",D1044&lt;&gt;""),D1044-C1044,"")</f>
        <v>0</v>
      </c>
      <c r="F1044" s="4" t="s">
        <v>1535</v>
      </c>
      <c r="G1044" s="4"/>
      <c r="H1044" s="4"/>
      <c r="I1044" s="4" t="s">
        <v>56</v>
      </c>
      <c r="J1044" s="4">
        <v>2</v>
      </c>
      <c r="K1044" s="4">
        <v>0</v>
      </c>
      <c r="L1044" s="4">
        <f>J1044+K1044</f>
        <v>0</v>
      </c>
      <c r="M1044" s="4"/>
      <c r="N1044" s="4"/>
      <c r="O1044" s="4">
        <v>0</v>
      </c>
      <c r="P1044" s="4"/>
      <c r="Q1044" s="4"/>
      <c r="R1044" s="7">
        <v>0</v>
      </c>
      <c r="S1044" s="7">
        <v>0</v>
      </c>
      <c r="T1044" s="7">
        <f>R1044-S1044</f>
        <v>0</v>
      </c>
      <c r="U1044" s="7">
        <f>T1044*O1044</f>
        <v>0</v>
      </c>
    </row>
    <row r="1045" spans="1:21">
      <c r="A1045" s="4" t="s">
        <v>1536</v>
      </c>
      <c r="B1045" s="4" t="s">
        <v>39</v>
      </c>
      <c r="C1045" s="5">
        <v>45935.66950231481</v>
      </c>
      <c r="D1045" s="5">
        <v>45935</v>
      </c>
      <c r="E1045" s="6">
        <f>IF(AND(C1045&lt;&gt;"",D1045&lt;&gt;""),D1045-C1045,"")</f>
        <v>0</v>
      </c>
      <c r="F1045" s="4" t="s">
        <v>271</v>
      </c>
      <c r="G1045" s="4" t="s">
        <v>272</v>
      </c>
      <c r="H1045" s="4" t="s">
        <v>32</v>
      </c>
      <c r="I1045" s="4" t="s">
        <v>33</v>
      </c>
      <c r="J1045" s="4">
        <v>1</v>
      </c>
      <c r="K1045" s="4">
        <v>0</v>
      </c>
      <c r="L1045" s="4">
        <f>J1045+K1045</f>
        <v>0</v>
      </c>
      <c r="M1045" s="4" t="s">
        <v>42</v>
      </c>
      <c r="N1045" s="4"/>
      <c r="O1045" s="4">
        <v>1</v>
      </c>
      <c r="P1045" s="4" t="s">
        <v>135</v>
      </c>
      <c r="Q1045" s="4" t="s">
        <v>44</v>
      </c>
      <c r="R1045" s="7">
        <v>370000</v>
      </c>
      <c r="S1045" s="7">
        <v>0</v>
      </c>
      <c r="T1045" s="7">
        <f>R1045-S1045</f>
        <v>0</v>
      </c>
      <c r="U1045" s="7">
        <f>T1045*O1045</f>
        <v>0</v>
      </c>
    </row>
    <row r="1046" spans="1:21">
      <c r="A1046" s="4" t="s">
        <v>1536</v>
      </c>
      <c r="B1046" s="4" t="s">
        <v>39</v>
      </c>
      <c r="C1046" s="5">
        <v>45935.66950231481</v>
      </c>
      <c r="D1046" s="5">
        <v>45935</v>
      </c>
      <c r="E1046" s="6">
        <f>IF(AND(C1046&lt;&gt;"",D1046&lt;&gt;""),D1046-C1046,"")</f>
        <v>0</v>
      </c>
      <c r="F1046" s="4" t="s">
        <v>271</v>
      </c>
      <c r="G1046" s="4" t="s">
        <v>272</v>
      </c>
      <c r="H1046" s="4" t="s">
        <v>32</v>
      </c>
      <c r="I1046" s="4" t="s">
        <v>33</v>
      </c>
      <c r="J1046" s="4">
        <v>0</v>
      </c>
      <c r="K1046" s="4">
        <v>1</v>
      </c>
      <c r="L1046" s="4">
        <f>J1046+K1046</f>
        <v>0</v>
      </c>
      <c r="M1046" s="4" t="s">
        <v>81</v>
      </c>
      <c r="N1046" s="4"/>
      <c r="O1046" s="4">
        <v>1</v>
      </c>
      <c r="P1046" s="4" t="s">
        <v>135</v>
      </c>
      <c r="Q1046" s="4" t="s">
        <v>44</v>
      </c>
      <c r="R1046" s="7">
        <v>495000</v>
      </c>
      <c r="S1046" s="7">
        <v>0</v>
      </c>
      <c r="T1046" s="7">
        <f>R1046-S1046</f>
        <v>0</v>
      </c>
      <c r="U1046" s="7">
        <f>T1046*O1046</f>
        <v>0</v>
      </c>
    </row>
    <row r="1047" spans="1:21">
      <c r="A1047" s="4" t="s">
        <v>1536</v>
      </c>
      <c r="B1047" s="4" t="s">
        <v>39</v>
      </c>
      <c r="C1047" s="5">
        <v>45935.66950231481</v>
      </c>
      <c r="D1047" s="5">
        <v>45935</v>
      </c>
      <c r="E1047" s="6">
        <f>IF(AND(C1047&lt;&gt;"",D1047&lt;&gt;""),D1047-C1047,"")</f>
        <v>0</v>
      </c>
      <c r="F1047" s="4" t="s">
        <v>271</v>
      </c>
      <c r="G1047" s="4" t="s">
        <v>272</v>
      </c>
      <c r="H1047" s="4" t="s">
        <v>32</v>
      </c>
      <c r="I1047" s="4" t="s">
        <v>33</v>
      </c>
      <c r="J1047" s="4">
        <v>1</v>
      </c>
      <c r="K1047" s="4">
        <v>0</v>
      </c>
      <c r="L1047" s="4">
        <f>J1047+K1047</f>
        <v>0</v>
      </c>
      <c r="M1047" s="4" t="s">
        <v>42</v>
      </c>
      <c r="N1047" s="4"/>
      <c r="O1047" s="4">
        <v>1</v>
      </c>
      <c r="P1047" s="4" t="s">
        <v>135</v>
      </c>
      <c r="Q1047" s="4" t="s">
        <v>44</v>
      </c>
      <c r="R1047" s="7">
        <v>370000</v>
      </c>
      <c r="S1047" s="7">
        <v>0</v>
      </c>
      <c r="T1047" s="7">
        <f>R1047-S1047</f>
        <v>0</v>
      </c>
      <c r="U1047" s="7">
        <f>T1047*O1047</f>
        <v>0</v>
      </c>
    </row>
    <row r="1048" spans="1:21">
      <c r="A1048" s="4" t="s">
        <v>1537</v>
      </c>
      <c r="B1048" s="4" t="s">
        <v>39</v>
      </c>
      <c r="C1048" s="5">
        <v>45936.03403935185</v>
      </c>
      <c r="D1048" s="5">
        <v>45936</v>
      </c>
      <c r="E1048" s="6">
        <f>IF(AND(C1048&lt;&gt;"",D1048&lt;&gt;""),D1048-C1048,"")</f>
        <v>0</v>
      </c>
      <c r="F1048" s="4" t="s">
        <v>1358</v>
      </c>
      <c r="G1048" s="4" t="s">
        <v>1359</v>
      </c>
      <c r="H1048" s="4" t="s">
        <v>32</v>
      </c>
      <c r="I1048" s="4" t="s">
        <v>33</v>
      </c>
      <c r="J1048" s="4">
        <v>0</v>
      </c>
      <c r="K1048" s="4">
        <v>0</v>
      </c>
      <c r="L1048" s="4">
        <f>J1048+K1048</f>
        <v>0</v>
      </c>
      <c r="M1048" s="4" t="s">
        <v>370</v>
      </c>
      <c r="N1048" s="4"/>
      <c r="O1048" s="4">
        <v>1</v>
      </c>
      <c r="P1048" s="4" t="s">
        <v>43</v>
      </c>
      <c r="Q1048" s="4" t="s">
        <v>44</v>
      </c>
      <c r="R1048" s="7">
        <v>2000000</v>
      </c>
      <c r="S1048" s="7">
        <v>0</v>
      </c>
      <c r="T1048" s="7">
        <f>R1048-S1048</f>
        <v>0</v>
      </c>
      <c r="U1048" s="7">
        <f>T1048*O1048</f>
        <v>0</v>
      </c>
    </row>
    <row r="1049" spans="1:21">
      <c r="A1049" s="4" t="s">
        <v>1538</v>
      </c>
      <c r="B1049" s="4" t="s">
        <v>39</v>
      </c>
      <c r="C1049" s="5">
        <v>45936.0346875</v>
      </c>
      <c r="D1049" s="5">
        <v>45936</v>
      </c>
      <c r="E1049" s="6">
        <f>IF(AND(C1049&lt;&gt;"",D1049&lt;&gt;""),D1049-C1049,"")</f>
        <v>0</v>
      </c>
      <c r="F1049" s="4" t="s">
        <v>1361</v>
      </c>
      <c r="G1049" s="4" t="s">
        <v>1362</v>
      </c>
      <c r="H1049" s="4" t="s">
        <v>32</v>
      </c>
      <c r="I1049" s="4" t="s">
        <v>33</v>
      </c>
      <c r="J1049" s="4">
        <v>0</v>
      </c>
      <c r="K1049" s="4">
        <v>0</v>
      </c>
      <c r="L1049" s="4">
        <f>J1049+K1049</f>
        <v>0</v>
      </c>
      <c r="M1049" s="4" t="s">
        <v>370</v>
      </c>
      <c r="N1049" s="4"/>
      <c r="O1049" s="4">
        <v>1</v>
      </c>
      <c r="P1049" s="4" t="s">
        <v>43</v>
      </c>
      <c r="Q1049" s="4" t="s">
        <v>44</v>
      </c>
      <c r="R1049" s="7">
        <v>2000000</v>
      </c>
      <c r="S1049" s="7">
        <v>0</v>
      </c>
      <c r="T1049" s="7">
        <f>R1049-S1049</f>
        <v>0</v>
      </c>
      <c r="U1049" s="7">
        <f>T1049*O1049</f>
        <v>0</v>
      </c>
    </row>
    <row r="1050" spans="1:21">
      <c r="A1050" s="4" t="s">
        <v>1539</v>
      </c>
      <c r="B1050" s="4" t="s">
        <v>39</v>
      </c>
      <c r="C1050" s="5">
        <v>45936.03678240741</v>
      </c>
      <c r="D1050" s="5">
        <v>45936</v>
      </c>
      <c r="E1050" s="6">
        <f>IF(AND(C1050&lt;&gt;"",D1050&lt;&gt;""),D1050-C1050,"")</f>
        <v>0</v>
      </c>
      <c r="F1050" s="4" t="s">
        <v>1367</v>
      </c>
      <c r="G1050" s="4" t="s">
        <v>1368</v>
      </c>
      <c r="H1050" s="4" t="s">
        <v>32</v>
      </c>
      <c r="I1050" s="4" t="s">
        <v>33</v>
      </c>
      <c r="J1050" s="4">
        <v>0</v>
      </c>
      <c r="K1050" s="4">
        <v>0</v>
      </c>
      <c r="L1050" s="4">
        <f>J1050+K1050</f>
        <v>0</v>
      </c>
      <c r="M1050" s="4" t="s">
        <v>370</v>
      </c>
      <c r="N1050" s="4"/>
      <c r="O1050" s="4">
        <v>1</v>
      </c>
      <c r="P1050" s="4" t="s">
        <v>43</v>
      </c>
      <c r="Q1050" s="4" t="s">
        <v>44</v>
      </c>
      <c r="R1050" s="7">
        <v>2000000</v>
      </c>
      <c r="S1050" s="7">
        <v>0</v>
      </c>
      <c r="T1050" s="7">
        <f>R1050-S1050</f>
        <v>0</v>
      </c>
      <c r="U1050" s="7">
        <f>T1050*O1050</f>
        <v>0</v>
      </c>
    </row>
    <row r="1051" spans="1:21">
      <c r="A1051" s="4" t="s">
        <v>1540</v>
      </c>
      <c r="B1051" s="4" t="s">
        <v>39</v>
      </c>
      <c r="C1051" s="5">
        <v>45936.03821759259</v>
      </c>
      <c r="D1051" s="5">
        <v>45936</v>
      </c>
      <c r="E1051" s="6">
        <f>IF(AND(C1051&lt;&gt;"",D1051&lt;&gt;""),D1051-C1051,"")</f>
        <v>0</v>
      </c>
      <c r="F1051" s="4" t="s">
        <v>1370</v>
      </c>
      <c r="G1051" s="4" t="s">
        <v>1371</v>
      </c>
      <c r="H1051" s="4" t="s">
        <v>32</v>
      </c>
      <c r="I1051" s="4" t="s">
        <v>33</v>
      </c>
      <c r="J1051" s="4">
        <v>0</v>
      </c>
      <c r="K1051" s="4">
        <v>0</v>
      </c>
      <c r="L1051" s="4">
        <f>J1051+K1051</f>
        <v>0</v>
      </c>
      <c r="M1051" s="4" t="s">
        <v>370</v>
      </c>
      <c r="N1051" s="4"/>
      <c r="O1051" s="4">
        <v>1</v>
      </c>
      <c r="P1051" s="4" t="s">
        <v>43</v>
      </c>
      <c r="Q1051" s="4" t="s">
        <v>44</v>
      </c>
      <c r="R1051" s="7">
        <v>2000000</v>
      </c>
      <c r="S1051" s="7">
        <v>0</v>
      </c>
      <c r="T1051" s="7">
        <f>R1051-S1051</f>
        <v>0</v>
      </c>
      <c r="U1051" s="7">
        <f>T1051*O1051</f>
        <v>0</v>
      </c>
    </row>
    <row r="1052" spans="1:21">
      <c r="A1052" s="4" t="s">
        <v>1541</v>
      </c>
      <c r="B1052" s="4" t="s">
        <v>39</v>
      </c>
      <c r="C1052" s="5">
        <v>45936.03898148148</v>
      </c>
      <c r="D1052" s="5">
        <v>45936</v>
      </c>
      <c r="E1052" s="6">
        <f>IF(AND(C1052&lt;&gt;"",D1052&lt;&gt;""),D1052-C1052,"")</f>
        <v>0</v>
      </c>
      <c r="F1052" s="4" t="s">
        <v>1373</v>
      </c>
      <c r="G1052" s="4" t="s">
        <v>1374</v>
      </c>
      <c r="H1052" s="4" t="s">
        <v>32</v>
      </c>
      <c r="I1052" s="4" t="s">
        <v>33</v>
      </c>
      <c r="J1052" s="4">
        <v>0</v>
      </c>
      <c r="K1052" s="4">
        <v>0</v>
      </c>
      <c r="L1052" s="4">
        <f>J1052+K1052</f>
        <v>0</v>
      </c>
      <c r="M1052" s="4" t="s">
        <v>370</v>
      </c>
      <c r="N1052" s="4"/>
      <c r="O1052" s="4">
        <v>1</v>
      </c>
      <c r="P1052" s="4" t="s">
        <v>43</v>
      </c>
      <c r="Q1052" s="4" t="s">
        <v>44</v>
      </c>
      <c r="R1052" s="7">
        <v>2000000</v>
      </c>
      <c r="S1052" s="7">
        <v>0</v>
      </c>
      <c r="T1052" s="7">
        <f>R1052-S1052</f>
        <v>0</v>
      </c>
      <c r="U1052" s="7">
        <f>T1052*O1052</f>
        <v>0</v>
      </c>
    </row>
    <row r="1053" spans="1:21">
      <c r="A1053" s="4" t="s">
        <v>1542</v>
      </c>
      <c r="B1053" s="4" t="s">
        <v>39</v>
      </c>
      <c r="C1053" s="5">
        <v>45936.06012731481</v>
      </c>
      <c r="D1053" s="5">
        <v>45936</v>
      </c>
      <c r="E1053" s="6">
        <f>IF(AND(C1053&lt;&gt;"",D1053&lt;&gt;""),D1053-C1053,"")</f>
        <v>0</v>
      </c>
      <c r="F1053" s="4" t="s">
        <v>1361</v>
      </c>
      <c r="G1053" s="4" t="s">
        <v>1362</v>
      </c>
      <c r="H1053" s="4" t="s">
        <v>32</v>
      </c>
      <c r="I1053" s="4" t="s">
        <v>33</v>
      </c>
      <c r="J1053" s="4">
        <v>0</v>
      </c>
      <c r="K1053" s="4">
        <v>0</v>
      </c>
      <c r="L1053" s="4">
        <f>J1053+K1053</f>
        <v>0</v>
      </c>
      <c r="M1053" s="4" t="s">
        <v>1543</v>
      </c>
      <c r="N1053" s="4"/>
      <c r="O1053" s="4">
        <v>1</v>
      </c>
      <c r="P1053" s="4" t="s">
        <v>135</v>
      </c>
      <c r="Q1053" s="4"/>
      <c r="R1053" s="7">
        <v>84000</v>
      </c>
      <c r="S1053" s="7">
        <v>0</v>
      </c>
      <c r="T1053" s="7">
        <f>R1053-S1053</f>
        <v>0</v>
      </c>
      <c r="U1053" s="7">
        <f>T1053*O1053</f>
        <v>0</v>
      </c>
    </row>
    <row r="1054" spans="1:21">
      <c r="A1054" s="4" t="s">
        <v>1542</v>
      </c>
      <c r="B1054" s="4" t="s">
        <v>39</v>
      </c>
      <c r="C1054" s="5">
        <v>45936.06012731481</v>
      </c>
      <c r="D1054" s="5">
        <v>45936</v>
      </c>
      <c r="E1054" s="6">
        <f>IF(AND(C1054&lt;&gt;"",D1054&lt;&gt;""),D1054-C1054,"")</f>
        <v>0</v>
      </c>
      <c r="F1054" s="4" t="s">
        <v>1361</v>
      </c>
      <c r="G1054" s="4" t="s">
        <v>1362</v>
      </c>
      <c r="H1054" s="4" t="s">
        <v>32</v>
      </c>
      <c r="I1054" s="4" t="s">
        <v>33</v>
      </c>
      <c r="J1054" s="4">
        <v>0</v>
      </c>
      <c r="K1054" s="4">
        <v>0</v>
      </c>
      <c r="L1054" s="4">
        <f>J1054+K1054</f>
        <v>0</v>
      </c>
      <c r="M1054" s="4" t="s">
        <v>1420</v>
      </c>
      <c r="N1054" s="4"/>
      <c r="O1054" s="4">
        <v>0</v>
      </c>
      <c r="P1054" s="4" t="s">
        <v>135</v>
      </c>
      <c r="Q1054" s="4"/>
      <c r="R1054" s="7">
        <v>108000</v>
      </c>
      <c r="S1054" s="7">
        <v>0</v>
      </c>
      <c r="T1054" s="7">
        <f>R1054-S1054</f>
        <v>0</v>
      </c>
      <c r="U1054" s="7">
        <f>T1054*O1054</f>
        <v>0</v>
      </c>
    </row>
    <row r="1055" spans="1:21">
      <c r="A1055" s="4" t="s">
        <v>1542</v>
      </c>
      <c r="B1055" s="4" t="s">
        <v>39</v>
      </c>
      <c r="C1055" s="5">
        <v>45936.06012731481</v>
      </c>
      <c r="D1055" s="5">
        <v>45936</v>
      </c>
      <c r="E1055" s="6">
        <f>IF(AND(C1055&lt;&gt;"",D1055&lt;&gt;""),D1055-C1055,"")</f>
        <v>0</v>
      </c>
      <c r="F1055" s="4" t="s">
        <v>1361</v>
      </c>
      <c r="G1055" s="4" t="s">
        <v>1362</v>
      </c>
      <c r="H1055" s="4" t="s">
        <v>32</v>
      </c>
      <c r="I1055" s="4" t="s">
        <v>33</v>
      </c>
      <c r="J1055" s="4">
        <v>0</v>
      </c>
      <c r="K1055" s="4">
        <v>0</v>
      </c>
      <c r="L1055" s="4">
        <f>J1055+K1055</f>
        <v>0</v>
      </c>
      <c r="M1055" s="4" t="s">
        <v>1544</v>
      </c>
      <c r="N1055" s="4"/>
      <c r="O1055" s="4">
        <v>2</v>
      </c>
      <c r="P1055" s="4" t="s">
        <v>135</v>
      </c>
      <c r="Q1055" s="4"/>
      <c r="R1055" s="7">
        <v>112000</v>
      </c>
      <c r="S1055" s="7">
        <v>0</v>
      </c>
      <c r="T1055" s="7">
        <f>R1055-S1055</f>
        <v>0</v>
      </c>
      <c r="U1055" s="7">
        <f>T1055*O1055</f>
        <v>0</v>
      </c>
    </row>
    <row r="1056" spans="1:21">
      <c r="A1056" s="4" t="s">
        <v>1542</v>
      </c>
      <c r="B1056" s="4" t="s">
        <v>39</v>
      </c>
      <c r="C1056" s="5">
        <v>45936.06012731481</v>
      </c>
      <c r="D1056" s="5">
        <v>45936</v>
      </c>
      <c r="E1056" s="6">
        <f>IF(AND(C1056&lt;&gt;"",D1056&lt;&gt;""),D1056-C1056,"")</f>
        <v>0</v>
      </c>
      <c r="F1056" s="4" t="s">
        <v>1361</v>
      </c>
      <c r="G1056" s="4" t="s">
        <v>1362</v>
      </c>
      <c r="H1056" s="4" t="s">
        <v>32</v>
      </c>
      <c r="I1056" s="4" t="s">
        <v>33</v>
      </c>
      <c r="J1056" s="4">
        <v>0</v>
      </c>
      <c r="K1056" s="4">
        <v>0</v>
      </c>
      <c r="L1056" s="4">
        <f>J1056+K1056</f>
        <v>0</v>
      </c>
      <c r="M1056" s="4" t="s">
        <v>1544</v>
      </c>
      <c r="N1056" s="4"/>
      <c r="O1056" s="4">
        <v>1</v>
      </c>
      <c r="P1056" s="4" t="s">
        <v>135</v>
      </c>
      <c r="Q1056" s="4"/>
      <c r="R1056" s="7">
        <v>112000</v>
      </c>
      <c r="S1056" s="7">
        <v>0</v>
      </c>
      <c r="T1056" s="7">
        <f>R1056-S1056</f>
        <v>0</v>
      </c>
      <c r="U1056" s="7">
        <f>T1056*O1056</f>
        <v>0</v>
      </c>
    </row>
    <row r="1057" spans="1:21">
      <c r="A1057" s="4" t="s">
        <v>1545</v>
      </c>
      <c r="B1057" s="4" t="s">
        <v>39</v>
      </c>
      <c r="C1057" s="5">
        <v>45936.06884259259</v>
      </c>
      <c r="D1057" s="5">
        <v>45936</v>
      </c>
      <c r="E1057" s="6">
        <f>IF(AND(C1057&lt;&gt;"",D1057&lt;&gt;""),D1057-C1057,"")</f>
        <v>0</v>
      </c>
      <c r="F1057" s="4" t="s">
        <v>1343</v>
      </c>
      <c r="G1057" s="4" t="s">
        <v>1546</v>
      </c>
      <c r="H1057" s="4" t="s">
        <v>177</v>
      </c>
      <c r="I1057" s="4" t="s">
        <v>56</v>
      </c>
      <c r="J1057" s="4">
        <v>0</v>
      </c>
      <c r="K1057" s="4">
        <v>0</v>
      </c>
      <c r="L1057" s="4">
        <f>J1057+K1057</f>
        <v>0</v>
      </c>
      <c r="M1057" s="4" t="s">
        <v>418</v>
      </c>
      <c r="N1057" s="4"/>
      <c r="O1057" s="4">
        <v>1</v>
      </c>
      <c r="P1057" s="4" t="s">
        <v>135</v>
      </c>
      <c r="Q1057" s="4"/>
      <c r="R1057" s="7">
        <v>60000</v>
      </c>
      <c r="S1057" s="7">
        <v>0</v>
      </c>
      <c r="T1057" s="7">
        <f>R1057-S1057</f>
        <v>0</v>
      </c>
      <c r="U1057" s="7">
        <f>T1057*O1057</f>
        <v>0</v>
      </c>
    </row>
    <row r="1058" spans="1:21">
      <c r="A1058" s="4" t="s">
        <v>1547</v>
      </c>
      <c r="B1058" s="4" t="s">
        <v>39</v>
      </c>
      <c r="C1058" s="5">
        <v>45936.06960648148</v>
      </c>
      <c r="D1058" s="5">
        <v>45936</v>
      </c>
      <c r="E1058" s="6">
        <f>IF(AND(C1058&lt;&gt;"",D1058&lt;&gt;""),D1058-C1058,"")</f>
        <v>0</v>
      </c>
      <c r="F1058" s="4" t="s">
        <v>1343</v>
      </c>
      <c r="G1058" s="4" t="s">
        <v>1548</v>
      </c>
      <c r="H1058" s="4" t="s">
        <v>177</v>
      </c>
      <c r="I1058" s="4" t="s">
        <v>56</v>
      </c>
      <c r="J1058" s="4">
        <v>0</v>
      </c>
      <c r="K1058" s="4">
        <v>0</v>
      </c>
      <c r="L1058" s="4">
        <f>J1058+K1058</f>
        <v>0</v>
      </c>
      <c r="M1058" s="4" t="s">
        <v>418</v>
      </c>
      <c r="N1058" s="4"/>
      <c r="O1058" s="4">
        <v>1</v>
      </c>
      <c r="P1058" s="4" t="s">
        <v>135</v>
      </c>
      <c r="Q1058" s="4"/>
      <c r="R1058" s="7">
        <v>60000</v>
      </c>
      <c r="S1058" s="7">
        <v>0</v>
      </c>
      <c r="T1058" s="7">
        <f>R1058-S1058</f>
        <v>0</v>
      </c>
      <c r="U1058" s="7">
        <f>T1058*O1058</f>
        <v>0</v>
      </c>
    </row>
    <row r="1059" spans="1:21">
      <c r="A1059" s="4" t="s">
        <v>1549</v>
      </c>
      <c r="B1059" s="4" t="s">
        <v>39</v>
      </c>
      <c r="C1059" s="5">
        <v>45936.07116898148</v>
      </c>
      <c r="D1059" s="5">
        <v>45936</v>
      </c>
      <c r="E1059" s="6">
        <f>IF(AND(C1059&lt;&gt;"",D1059&lt;&gt;""),D1059-C1059,"")</f>
        <v>0</v>
      </c>
      <c r="F1059" s="4" t="s">
        <v>1343</v>
      </c>
      <c r="G1059" s="4" t="s">
        <v>1550</v>
      </c>
      <c r="H1059" s="4" t="s">
        <v>32</v>
      </c>
      <c r="I1059" s="4" t="s">
        <v>33</v>
      </c>
      <c r="J1059" s="4">
        <v>0</v>
      </c>
      <c r="K1059" s="4">
        <v>0</v>
      </c>
      <c r="L1059" s="4">
        <f>J1059+K1059</f>
        <v>0</v>
      </c>
      <c r="M1059" s="4" t="s">
        <v>1551</v>
      </c>
      <c r="N1059" s="4"/>
      <c r="O1059" s="4">
        <v>3</v>
      </c>
      <c r="P1059" s="4" t="s">
        <v>135</v>
      </c>
      <c r="Q1059" s="4"/>
      <c r="R1059" s="7">
        <v>40000</v>
      </c>
      <c r="S1059" s="7">
        <v>0</v>
      </c>
      <c r="T1059" s="7">
        <f>R1059-S1059</f>
        <v>0</v>
      </c>
      <c r="U1059" s="7">
        <f>T1059*O1059</f>
        <v>0</v>
      </c>
    </row>
    <row r="1060" spans="1:21">
      <c r="A1060" s="4" t="s">
        <v>1549</v>
      </c>
      <c r="B1060" s="4" t="s">
        <v>39</v>
      </c>
      <c r="C1060" s="5">
        <v>45936.07116898148</v>
      </c>
      <c r="D1060" s="5">
        <v>45936</v>
      </c>
      <c r="E1060" s="6">
        <f>IF(AND(C1060&lt;&gt;"",D1060&lt;&gt;""),D1060-C1060,"")</f>
        <v>0</v>
      </c>
      <c r="F1060" s="4" t="s">
        <v>1343</v>
      </c>
      <c r="G1060" s="4" t="s">
        <v>1550</v>
      </c>
      <c r="H1060" s="4" t="s">
        <v>32</v>
      </c>
      <c r="I1060" s="4" t="s">
        <v>33</v>
      </c>
      <c r="J1060" s="4">
        <v>0</v>
      </c>
      <c r="K1060" s="4">
        <v>0</v>
      </c>
      <c r="L1060" s="4">
        <f>J1060+K1060</f>
        <v>0</v>
      </c>
      <c r="M1060" s="4" t="s">
        <v>418</v>
      </c>
      <c r="N1060" s="4"/>
      <c r="O1060" s="4">
        <v>1</v>
      </c>
      <c r="P1060" s="4" t="s">
        <v>135</v>
      </c>
      <c r="Q1060" s="4"/>
      <c r="R1060" s="7">
        <v>60000</v>
      </c>
      <c r="S1060" s="7">
        <v>0</v>
      </c>
      <c r="T1060" s="7">
        <f>R1060-S1060</f>
        <v>0</v>
      </c>
      <c r="U1060" s="7">
        <f>T1060*O1060</f>
        <v>0</v>
      </c>
    </row>
    <row r="1061" spans="1:21">
      <c r="A1061" s="4" t="s">
        <v>1552</v>
      </c>
      <c r="B1061" s="4" t="s">
        <v>39</v>
      </c>
      <c r="C1061" s="5">
        <v>45936.07217592592</v>
      </c>
      <c r="D1061" s="5">
        <v>45936</v>
      </c>
      <c r="E1061" s="6">
        <f>IF(AND(C1061&lt;&gt;"",D1061&lt;&gt;""),D1061-C1061,"")</f>
        <v>0</v>
      </c>
      <c r="F1061" s="4" t="s">
        <v>1553</v>
      </c>
      <c r="G1061" s="4" t="s">
        <v>1554</v>
      </c>
      <c r="H1061" s="4" t="s">
        <v>177</v>
      </c>
      <c r="I1061" s="4" t="s">
        <v>56</v>
      </c>
      <c r="J1061" s="4">
        <v>0</v>
      </c>
      <c r="K1061" s="4">
        <v>0</v>
      </c>
      <c r="L1061" s="4">
        <f>J1061+K1061</f>
        <v>0</v>
      </c>
      <c r="M1061" s="4" t="s">
        <v>1335</v>
      </c>
      <c r="N1061" s="4"/>
      <c r="O1061" s="4">
        <v>1</v>
      </c>
      <c r="P1061" s="4" t="s">
        <v>135</v>
      </c>
      <c r="Q1061" s="4"/>
      <c r="R1061" s="7">
        <v>45000</v>
      </c>
      <c r="S1061" s="7">
        <v>0</v>
      </c>
      <c r="T1061" s="7">
        <f>R1061-S1061</f>
        <v>0</v>
      </c>
      <c r="U1061" s="7">
        <f>T1061*O1061</f>
        <v>0</v>
      </c>
    </row>
    <row r="1062" spans="1:21">
      <c r="A1062" s="4" t="s">
        <v>1555</v>
      </c>
      <c r="B1062" s="4" t="s">
        <v>39</v>
      </c>
      <c r="C1062" s="5">
        <v>45936.0735300926</v>
      </c>
      <c r="D1062" s="5">
        <v>45936</v>
      </c>
      <c r="E1062" s="6">
        <f>IF(AND(C1062&lt;&gt;"",D1062&lt;&gt;""),D1062-C1062,"")</f>
        <v>0</v>
      </c>
      <c r="F1062" s="4" t="s">
        <v>1556</v>
      </c>
      <c r="G1062" s="4" t="s">
        <v>1557</v>
      </c>
      <c r="H1062" s="4" t="s">
        <v>32</v>
      </c>
      <c r="I1062" s="4" t="s">
        <v>33</v>
      </c>
      <c r="J1062" s="4">
        <v>0</v>
      </c>
      <c r="K1062" s="4">
        <v>0</v>
      </c>
      <c r="L1062" s="4">
        <f>J1062+K1062</f>
        <v>0</v>
      </c>
      <c r="M1062" s="4" t="s">
        <v>1558</v>
      </c>
      <c r="N1062" s="4"/>
      <c r="O1062" s="4">
        <v>1</v>
      </c>
      <c r="P1062" s="4" t="s">
        <v>135</v>
      </c>
      <c r="Q1062" s="4"/>
      <c r="R1062" s="7">
        <v>84000</v>
      </c>
      <c r="S1062" s="7">
        <v>0</v>
      </c>
      <c r="T1062" s="7">
        <f>R1062-S1062</f>
        <v>0</v>
      </c>
      <c r="U1062" s="7">
        <f>T1062*O1062</f>
        <v>0</v>
      </c>
    </row>
    <row r="1063" spans="1:21">
      <c r="A1063" s="4" t="s">
        <v>1555</v>
      </c>
      <c r="B1063" s="4" t="s">
        <v>39</v>
      </c>
      <c r="C1063" s="5">
        <v>45936.0735300926</v>
      </c>
      <c r="D1063" s="5">
        <v>45936</v>
      </c>
      <c r="E1063" s="6">
        <f>IF(AND(C1063&lt;&gt;"",D1063&lt;&gt;""),D1063-C1063,"")</f>
        <v>0</v>
      </c>
      <c r="F1063" s="4" t="s">
        <v>1556</v>
      </c>
      <c r="G1063" s="4" t="s">
        <v>1557</v>
      </c>
      <c r="H1063" s="4" t="s">
        <v>32</v>
      </c>
      <c r="I1063" s="4" t="s">
        <v>33</v>
      </c>
      <c r="J1063" s="4">
        <v>0</v>
      </c>
      <c r="K1063" s="4">
        <v>0</v>
      </c>
      <c r="L1063" s="4">
        <f>J1063+K1063</f>
        <v>0</v>
      </c>
      <c r="M1063" s="4" t="s">
        <v>1559</v>
      </c>
      <c r="N1063" s="4"/>
      <c r="O1063" s="4">
        <v>1</v>
      </c>
      <c r="P1063" s="4" t="s">
        <v>135</v>
      </c>
      <c r="Q1063" s="4"/>
      <c r="R1063" s="7">
        <v>76000</v>
      </c>
      <c r="S1063" s="7">
        <v>0</v>
      </c>
      <c r="T1063" s="7">
        <f>R1063-S1063</f>
        <v>0</v>
      </c>
      <c r="U1063" s="7">
        <f>T1063*O1063</f>
        <v>0</v>
      </c>
    </row>
    <row r="1064" spans="1:21">
      <c r="A1064" s="4" t="s">
        <v>1560</v>
      </c>
      <c r="B1064" s="4" t="s">
        <v>39</v>
      </c>
      <c r="C1064" s="5">
        <v>45936.07596064815</v>
      </c>
      <c r="D1064" s="5">
        <v>45936</v>
      </c>
      <c r="E1064" s="6">
        <f>IF(AND(C1064&lt;&gt;"",D1064&lt;&gt;""),D1064-C1064,"")</f>
        <v>0</v>
      </c>
      <c r="F1064" s="4" t="s">
        <v>1561</v>
      </c>
      <c r="G1064" s="4" t="s">
        <v>1562</v>
      </c>
      <c r="H1064" s="4" t="s">
        <v>32</v>
      </c>
      <c r="I1064" s="4" t="s">
        <v>33</v>
      </c>
      <c r="J1064" s="4">
        <v>0</v>
      </c>
      <c r="K1064" s="4">
        <v>0</v>
      </c>
      <c r="L1064" s="4">
        <f>J1064+K1064</f>
        <v>0</v>
      </c>
      <c r="M1064" s="4" t="s">
        <v>1335</v>
      </c>
      <c r="N1064" s="4"/>
      <c r="O1064" s="4">
        <v>1</v>
      </c>
      <c r="P1064" s="4" t="s">
        <v>135</v>
      </c>
      <c r="Q1064" s="4"/>
      <c r="R1064" s="7">
        <v>45000</v>
      </c>
      <c r="S1064" s="7">
        <v>0</v>
      </c>
      <c r="T1064" s="7">
        <f>R1064-S1064</f>
        <v>0</v>
      </c>
      <c r="U1064" s="7">
        <f>T1064*O1064</f>
        <v>0</v>
      </c>
    </row>
    <row r="1065" spans="1:21">
      <c r="A1065" s="4" t="s">
        <v>1563</v>
      </c>
      <c r="B1065" s="4" t="s">
        <v>39</v>
      </c>
      <c r="C1065" s="5">
        <v>45936.12184027778</v>
      </c>
      <c r="D1065" s="5">
        <v>45936</v>
      </c>
      <c r="E1065" s="6">
        <f>IF(AND(C1065&lt;&gt;"",D1065&lt;&gt;""),D1065-C1065,"")</f>
        <v>0</v>
      </c>
      <c r="F1065" s="4" t="s">
        <v>1507</v>
      </c>
      <c r="G1065" s="4" t="s">
        <v>1508</v>
      </c>
      <c r="H1065" s="4" t="s">
        <v>190</v>
      </c>
      <c r="I1065" s="4" t="s">
        <v>56</v>
      </c>
      <c r="J1065" s="4">
        <v>0</v>
      </c>
      <c r="K1065" s="4">
        <v>0</v>
      </c>
      <c r="L1065" s="4">
        <f>J1065+K1065</f>
        <v>0</v>
      </c>
      <c r="M1065" s="4" t="s">
        <v>370</v>
      </c>
      <c r="N1065" s="4"/>
      <c r="O1065" s="4">
        <v>1</v>
      </c>
      <c r="P1065" s="4" t="s">
        <v>43</v>
      </c>
      <c r="Q1065" s="4" t="s">
        <v>44</v>
      </c>
      <c r="R1065" s="7">
        <v>2000000</v>
      </c>
      <c r="S1065" s="7">
        <v>0</v>
      </c>
      <c r="T1065" s="7">
        <f>R1065-S1065</f>
        <v>0</v>
      </c>
      <c r="U1065" s="7">
        <f>T1065*O1065</f>
        <v>0</v>
      </c>
    </row>
    <row r="1066" spans="1:21">
      <c r="A1066" s="4" t="s">
        <v>1564</v>
      </c>
      <c r="B1066" s="4" t="s">
        <v>48</v>
      </c>
      <c r="C1066" s="5">
        <v>45936.12403935185</v>
      </c>
      <c r="D1066" s="5">
        <v>45961</v>
      </c>
      <c r="E1066" s="6">
        <f>IF(AND(C1066&lt;&gt;"",D1066&lt;&gt;""),D1066-C1066,"")</f>
        <v>0</v>
      </c>
      <c r="F1066" s="4" t="s">
        <v>130</v>
      </c>
      <c r="G1066" s="4" t="s">
        <v>62</v>
      </c>
      <c r="H1066" s="4" t="s">
        <v>32</v>
      </c>
      <c r="I1066" s="4" t="s">
        <v>33</v>
      </c>
      <c r="J1066" s="4">
        <v>3</v>
      </c>
      <c r="K1066" s="4">
        <v>2</v>
      </c>
      <c r="L1066" s="4">
        <f>J1066+K1066</f>
        <v>0</v>
      </c>
      <c r="M1066" s="4"/>
      <c r="N1066" s="4"/>
      <c r="O1066" s="4">
        <v>0</v>
      </c>
      <c r="P1066" s="4"/>
      <c r="Q1066" s="4"/>
      <c r="R1066" s="7">
        <v>0</v>
      </c>
      <c r="S1066" s="7">
        <v>0</v>
      </c>
      <c r="T1066" s="7">
        <f>R1066-S1066</f>
        <v>0</v>
      </c>
      <c r="U1066" s="7">
        <f>T1066*O1066</f>
        <v>0</v>
      </c>
    </row>
    <row r="1067" spans="1:21">
      <c r="A1067" s="4" t="s">
        <v>1565</v>
      </c>
      <c r="B1067" s="4" t="s">
        <v>39</v>
      </c>
      <c r="C1067" s="5">
        <v>45936.12824074074</v>
      </c>
      <c r="D1067" s="5">
        <v>45936</v>
      </c>
      <c r="E1067" s="6">
        <f>IF(AND(C1067&lt;&gt;"",D1067&lt;&gt;""),D1067-C1067,"")</f>
        <v>0</v>
      </c>
      <c r="F1067" s="4" t="s">
        <v>1566</v>
      </c>
      <c r="G1067" s="4" t="s">
        <v>1567</v>
      </c>
      <c r="H1067" s="4" t="s">
        <v>190</v>
      </c>
      <c r="I1067" s="4" t="s">
        <v>56</v>
      </c>
      <c r="J1067" s="4">
        <v>0</v>
      </c>
      <c r="K1067" s="4">
        <v>0</v>
      </c>
      <c r="L1067" s="4">
        <f>J1067+K1067</f>
        <v>0</v>
      </c>
      <c r="M1067" s="4" t="s">
        <v>370</v>
      </c>
      <c r="N1067" s="4"/>
      <c r="O1067" s="4">
        <v>1</v>
      </c>
      <c r="P1067" s="4" t="s">
        <v>43</v>
      </c>
      <c r="Q1067" s="4" t="s">
        <v>44</v>
      </c>
      <c r="R1067" s="7">
        <v>2000000</v>
      </c>
      <c r="S1067" s="7">
        <v>0</v>
      </c>
      <c r="T1067" s="7">
        <f>R1067-S1067</f>
        <v>0</v>
      </c>
      <c r="U1067" s="7">
        <f>T1067*O1067</f>
        <v>0</v>
      </c>
    </row>
    <row r="1068" spans="1:21">
      <c r="A1068" s="4" t="s">
        <v>1568</v>
      </c>
      <c r="B1068" s="4" t="s">
        <v>48</v>
      </c>
      <c r="C1068" s="5">
        <v>45936.15569444445</v>
      </c>
      <c r="D1068" s="5">
        <v>45961</v>
      </c>
      <c r="E1068" s="6">
        <f>IF(AND(C1068&lt;&gt;"",D1068&lt;&gt;""),D1068-C1068,"")</f>
        <v>0</v>
      </c>
      <c r="F1068" s="4" t="s">
        <v>64</v>
      </c>
      <c r="G1068" s="4" t="s">
        <v>1569</v>
      </c>
      <c r="H1068" s="4" t="s">
        <v>32</v>
      </c>
      <c r="I1068" s="4" t="s">
        <v>33</v>
      </c>
      <c r="J1068" s="4">
        <v>2</v>
      </c>
      <c r="K1068" s="4">
        <v>1</v>
      </c>
      <c r="L1068" s="4">
        <f>J1068+K1068</f>
        <v>0</v>
      </c>
      <c r="M1068" s="4"/>
      <c r="N1068" s="4"/>
      <c r="O1068" s="4">
        <v>0</v>
      </c>
      <c r="P1068" s="4"/>
      <c r="Q1068" s="4"/>
      <c r="R1068" s="7">
        <v>0</v>
      </c>
      <c r="S1068" s="7">
        <v>0</v>
      </c>
      <c r="T1068" s="7">
        <f>R1068-S1068</f>
        <v>0</v>
      </c>
      <c r="U1068" s="7">
        <f>T1068*O1068</f>
        <v>0</v>
      </c>
    </row>
    <row r="1069" spans="1:21">
      <c r="A1069" s="4" t="s">
        <v>1570</v>
      </c>
      <c r="B1069" s="4" t="s">
        <v>48</v>
      </c>
      <c r="C1069" s="5">
        <v>45936.15640046296</v>
      </c>
      <c r="D1069" s="5">
        <v>45961</v>
      </c>
      <c r="E1069" s="6">
        <f>IF(AND(C1069&lt;&gt;"",D1069&lt;&gt;""),D1069-C1069,"")</f>
        <v>0</v>
      </c>
      <c r="F1069" s="4" t="s">
        <v>64</v>
      </c>
      <c r="G1069" s="4" t="s">
        <v>1569</v>
      </c>
      <c r="H1069" s="4" t="s">
        <v>32</v>
      </c>
      <c r="I1069" s="4" t="s">
        <v>33</v>
      </c>
      <c r="J1069" s="4">
        <v>2</v>
      </c>
      <c r="K1069" s="4">
        <v>0</v>
      </c>
      <c r="L1069" s="4">
        <f>J1069+K1069</f>
        <v>0</v>
      </c>
      <c r="M1069" s="4"/>
      <c r="N1069" s="4"/>
      <c r="O1069" s="4">
        <v>0</v>
      </c>
      <c r="P1069" s="4"/>
      <c r="Q1069" s="4"/>
      <c r="R1069" s="7">
        <v>0</v>
      </c>
      <c r="S1069" s="7">
        <v>0</v>
      </c>
      <c r="T1069" s="7">
        <f>R1069-S1069</f>
        <v>0</v>
      </c>
      <c r="U1069" s="7">
        <f>T1069*O1069</f>
        <v>0</v>
      </c>
    </row>
    <row r="1070" spans="1:21">
      <c r="A1070" s="4" t="s">
        <v>1571</v>
      </c>
      <c r="B1070" s="4" t="s">
        <v>48</v>
      </c>
      <c r="C1070" s="5">
        <v>45936.15976851852</v>
      </c>
      <c r="D1070" s="5">
        <v>45961</v>
      </c>
      <c r="E1070" s="6">
        <f>IF(AND(C1070&lt;&gt;"",D1070&lt;&gt;""),D1070-C1070,"")</f>
        <v>0</v>
      </c>
      <c r="F1070" s="4" t="s">
        <v>64</v>
      </c>
      <c r="G1070" s="4" t="s">
        <v>1569</v>
      </c>
      <c r="H1070" s="4" t="s">
        <v>32</v>
      </c>
      <c r="I1070" s="4" t="s">
        <v>33</v>
      </c>
      <c r="J1070" s="4">
        <v>1</v>
      </c>
      <c r="K1070" s="4">
        <v>0</v>
      </c>
      <c r="L1070" s="4">
        <f>J1070+K1070</f>
        <v>0</v>
      </c>
      <c r="M1070" s="4"/>
      <c r="N1070" s="4"/>
      <c r="O1070" s="4">
        <v>0</v>
      </c>
      <c r="P1070" s="4"/>
      <c r="Q1070" s="4"/>
      <c r="R1070" s="7">
        <v>0</v>
      </c>
      <c r="S1070" s="7">
        <v>0</v>
      </c>
      <c r="T1070" s="7">
        <f>R1070-S1070</f>
        <v>0</v>
      </c>
      <c r="U1070" s="7">
        <f>T1070*O1070</f>
        <v>0</v>
      </c>
    </row>
    <row r="1071" spans="1:21">
      <c r="A1071" s="4" t="s">
        <v>1572</v>
      </c>
      <c r="B1071" s="4" t="s">
        <v>39</v>
      </c>
      <c r="C1071" s="5">
        <v>45936.16873842593</v>
      </c>
      <c r="D1071" s="5">
        <v>45936</v>
      </c>
      <c r="E1071" s="6">
        <f>IF(AND(C1071&lt;&gt;"",D1071&lt;&gt;""),D1071-C1071,"")</f>
        <v>0</v>
      </c>
      <c r="F1071" s="4" t="s">
        <v>1573</v>
      </c>
      <c r="G1071" s="4" t="s">
        <v>1574</v>
      </c>
      <c r="H1071" s="4" t="s">
        <v>190</v>
      </c>
      <c r="I1071" s="4" t="s">
        <v>56</v>
      </c>
      <c r="J1071" s="4">
        <v>0</v>
      </c>
      <c r="K1071" s="4">
        <v>0</v>
      </c>
      <c r="L1071" s="4">
        <f>J1071+K1071</f>
        <v>0</v>
      </c>
      <c r="M1071" s="4" t="s">
        <v>370</v>
      </c>
      <c r="N1071" s="4"/>
      <c r="O1071" s="4">
        <v>1</v>
      </c>
      <c r="P1071" s="4" t="s">
        <v>43</v>
      </c>
      <c r="Q1071" s="4" t="s">
        <v>44</v>
      </c>
      <c r="R1071" s="7">
        <v>3000000</v>
      </c>
      <c r="S1071" s="7">
        <v>0</v>
      </c>
      <c r="T1071" s="7">
        <f>R1071-S1071</f>
        <v>0</v>
      </c>
      <c r="U1071" s="7">
        <f>T1071*O1071</f>
        <v>0</v>
      </c>
    </row>
    <row r="1072" spans="1:21">
      <c r="A1072" s="4" t="s">
        <v>1575</v>
      </c>
      <c r="B1072" s="4" t="s">
        <v>39</v>
      </c>
      <c r="C1072" s="5">
        <v>45936.17304398148</v>
      </c>
      <c r="D1072" s="5">
        <v>45936</v>
      </c>
      <c r="E1072" s="6">
        <f>IF(AND(C1072&lt;&gt;"",D1072&lt;&gt;""),D1072-C1072,"")</f>
        <v>0</v>
      </c>
      <c r="F1072" s="4" t="s">
        <v>1229</v>
      </c>
      <c r="G1072" s="4"/>
      <c r="H1072" s="4"/>
      <c r="I1072" s="4" t="s">
        <v>56</v>
      </c>
      <c r="J1072" s="4">
        <v>0</v>
      </c>
      <c r="K1072" s="4">
        <v>0</v>
      </c>
      <c r="L1072" s="4">
        <f>J1072+K1072</f>
        <v>0</v>
      </c>
      <c r="M1072" s="4" t="s">
        <v>609</v>
      </c>
      <c r="N1072" s="4"/>
      <c r="O1072" s="4">
        <v>1</v>
      </c>
      <c r="P1072" s="4" t="s">
        <v>43</v>
      </c>
      <c r="Q1072" s="4" t="s">
        <v>44</v>
      </c>
      <c r="R1072" s="7">
        <v>80000</v>
      </c>
      <c r="S1072" s="7">
        <v>0</v>
      </c>
      <c r="T1072" s="7">
        <f>R1072-S1072</f>
        <v>0</v>
      </c>
      <c r="U1072" s="7">
        <f>T1072*O1072</f>
        <v>0</v>
      </c>
    </row>
    <row r="1073" spans="1:21">
      <c r="A1073" s="4" t="s">
        <v>1576</v>
      </c>
      <c r="B1073" s="4" t="s">
        <v>39</v>
      </c>
      <c r="C1073" s="5">
        <v>45936.18293981482</v>
      </c>
      <c r="D1073" s="5">
        <v>45936</v>
      </c>
      <c r="E1073" s="6">
        <f>IF(AND(C1073&lt;&gt;"",D1073&lt;&gt;""),D1073-C1073,"")</f>
        <v>0</v>
      </c>
      <c r="F1073" s="4" t="s">
        <v>1577</v>
      </c>
      <c r="G1073" s="4" t="s">
        <v>1578</v>
      </c>
      <c r="H1073" s="4" t="s">
        <v>32</v>
      </c>
      <c r="I1073" s="4" t="s">
        <v>33</v>
      </c>
      <c r="J1073" s="4">
        <v>0</v>
      </c>
      <c r="K1073" s="4">
        <v>0</v>
      </c>
      <c r="L1073" s="4">
        <f>J1073+K1073</f>
        <v>0</v>
      </c>
      <c r="M1073" s="4" t="s">
        <v>370</v>
      </c>
      <c r="N1073" s="4"/>
      <c r="O1073" s="4">
        <v>1</v>
      </c>
      <c r="P1073" s="4" t="s">
        <v>135</v>
      </c>
      <c r="Q1073" s="4"/>
      <c r="R1073" s="7">
        <v>500000</v>
      </c>
      <c r="S1073" s="7">
        <v>0</v>
      </c>
      <c r="T1073" s="7">
        <f>R1073-S1073</f>
        <v>0</v>
      </c>
      <c r="U1073" s="7">
        <f>T1073*O1073</f>
        <v>0</v>
      </c>
    </row>
    <row r="1074" spans="1:21">
      <c r="A1074" s="4" t="s">
        <v>1579</v>
      </c>
      <c r="B1074" s="4" t="s">
        <v>48</v>
      </c>
      <c r="C1074" s="5">
        <v>45936.18626157408</v>
      </c>
      <c r="D1074" s="5">
        <v>45961</v>
      </c>
      <c r="E1074" s="6">
        <f>IF(AND(C1074&lt;&gt;"",D1074&lt;&gt;""),D1074-C1074,"")</f>
        <v>0</v>
      </c>
      <c r="F1074" s="4" t="s">
        <v>1580</v>
      </c>
      <c r="G1074" s="4" t="s">
        <v>1581</v>
      </c>
      <c r="H1074" s="4" t="s">
        <v>32</v>
      </c>
      <c r="I1074" s="4" t="s">
        <v>33</v>
      </c>
      <c r="J1074" s="4">
        <v>3</v>
      </c>
      <c r="K1074" s="4">
        <v>0</v>
      </c>
      <c r="L1074" s="4">
        <f>J1074+K1074</f>
        <v>0</v>
      </c>
      <c r="M1074" s="4"/>
      <c r="N1074" s="4"/>
      <c r="O1074" s="4">
        <v>0</v>
      </c>
      <c r="P1074" s="4"/>
      <c r="Q1074" s="4"/>
      <c r="R1074" s="7">
        <v>0</v>
      </c>
      <c r="S1074" s="7">
        <v>0</v>
      </c>
      <c r="T1074" s="7">
        <f>R1074-S1074</f>
        <v>0</v>
      </c>
      <c r="U1074" s="7">
        <f>T1074*O1074</f>
        <v>0</v>
      </c>
    </row>
    <row r="1075" spans="1:21">
      <c r="A1075" s="4" t="s">
        <v>1582</v>
      </c>
      <c r="B1075" s="4" t="s">
        <v>39</v>
      </c>
      <c r="C1075" s="5">
        <v>45936.19387731481</v>
      </c>
      <c r="D1075" s="5">
        <v>45936</v>
      </c>
      <c r="E1075" s="6">
        <f>IF(AND(C1075&lt;&gt;"",D1075&lt;&gt;""),D1075-C1075,"")</f>
        <v>0</v>
      </c>
      <c r="F1075" s="4" t="s">
        <v>1583</v>
      </c>
      <c r="G1075" s="4" t="s">
        <v>1584</v>
      </c>
      <c r="H1075" s="4" t="s">
        <v>32</v>
      </c>
      <c r="I1075" s="4" t="s">
        <v>33</v>
      </c>
      <c r="J1075" s="4">
        <v>0</v>
      </c>
      <c r="K1075" s="4">
        <v>0</v>
      </c>
      <c r="L1075" s="4">
        <f>J1075+K1075</f>
        <v>0</v>
      </c>
      <c r="M1075" s="4" t="s">
        <v>1464</v>
      </c>
      <c r="N1075" s="4"/>
      <c r="O1075" s="4">
        <v>1</v>
      </c>
      <c r="P1075" s="4" t="s">
        <v>135</v>
      </c>
      <c r="Q1075" s="4"/>
      <c r="R1075" s="7">
        <v>2200000</v>
      </c>
      <c r="S1075" s="7">
        <v>0</v>
      </c>
      <c r="T1075" s="7">
        <f>R1075-S1075</f>
        <v>0</v>
      </c>
      <c r="U1075" s="7">
        <f>T1075*O1075</f>
        <v>0</v>
      </c>
    </row>
    <row r="1076" spans="1:21">
      <c r="A1076" s="4" t="s">
        <v>1585</v>
      </c>
      <c r="B1076" s="4" t="s">
        <v>39</v>
      </c>
      <c r="C1076" s="5">
        <v>45936.20873842593</v>
      </c>
      <c r="D1076" s="5">
        <v>45936</v>
      </c>
      <c r="E1076" s="6">
        <f>IF(AND(C1076&lt;&gt;"",D1076&lt;&gt;""),D1076-C1076,"")</f>
        <v>0</v>
      </c>
      <c r="F1076" s="4" t="s">
        <v>1586</v>
      </c>
      <c r="G1076" s="4" t="s">
        <v>1587</v>
      </c>
      <c r="H1076" s="4" t="s">
        <v>32</v>
      </c>
      <c r="I1076" s="4" t="s">
        <v>33</v>
      </c>
      <c r="J1076" s="4">
        <v>0</v>
      </c>
      <c r="K1076" s="4">
        <v>0</v>
      </c>
      <c r="L1076" s="4">
        <f>J1076+K1076</f>
        <v>0</v>
      </c>
      <c r="M1076" s="4" t="s">
        <v>1075</v>
      </c>
      <c r="N1076" s="4"/>
      <c r="O1076" s="4">
        <v>1</v>
      </c>
      <c r="P1076" s="4" t="s">
        <v>135</v>
      </c>
      <c r="Q1076" s="4"/>
      <c r="R1076" s="7">
        <v>1250000</v>
      </c>
      <c r="S1076" s="7">
        <v>0</v>
      </c>
      <c r="T1076" s="7">
        <f>R1076-S1076</f>
        <v>0</v>
      </c>
      <c r="U1076" s="7">
        <f>T1076*O1076</f>
        <v>0</v>
      </c>
    </row>
    <row r="1077" spans="1:21">
      <c r="A1077" s="4" t="s">
        <v>1588</v>
      </c>
      <c r="B1077" s="4" t="s">
        <v>39</v>
      </c>
      <c r="C1077" s="5">
        <v>45936.21087962963</v>
      </c>
      <c r="D1077" s="5">
        <v>45936</v>
      </c>
      <c r="E1077" s="6">
        <f>IF(AND(C1077&lt;&gt;"",D1077&lt;&gt;""),D1077-C1077,"")</f>
        <v>0</v>
      </c>
      <c r="F1077" s="4" t="s">
        <v>1589</v>
      </c>
      <c r="G1077" s="4" t="s">
        <v>1590</v>
      </c>
      <c r="H1077" s="4" t="s">
        <v>32</v>
      </c>
      <c r="I1077" s="4" t="s">
        <v>33</v>
      </c>
      <c r="J1077" s="4">
        <v>0</v>
      </c>
      <c r="K1077" s="4">
        <v>0</v>
      </c>
      <c r="L1077" s="4">
        <f>J1077+K1077</f>
        <v>0</v>
      </c>
      <c r="M1077" s="4" t="s">
        <v>247</v>
      </c>
      <c r="N1077" s="4"/>
      <c r="O1077" s="4">
        <v>1</v>
      </c>
      <c r="P1077" s="4" t="s">
        <v>135</v>
      </c>
      <c r="Q1077" s="4"/>
      <c r="R1077" s="7">
        <v>95000</v>
      </c>
      <c r="S1077" s="7">
        <v>0</v>
      </c>
      <c r="T1077" s="7">
        <f>R1077-S1077</f>
        <v>0</v>
      </c>
      <c r="U1077" s="7">
        <f>T1077*O1077</f>
        <v>0</v>
      </c>
    </row>
    <row r="1078" spans="1:21">
      <c r="A1078" s="4" t="s">
        <v>1588</v>
      </c>
      <c r="B1078" s="4" t="s">
        <v>39</v>
      </c>
      <c r="C1078" s="5">
        <v>45936.21087962963</v>
      </c>
      <c r="D1078" s="5">
        <v>45936</v>
      </c>
      <c r="E1078" s="6">
        <f>IF(AND(C1078&lt;&gt;"",D1078&lt;&gt;""),D1078-C1078,"")</f>
        <v>0</v>
      </c>
      <c r="F1078" s="4" t="s">
        <v>1589</v>
      </c>
      <c r="G1078" s="4" t="s">
        <v>1590</v>
      </c>
      <c r="H1078" s="4" t="s">
        <v>32</v>
      </c>
      <c r="I1078" s="4" t="s">
        <v>33</v>
      </c>
      <c r="J1078" s="4">
        <v>0</v>
      </c>
      <c r="K1078" s="4">
        <v>0</v>
      </c>
      <c r="L1078" s="4">
        <f>J1078+K1078</f>
        <v>0</v>
      </c>
      <c r="M1078" s="4" t="s">
        <v>247</v>
      </c>
      <c r="N1078" s="4"/>
      <c r="O1078" s="4">
        <v>1</v>
      </c>
      <c r="P1078" s="4" t="s">
        <v>135</v>
      </c>
      <c r="Q1078" s="4"/>
      <c r="R1078" s="7">
        <v>75000</v>
      </c>
      <c r="S1078" s="7">
        <v>0</v>
      </c>
      <c r="T1078" s="7">
        <f>R1078-S1078</f>
        <v>0</v>
      </c>
      <c r="U1078" s="7">
        <f>T1078*O1078</f>
        <v>0</v>
      </c>
    </row>
    <row r="1079" spans="1:21">
      <c r="A1079" s="4" t="s">
        <v>1591</v>
      </c>
      <c r="B1079" s="4" t="s">
        <v>39</v>
      </c>
      <c r="C1079" s="5">
        <v>45936.2446875</v>
      </c>
      <c r="D1079" s="5">
        <v>45936</v>
      </c>
      <c r="E1079" s="6">
        <f>IF(AND(C1079&lt;&gt;"",D1079&lt;&gt;""),D1079-C1079,"")</f>
        <v>0</v>
      </c>
      <c r="F1079" s="4" t="s">
        <v>1592</v>
      </c>
      <c r="G1079" s="4" t="s">
        <v>1593</v>
      </c>
      <c r="H1079" s="4" t="s">
        <v>177</v>
      </c>
      <c r="I1079" s="4" t="s">
        <v>56</v>
      </c>
      <c r="J1079" s="4">
        <v>0</v>
      </c>
      <c r="K1079" s="4">
        <v>0</v>
      </c>
      <c r="L1079" s="4">
        <f>J1079+K1079</f>
        <v>0</v>
      </c>
      <c r="M1079" s="4" t="s">
        <v>370</v>
      </c>
      <c r="N1079" s="4"/>
      <c r="O1079" s="4">
        <v>1</v>
      </c>
      <c r="P1079" s="4" t="s">
        <v>135</v>
      </c>
      <c r="Q1079" s="4"/>
      <c r="R1079" s="7">
        <v>1400000</v>
      </c>
      <c r="S1079" s="7">
        <v>0</v>
      </c>
      <c r="T1079" s="7">
        <f>R1079-S1079</f>
        <v>0</v>
      </c>
      <c r="U1079" s="7">
        <f>T1079*O1079</f>
        <v>0</v>
      </c>
    </row>
    <row r="1080" spans="1:21">
      <c r="A1080" s="4" t="s">
        <v>1594</v>
      </c>
      <c r="B1080" s="4" t="s">
        <v>48</v>
      </c>
      <c r="C1080" s="5">
        <v>45936.2465625</v>
      </c>
      <c r="D1080" s="5">
        <v>45961</v>
      </c>
      <c r="E1080" s="6">
        <f>IF(AND(C1080&lt;&gt;"",D1080&lt;&gt;""),D1080-C1080,"")</f>
        <v>0</v>
      </c>
      <c r="F1080" s="4" t="s">
        <v>64</v>
      </c>
      <c r="G1080" s="4" t="s">
        <v>1595</v>
      </c>
      <c r="H1080" s="4" t="s">
        <v>32</v>
      </c>
      <c r="I1080" s="4" t="s">
        <v>33</v>
      </c>
      <c r="J1080" s="4">
        <v>3</v>
      </c>
      <c r="K1080" s="4">
        <v>0</v>
      </c>
      <c r="L1080" s="4">
        <f>J1080+K1080</f>
        <v>0</v>
      </c>
      <c r="M1080" s="4"/>
      <c r="N1080" s="4"/>
      <c r="O1080" s="4">
        <v>0</v>
      </c>
      <c r="P1080" s="4"/>
      <c r="Q1080" s="4"/>
      <c r="R1080" s="7">
        <v>0</v>
      </c>
      <c r="S1080" s="7">
        <v>0</v>
      </c>
      <c r="T1080" s="7">
        <f>R1080-S1080</f>
        <v>0</v>
      </c>
      <c r="U1080" s="7">
        <f>T1080*O1080</f>
        <v>0</v>
      </c>
    </row>
    <row r="1081" spans="1:21">
      <c r="A1081" s="4" t="s">
        <v>1596</v>
      </c>
      <c r="B1081" s="4" t="s">
        <v>39</v>
      </c>
      <c r="C1081" s="5">
        <v>45936.28393518519</v>
      </c>
      <c r="D1081" s="5">
        <v>45936</v>
      </c>
      <c r="E1081" s="6">
        <f>IF(AND(C1081&lt;&gt;"",D1081&lt;&gt;""),D1081-C1081,"")</f>
        <v>0</v>
      </c>
      <c r="F1081" s="4" t="s">
        <v>1597</v>
      </c>
      <c r="G1081" s="4" t="s">
        <v>1598</v>
      </c>
      <c r="H1081" s="4" t="s">
        <v>32</v>
      </c>
      <c r="I1081" s="4" t="s">
        <v>33</v>
      </c>
      <c r="J1081" s="4">
        <v>0</v>
      </c>
      <c r="K1081" s="4">
        <v>0</v>
      </c>
      <c r="L1081" s="4">
        <f>J1081+K1081</f>
        <v>0</v>
      </c>
      <c r="M1081" s="4" t="s">
        <v>370</v>
      </c>
      <c r="N1081" s="4"/>
      <c r="O1081" s="4">
        <v>1</v>
      </c>
      <c r="P1081" s="4" t="s">
        <v>135</v>
      </c>
      <c r="Q1081" s="4" t="s">
        <v>44</v>
      </c>
      <c r="R1081" s="7">
        <v>2000000</v>
      </c>
      <c r="S1081" s="7">
        <v>0</v>
      </c>
      <c r="T1081" s="7">
        <f>R1081-S1081</f>
        <v>0</v>
      </c>
      <c r="U1081" s="7">
        <f>T1081*O1081</f>
        <v>0</v>
      </c>
    </row>
    <row r="1082" spans="1:21">
      <c r="A1082" s="4" t="s">
        <v>1599</v>
      </c>
      <c r="B1082" s="4" t="s">
        <v>48</v>
      </c>
      <c r="C1082" s="5">
        <v>45936.28967592592</v>
      </c>
      <c r="D1082" s="5">
        <v>45961</v>
      </c>
      <c r="E1082" s="6">
        <f>IF(AND(C1082&lt;&gt;"",D1082&lt;&gt;""),D1082-C1082,"")</f>
        <v>0</v>
      </c>
      <c r="F1082" s="4" t="s">
        <v>64</v>
      </c>
      <c r="G1082" s="4" t="s">
        <v>1600</v>
      </c>
      <c r="H1082" s="4" t="s">
        <v>32</v>
      </c>
      <c r="I1082" s="4" t="s">
        <v>33</v>
      </c>
      <c r="J1082" s="4">
        <v>2</v>
      </c>
      <c r="K1082" s="4">
        <v>0</v>
      </c>
      <c r="L1082" s="4">
        <f>J1082+K1082</f>
        <v>0</v>
      </c>
      <c r="M1082" s="4"/>
      <c r="N1082" s="4"/>
      <c r="O1082" s="4">
        <v>0</v>
      </c>
      <c r="P1082" s="4"/>
      <c r="Q1082" s="4"/>
      <c r="R1082" s="7">
        <v>0</v>
      </c>
      <c r="S1082" s="7">
        <v>0</v>
      </c>
      <c r="T1082" s="7">
        <f>R1082-S1082</f>
        <v>0</v>
      </c>
      <c r="U1082" s="7">
        <f>T1082*O1082</f>
        <v>0</v>
      </c>
    </row>
    <row r="1083" spans="1:21">
      <c r="A1083" s="4" t="s">
        <v>1601</v>
      </c>
      <c r="B1083" s="4" t="s">
        <v>48</v>
      </c>
      <c r="C1083" s="5">
        <v>45936.29115740741</v>
      </c>
      <c r="D1083" s="5">
        <v>45961</v>
      </c>
      <c r="E1083" s="6">
        <f>IF(AND(C1083&lt;&gt;"",D1083&lt;&gt;""),D1083-C1083,"")</f>
        <v>0</v>
      </c>
      <c r="F1083" s="4" t="s">
        <v>1602</v>
      </c>
      <c r="G1083" s="4" t="s">
        <v>1603</v>
      </c>
      <c r="H1083" s="4" t="s">
        <v>32</v>
      </c>
      <c r="I1083" s="4" t="s">
        <v>33</v>
      </c>
      <c r="J1083" s="4">
        <v>3</v>
      </c>
      <c r="K1083" s="4">
        <v>2</v>
      </c>
      <c r="L1083" s="4">
        <f>J1083+K1083</f>
        <v>0</v>
      </c>
      <c r="M1083" s="4"/>
      <c r="N1083" s="4"/>
      <c r="O1083" s="4">
        <v>0</v>
      </c>
      <c r="P1083" s="4"/>
      <c r="Q1083" s="4"/>
      <c r="R1083" s="7">
        <v>0</v>
      </c>
      <c r="S1083" s="7">
        <v>0</v>
      </c>
      <c r="T1083" s="7">
        <f>R1083-S1083</f>
        <v>0</v>
      </c>
      <c r="U1083" s="7">
        <f>T1083*O1083</f>
        <v>0</v>
      </c>
    </row>
    <row r="1084" spans="1:21">
      <c r="A1084" s="4" t="s">
        <v>1604</v>
      </c>
      <c r="B1084" s="4" t="s">
        <v>48</v>
      </c>
      <c r="C1084" s="5">
        <v>45936.29793981482</v>
      </c>
      <c r="D1084" s="5">
        <v>45961</v>
      </c>
      <c r="E1084" s="6">
        <f>IF(AND(C1084&lt;&gt;"",D1084&lt;&gt;""),D1084-C1084,"")</f>
        <v>0</v>
      </c>
      <c r="F1084" s="4" t="s">
        <v>64</v>
      </c>
      <c r="G1084" s="4" t="s">
        <v>1605</v>
      </c>
      <c r="H1084" s="4" t="s">
        <v>32</v>
      </c>
      <c r="I1084" s="4" t="s">
        <v>33</v>
      </c>
      <c r="J1084" s="4">
        <v>1</v>
      </c>
      <c r="K1084" s="4">
        <v>0</v>
      </c>
      <c r="L1084" s="4">
        <f>J1084+K1084</f>
        <v>0</v>
      </c>
      <c r="M1084" s="4"/>
      <c r="N1084" s="4"/>
      <c r="O1084" s="4">
        <v>0</v>
      </c>
      <c r="P1084" s="4"/>
      <c r="Q1084" s="4"/>
      <c r="R1084" s="7">
        <v>0</v>
      </c>
      <c r="S1084" s="7">
        <v>0</v>
      </c>
      <c r="T1084" s="7">
        <f>R1084-S1084</f>
        <v>0</v>
      </c>
      <c r="U1084" s="7">
        <f>T1084*O1084</f>
        <v>0</v>
      </c>
    </row>
    <row r="1085" spans="1:21">
      <c r="A1085" s="4" t="s">
        <v>1606</v>
      </c>
      <c r="B1085" s="4" t="s">
        <v>39</v>
      </c>
      <c r="C1085" s="5">
        <v>45936.30208333334</v>
      </c>
      <c r="D1085" s="5">
        <v>45936</v>
      </c>
      <c r="E1085" s="6">
        <f>IF(AND(C1085&lt;&gt;"",D1085&lt;&gt;""),D1085-C1085,"")</f>
        <v>0</v>
      </c>
      <c r="F1085" s="4" t="s">
        <v>1355</v>
      </c>
      <c r="G1085" s="4" t="s">
        <v>1356</v>
      </c>
      <c r="H1085" s="4" t="s">
        <v>177</v>
      </c>
      <c r="I1085" s="4" t="s">
        <v>56</v>
      </c>
      <c r="J1085" s="4">
        <v>0</v>
      </c>
      <c r="K1085" s="4">
        <v>0</v>
      </c>
      <c r="L1085" s="4">
        <f>J1085+K1085</f>
        <v>0</v>
      </c>
      <c r="M1085" s="4" t="s">
        <v>1607</v>
      </c>
      <c r="N1085" s="4"/>
      <c r="O1085" s="4">
        <v>1</v>
      </c>
      <c r="P1085" s="4" t="s">
        <v>135</v>
      </c>
      <c r="Q1085" s="4"/>
      <c r="R1085" s="7">
        <v>122000</v>
      </c>
      <c r="S1085" s="7">
        <v>0</v>
      </c>
      <c r="T1085" s="7">
        <f>R1085-S1085</f>
        <v>0</v>
      </c>
      <c r="U1085" s="7">
        <f>T1085*O1085</f>
        <v>0</v>
      </c>
    </row>
    <row r="1086" spans="1:21">
      <c r="A1086" s="4" t="s">
        <v>1606</v>
      </c>
      <c r="B1086" s="4" t="s">
        <v>39</v>
      </c>
      <c r="C1086" s="5">
        <v>45936.30208333334</v>
      </c>
      <c r="D1086" s="5">
        <v>45936</v>
      </c>
      <c r="E1086" s="6">
        <f>IF(AND(C1086&lt;&gt;"",D1086&lt;&gt;""),D1086-C1086,"")</f>
        <v>0</v>
      </c>
      <c r="F1086" s="4" t="s">
        <v>1355</v>
      </c>
      <c r="G1086" s="4" t="s">
        <v>1356</v>
      </c>
      <c r="H1086" s="4" t="s">
        <v>177</v>
      </c>
      <c r="I1086" s="4" t="s">
        <v>56</v>
      </c>
      <c r="J1086" s="4">
        <v>0</v>
      </c>
      <c r="K1086" s="4">
        <v>0</v>
      </c>
      <c r="L1086" s="4">
        <f>J1086+K1086</f>
        <v>0</v>
      </c>
      <c r="M1086" s="4" t="s">
        <v>1608</v>
      </c>
      <c r="N1086" s="4"/>
      <c r="O1086" s="4">
        <v>1</v>
      </c>
      <c r="P1086" s="4" t="s">
        <v>135</v>
      </c>
      <c r="Q1086" s="4"/>
      <c r="R1086" s="7">
        <v>90000</v>
      </c>
      <c r="S1086" s="7">
        <v>0</v>
      </c>
      <c r="T1086" s="7">
        <f>R1086-S1086</f>
        <v>0</v>
      </c>
      <c r="U1086" s="7">
        <f>T1086*O1086</f>
        <v>0</v>
      </c>
    </row>
    <row r="1087" spans="1:21">
      <c r="A1087" s="4" t="s">
        <v>1609</v>
      </c>
      <c r="B1087" s="4" t="s">
        <v>39</v>
      </c>
      <c r="C1087" s="5">
        <v>45936.30297453704</v>
      </c>
      <c r="D1087" s="5">
        <v>45936</v>
      </c>
      <c r="E1087" s="6">
        <f>IF(AND(C1087&lt;&gt;"",D1087&lt;&gt;""),D1087-C1087,"")</f>
        <v>0</v>
      </c>
      <c r="F1087" s="4" t="s">
        <v>1358</v>
      </c>
      <c r="G1087" s="4" t="s">
        <v>1359</v>
      </c>
      <c r="H1087" s="4" t="s">
        <v>32</v>
      </c>
      <c r="I1087" s="4" t="s">
        <v>33</v>
      </c>
      <c r="J1087" s="4">
        <v>0</v>
      </c>
      <c r="K1087" s="4">
        <v>0</v>
      </c>
      <c r="L1087" s="4">
        <f>J1087+K1087</f>
        <v>0</v>
      </c>
      <c r="M1087" s="4" t="s">
        <v>1420</v>
      </c>
      <c r="N1087" s="4"/>
      <c r="O1087" s="4">
        <v>1</v>
      </c>
      <c r="P1087" s="4" t="s">
        <v>135</v>
      </c>
      <c r="Q1087" s="4"/>
      <c r="R1087" s="7">
        <v>108000</v>
      </c>
      <c r="S1087" s="7">
        <v>0</v>
      </c>
      <c r="T1087" s="7">
        <f>R1087-S1087</f>
        <v>0</v>
      </c>
      <c r="U1087" s="7">
        <f>T1087*O1087</f>
        <v>0</v>
      </c>
    </row>
    <row r="1088" spans="1:21">
      <c r="A1088" s="4" t="s">
        <v>1609</v>
      </c>
      <c r="B1088" s="4" t="s">
        <v>39</v>
      </c>
      <c r="C1088" s="5">
        <v>45936.30297453704</v>
      </c>
      <c r="D1088" s="5">
        <v>45936</v>
      </c>
      <c r="E1088" s="6">
        <f>IF(AND(C1088&lt;&gt;"",D1088&lt;&gt;""),D1088-C1088,"")</f>
        <v>0</v>
      </c>
      <c r="F1088" s="4" t="s">
        <v>1358</v>
      </c>
      <c r="G1088" s="4" t="s">
        <v>1359</v>
      </c>
      <c r="H1088" s="4" t="s">
        <v>32</v>
      </c>
      <c r="I1088" s="4" t="s">
        <v>33</v>
      </c>
      <c r="J1088" s="4">
        <v>0</v>
      </c>
      <c r="K1088" s="4">
        <v>0</v>
      </c>
      <c r="L1088" s="4">
        <f>J1088+K1088</f>
        <v>0</v>
      </c>
      <c r="M1088" s="4" t="s">
        <v>1533</v>
      </c>
      <c r="N1088" s="4"/>
      <c r="O1088" s="4">
        <v>1</v>
      </c>
      <c r="P1088" s="4" t="s">
        <v>135</v>
      </c>
      <c r="Q1088" s="4"/>
      <c r="R1088" s="7">
        <v>108000</v>
      </c>
      <c r="S1088" s="7">
        <v>0</v>
      </c>
      <c r="T1088" s="7">
        <f>R1088-S1088</f>
        <v>0</v>
      </c>
      <c r="U1088" s="7">
        <f>T1088*O1088</f>
        <v>0</v>
      </c>
    </row>
    <row r="1089" spans="1:21">
      <c r="A1089" s="4" t="s">
        <v>1610</v>
      </c>
      <c r="B1089" s="4" t="s">
        <v>48</v>
      </c>
      <c r="C1089" s="5">
        <v>45936.31815972222</v>
      </c>
      <c r="D1089" s="5">
        <v>45961</v>
      </c>
      <c r="E1089" s="6">
        <f>IF(AND(C1089&lt;&gt;"",D1089&lt;&gt;""),D1089-C1089,"")</f>
        <v>0</v>
      </c>
      <c r="F1089" s="4" t="s">
        <v>64</v>
      </c>
      <c r="G1089" s="4" t="s">
        <v>1611</v>
      </c>
      <c r="H1089" s="4" t="s">
        <v>32</v>
      </c>
      <c r="I1089" s="4" t="s">
        <v>33</v>
      </c>
      <c r="J1089" s="4">
        <v>1</v>
      </c>
      <c r="K1089" s="4">
        <v>0</v>
      </c>
      <c r="L1089" s="4">
        <f>J1089+K1089</f>
        <v>0</v>
      </c>
      <c r="M1089" s="4"/>
      <c r="N1089" s="4"/>
      <c r="O1089" s="4">
        <v>0</v>
      </c>
      <c r="P1089" s="4"/>
      <c r="Q1089" s="4"/>
      <c r="R1089" s="7">
        <v>0</v>
      </c>
      <c r="S1089" s="7">
        <v>0</v>
      </c>
      <c r="T1089" s="7">
        <f>R1089-S1089</f>
        <v>0</v>
      </c>
      <c r="U1089" s="7">
        <f>T1089*O1089</f>
        <v>0</v>
      </c>
    </row>
    <row r="1090" spans="1:21">
      <c r="A1090" s="4" t="s">
        <v>1612</v>
      </c>
      <c r="B1090" s="4" t="s">
        <v>39</v>
      </c>
      <c r="C1090" s="5">
        <v>45936.31858796296</v>
      </c>
      <c r="D1090" s="5">
        <v>45936</v>
      </c>
      <c r="E1090" s="6">
        <f>IF(AND(C1090&lt;&gt;"",D1090&lt;&gt;""),D1090-C1090,"")</f>
        <v>0</v>
      </c>
      <c r="F1090" s="4" t="s">
        <v>1613</v>
      </c>
      <c r="G1090" s="4" t="s">
        <v>1614</v>
      </c>
      <c r="H1090" s="4" t="s">
        <v>32</v>
      </c>
      <c r="I1090" s="4" t="s">
        <v>33</v>
      </c>
      <c r="J1090" s="4">
        <v>0</v>
      </c>
      <c r="K1090" s="4">
        <v>0</v>
      </c>
      <c r="L1090" s="4">
        <f>J1090+K1090</f>
        <v>0</v>
      </c>
      <c r="M1090" s="4" t="s">
        <v>370</v>
      </c>
      <c r="N1090" s="4"/>
      <c r="O1090" s="4">
        <v>1</v>
      </c>
      <c r="P1090" s="4" t="s">
        <v>135</v>
      </c>
      <c r="Q1090" s="4" t="s">
        <v>44</v>
      </c>
      <c r="R1090" s="7">
        <v>2000000</v>
      </c>
      <c r="S1090" s="7">
        <v>0</v>
      </c>
      <c r="T1090" s="7">
        <f>R1090-S1090</f>
        <v>0</v>
      </c>
      <c r="U1090" s="7">
        <f>T1090*O1090</f>
        <v>0</v>
      </c>
    </row>
    <row r="1091" spans="1:21">
      <c r="A1091" s="4" t="s">
        <v>1615</v>
      </c>
      <c r="B1091" s="4" t="s">
        <v>39</v>
      </c>
      <c r="C1091" s="5">
        <v>45936.32258101852</v>
      </c>
      <c r="D1091" s="5">
        <v>45936</v>
      </c>
      <c r="E1091" s="6">
        <f>IF(AND(C1091&lt;&gt;"",D1091&lt;&gt;""),D1091-C1091,"")</f>
        <v>0</v>
      </c>
      <c r="F1091" s="4" t="s">
        <v>1616</v>
      </c>
      <c r="G1091" s="4" t="s">
        <v>1617</v>
      </c>
      <c r="H1091" s="4" t="s">
        <v>32</v>
      </c>
      <c r="I1091" s="4" t="s">
        <v>33</v>
      </c>
      <c r="J1091" s="4">
        <v>0</v>
      </c>
      <c r="K1091" s="4">
        <v>0</v>
      </c>
      <c r="L1091" s="4">
        <f>J1091+K1091</f>
        <v>0</v>
      </c>
      <c r="M1091" s="4" t="s">
        <v>370</v>
      </c>
      <c r="N1091" s="4"/>
      <c r="O1091" s="4">
        <v>1</v>
      </c>
      <c r="P1091" s="4" t="s">
        <v>135</v>
      </c>
      <c r="Q1091" s="4" t="s">
        <v>44</v>
      </c>
      <c r="R1091" s="7">
        <v>2000000</v>
      </c>
      <c r="S1091" s="7">
        <v>0</v>
      </c>
      <c r="T1091" s="7">
        <f>R1091-S1091</f>
        <v>0</v>
      </c>
      <c r="U1091" s="7">
        <f>T1091*O1091</f>
        <v>0</v>
      </c>
    </row>
    <row r="1092" spans="1:21">
      <c r="A1092" s="4" t="s">
        <v>1618</v>
      </c>
      <c r="B1092" s="4" t="s">
        <v>39</v>
      </c>
      <c r="C1092" s="5">
        <v>45936.33001157407</v>
      </c>
      <c r="D1092" s="5">
        <v>45936</v>
      </c>
      <c r="E1092" s="6">
        <f>IF(AND(C1092&lt;&gt;"",D1092&lt;&gt;""),D1092-C1092,"")</f>
        <v>0</v>
      </c>
      <c r="F1092" s="4" t="s">
        <v>1619</v>
      </c>
      <c r="G1092" s="4"/>
      <c r="H1092" s="4"/>
      <c r="I1092" s="4" t="s">
        <v>56</v>
      </c>
      <c r="J1092" s="4">
        <v>0</v>
      </c>
      <c r="K1092" s="4">
        <v>0</v>
      </c>
      <c r="L1092" s="4">
        <f>J1092+K1092</f>
        <v>0</v>
      </c>
      <c r="M1092" s="4" t="s">
        <v>1620</v>
      </c>
      <c r="N1092" s="4"/>
      <c r="O1092" s="4">
        <v>1</v>
      </c>
      <c r="P1092" s="4" t="s">
        <v>135</v>
      </c>
      <c r="Q1092" s="4"/>
      <c r="R1092" s="7">
        <v>59000</v>
      </c>
      <c r="S1092" s="7">
        <v>0</v>
      </c>
      <c r="T1092" s="7">
        <f>R1092-S1092</f>
        <v>0</v>
      </c>
      <c r="U1092" s="7">
        <f>T1092*O1092</f>
        <v>0</v>
      </c>
    </row>
    <row r="1093" spans="1:21">
      <c r="A1093" s="4" t="s">
        <v>1618</v>
      </c>
      <c r="B1093" s="4" t="s">
        <v>39</v>
      </c>
      <c r="C1093" s="5">
        <v>45936.33001157407</v>
      </c>
      <c r="D1093" s="5">
        <v>45936</v>
      </c>
      <c r="E1093" s="6">
        <f>IF(AND(C1093&lt;&gt;"",D1093&lt;&gt;""),D1093-C1093,"")</f>
        <v>0</v>
      </c>
      <c r="F1093" s="4" t="s">
        <v>1619</v>
      </c>
      <c r="G1093" s="4"/>
      <c r="H1093" s="4"/>
      <c r="I1093" s="4" t="s">
        <v>56</v>
      </c>
      <c r="J1093" s="4">
        <v>0</v>
      </c>
      <c r="K1093" s="4">
        <v>0</v>
      </c>
      <c r="L1093" s="4">
        <f>J1093+K1093</f>
        <v>0</v>
      </c>
      <c r="M1093" s="4" t="s">
        <v>1621</v>
      </c>
      <c r="N1093" s="4"/>
      <c r="O1093" s="4">
        <v>1</v>
      </c>
      <c r="P1093" s="4" t="s">
        <v>135</v>
      </c>
      <c r="Q1093" s="4"/>
      <c r="R1093" s="7">
        <v>14000</v>
      </c>
      <c r="S1093" s="7">
        <v>0</v>
      </c>
      <c r="T1093" s="7">
        <f>R1093-S1093</f>
        <v>0</v>
      </c>
      <c r="U1093" s="7">
        <f>T1093*O1093</f>
        <v>0</v>
      </c>
    </row>
    <row r="1094" spans="1:21">
      <c r="A1094" s="4" t="s">
        <v>1622</v>
      </c>
      <c r="B1094" s="4" t="s">
        <v>39</v>
      </c>
      <c r="C1094" s="5">
        <v>45936.33037037037</v>
      </c>
      <c r="D1094" s="5">
        <v>45936</v>
      </c>
      <c r="E1094" s="6">
        <f>IF(AND(C1094&lt;&gt;"",D1094&lt;&gt;""),D1094-C1094,"")</f>
        <v>0</v>
      </c>
      <c r="F1094" s="4" t="s">
        <v>1623</v>
      </c>
      <c r="G1094" s="4" t="s">
        <v>1624</v>
      </c>
      <c r="H1094" s="4" t="s">
        <v>32</v>
      </c>
      <c r="I1094" s="4" t="s">
        <v>33</v>
      </c>
      <c r="J1094" s="4">
        <v>0</v>
      </c>
      <c r="K1094" s="4">
        <v>0</v>
      </c>
      <c r="L1094" s="4">
        <f>J1094+K1094</f>
        <v>0</v>
      </c>
      <c r="M1094" s="4" t="s">
        <v>370</v>
      </c>
      <c r="N1094" s="4"/>
      <c r="O1094" s="4">
        <v>1</v>
      </c>
      <c r="P1094" s="4" t="s">
        <v>135</v>
      </c>
      <c r="Q1094" s="4"/>
      <c r="R1094" s="7">
        <v>6000000</v>
      </c>
      <c r="S1094" s="7">
        <v>0</v>
      </c>
      <c r="T1094" s="7">
        <f>R1094-S1094</f>
        <v>0</v>
      </c>
      <c r="U1094" s="7">
        <f>T1094*O1094</f>
        <v>0</v>
      </c>
    </row>
    <row r="1095" spans="1:21">
      <c r="A1095" s="4" t="s">
        <v>1622</v>
      </c>
      <c r="B1095" s="4" t="s">
        <v>39</v>
      </c>
      <c r="C1095" s="5">
        <v>45936.33037037037</v>
      </c>
      <c r="D1095" s="5">
        <v>45936</v>
      </c>
      <c r="E1095" s="6">
        <f>IF(AND(C1095&lt;&gt;"",D1095&lt;&gt;""),D1095-C1095,"")</f>
        <v>0</v>
      </c>
      <c r="F1095" s="4" t="s">
        <v>1623</v>
      </c>
      <c r="G1095" s="4" t="s">
        <v>1624</v>
      </c>
      <c r="H1095" s="4" t="s">
        <v>32</v>
      </c>
      <c r="I1095" s="4" t="s">
        <v>33</v>
      </c>
      <c r="J1095" s="4">
        <v>0</v>
      </c>
      <c r="K1095" s="4">
        <v>0</v>
      </c>
      <c r="L1095" s="4">
        <f>J1095+K1095</f>
        <v>0</v>
      </c>
      <c r="M1095" s="4" t="s">
        <v>1080</v>
      </c>
      <c r="N1095" s="4"/>
      <c r="O1095" s="4">
        <v>1</v>
      </c>
      <c r="P1095" s="4" t="s">
        <v>135</v>
      </c>
      <c r="Q1095" s="4"/>
      <c r="R1095" s="7">
        <v>750000</v>
      </c>
      <c r="S1095" s="7">
        <v>0</v>
      </c>
      <c r="T1095" s="7">
        <f>R1095-S1095</f>
        <v>0</v>
      </c>
      <c r="U1095" s="7">
        <f>T1095*O1095</f>
        <v>0</v>
      </c>
    </row>
    <row r="1096" spans="1:21">
      <c r="A1096" s="4" t="s">
        <v>1625</v>
      </c>
      <c r="B1096" s="4" t="s">
        <v>39</v>
      </c>
      <c r="C1096" s="5">
        <v>45936.345</v>
      </c>
      <c r="D1096" s="5">
        <v>45936</v>
      </c>
      <c r="E1096" s="6">
        <f>IF(AND(C1096&lt;&gt;"",D1096&lt;&gt;""),D1096-C1096,"")</f>
        <v>0</v>
      </c>
      <c r="F1096" s="4" t="s">
        <v>918</v>
      </c>
      <c r="G1096" s="4" t="s">
        <v>919</v>
      </c>
      <c r="H1096" s="4"/>
      <c r="I1096" s="4" t="s">
        <v>56</v>
      </c>
      <c r="J1096" s="4">
        <v>0</v>
      </c>
      <c r="K1096" s="4">
        <v>0</v>
      </c>
      <c r="L1096" s="4">
        <f>J1096+K1096</f>
        <v>0</v>
      </c>
      <c r="M1096" s="4" t="s">
        <v>1533</v>
      </c>
      <c r="N1096" s="4"/>
      <c r="O1096" s="4">
        <v>1</v>
      </c>
      <c r="P1096" s="4" t="s">
        <v>135</v>
      </c>
      <c r="Q1096" s="4"/>
      <c r="R1096" s="7">
        <v>108000</v>
      </c>
      <c r="S1096" s="7">
        <v>0</v>
      </c>
      <c r="T1096" s="7">
        <f>R1096-S1096</f>
        <v>0</v>
      </c>
      <c r="U1096" s="7">
        <f>T1096*O1096</f>
        <v>0</v>
      </c>
    </row>
    <row r="1097" spans="1:21">
      <c r="A1097" s="4" t="s">
        <v>1626</v>
      </c>
      <c r="B1097" s="4" t="s">
        <v>39</v>
      </c>
      <c r="C1097" s="5">
        <v>45936.37096064815</v>
      </c>
      <c r="D1097" s="5">
        <v>45936</v>
      </c>
      <c r="E1097" s="6">
        <f>IF(AND(C1097&lt;&gt;"",D1097&lt;&gt;""),D1097-C1097,"")</f>
        <v>0</v>
      </c>
      <c r="F1097" s="4" t="s">
        <v>1627</v>
      </c>
      <c r="G1097" s="4" t="s">
        <v>1628</v>
      </c>
      <c r="H1097" s="4" t="s">
        <v>177</v>
      </c>
      <c r="I1097" s="4" t="s">
        <v>56</v>
      </c>
      <c r="J1097" s="4">
        <v>0</v>
      </c>
      <c r="K1097" s="4">
        <v>0</v>
      </c>
      <c r="L1097" s="4">
        <f>J1097+K1097</f>
        <v>0</v>
      </c>
      <c r="M1097" s="4" t="s">
        <v>370</v>
      </c>
      <c r="N1097" s="4"/>
      <c r="O1097" s="4">
        <v>1</v>
      </c>
      <c r="P1097" s="4" t="s">
        <v>135</v>
      </c>
      <c r="Q1097" s="4" t="s">
        <v>44</v>
      </c>
      <c r="R1097" s="7">
        <v>500000</v>
      </c>
      <c r="S1097" s="7">
        <v>0</v>
      </c>
      <c r="T1097" s="7">
        <f>R1097-S1097</f>
        <v>0</v>
      </c>
      <c r="U1097" s="7">
        <f>T1097*O1097</f>
        <v>0</v>
      </c>
    </row>
    <row r="1098" spans="1:21">
      <c r="A1098" s="4" t="s">
        <v>1629</v>
      </c>
      <c r="B1098" s="4" t="s">
        <v>39</v>
      </c>
      <c r="C1098" s="5">
        <v>45936.39666666667</v>
      </c>
      <c r="D1098" s="5">
        <v>45936</v>
      </c>
      <c r="E1098" s="6">
        <f>IF(AND(C1098&lt;&gt;"",D1098&lt;&gt;""),D1098-C1098,"")</f>
        <v>0</v>
      </c>
      <c r="F1098" s="4" t="s">
        <v>1630</v>
      </c>
      <c r="G1098" s="4" t="s">
        <v>1631</v>
      </c>
      <c r="H1098" s="4" t="s">
        <v>177</v>
      </c>
      <c r="I1098" s="4" t="s">
        <v>56</v>
      </c>
      <c r="J1098" s="4">
        <v>0</v>
      </c>
      <c r="K1098" s="4">
        <v>0</v>
      </c>
      <c r="L1098" s="4">
        <f>J1098+K1098</f>
        <v>0</v>
      </c>
      <c r="M1098" s="4" t="s">
        <v>370</v>
      </c>
      <c r="N1098" s="4"/>
      <c r="O1098" s="4">
        <v>1</v>
      </c>
      <c r="P1098" s="4" t="s">
        <v>135</v>
      </c>
      <c r="Q1098" s="4"/>
      <c r="R1098" s="7">
        <v>6000000</v>
      </c>
      <c r="S1098" s="7">
        <v>0</v>
      </c>
      <c r="T1098" s="7">
        <f>R1098-S1098</f>
        <v>0</v>
      </c>
      <c r="U1098" s="7">
        <f>T1098*O1098</f>
        <v>0</v>
      </c>
    </row>
    <row r="1099" spans="1:21">
      <c r="A1099" s="4" t="s">
        <v>1632</v>
      </c>
      <c r="B1099" s="4" t="s">
        <v>48</v>
      </c>
      <c r="C1099" s="5">
        <v>45936.41730324074</v>
      </c>
      <c r="D1099" s="5">
        <v>45961</v>
      </c>
      <c r="E1099" s="6">
        <f>IF(AND(C1099&lt;&gt;"",D1099&lt;&gt;""),D1099-C1099,"")</f>
        <v>0</v>
      </c>
      <c r="F1099" s="4" t="s">
        <v>863</v>
      </c>
      <c r="G1099" s="4" t="s">
        <v>400</v>
      </c>
      <c r="H1099" s="4" t="s">
        <v>32</v>
      </c>
      <c r="I1099" s="4" t="s">
        <v>33</v>
      </c>
      <c r="J1099" s="4">
        <v>1</v>
      </c>
      <c r="K1099" s="4">
        <v>1</v>
      </c>
      <c r="L1099" s="4">
        <f>J1099+K1099</f>
        <v>0</v>
      </c>
      <c r="M1099" s="4"/>
      <c r="N1099" s="4"/>
      <c r="O1099" s="4">
        <v>0</v>
      </c>
      <c r="P1099" s="4"/>
      <c r="Q1099" s="4"/>
      <c r="R1099" s="7">
        <v>0</v>
      </c>
      <c r="S1099" s="7">
        <v>0</v>
      </c>
      <c r="T1099" s="7">
        <f>R1099-S1099</f>
        <v>0</v>
      </c>
      <c r="U1099" s="7">
        <f>T1099*O1099</f>
        <v>0</v>
      </c>
    </row>
    <row r="1100" spans="1:21">
      <c r="A1100" s="4" t="s">
        <v>1633</v>
      </c>
      <c r="B1100" s="4" t="s">
        <v>39</v>
      </c>
      <c r="C1100" s="5">
        <v>45936.42591435185</v>
      </c>
      <c r="D1100" s="5">
        <v>45936</v>
      </c>
      <c r="E1100" s="6">
        <f>IF(AND(C1100&lt;&gt;"",D1100&lt;&gt;""),D1100-C1100,"")</f>
        <v>0</v>
      </c>
      <c r="F1100" s="4" t="s">
        <v>863</v>
      </c>
      <c r="G1100" s="4" t="s">
        <v>400</v>
      </c>
      <c r="H1100" s="4" t="s">
        <v>32</v>
      </c>
      <c r="I1100" s="4" t="s">
        <v>33</v>
      </c>
      <c r="J1100" s="4">
        <v>1</v>
      </c>
      <c r="K1100" s="4">
        <v>0</v>
      </c>
      <c r="L1100" s="4">
        <f>J1100+K1100</f>
        <v>0</v>
      </c>
      <c r="M1100" s="4" t="s">
        <v>42</v>
      </c>
      <c r="N1100" s="4"/>
      <c r="O1100" s="4">
        <v>1</v>
      </c>
      <c r="P1100" s="4" t="s">
        <v>135</v>
      </c>
      <c r="Q1100" s="4" t="s">
        <v>44</v>
      </c>
      <c r="R1100" s="7">
        <v>-370000</v>
      </c>
      <c r="S1100" s="7">
        <v>0</v>
      </c>
      <c r="T1100" s="7">
        <f>R1100-S1100</f>
        <v>0</v>
      </c>
      <c r="U1100" s="7">
        <f>T1100*O1100</f>
        <v>0</v>
      </c>
    </row>
    <row r="1101" spans="1:21">
      <c r="A1101" s="4" t="s">
        <v>1633</v>
      </c>
      <c r="B1101" s="4" t="s">
        <v>39</v>
      </c>
      <c r="C1101" s="5">
        <v>45936.42591435185</v>
      </c>
      <c r="D1101" s="5">
        <v>45936</v>
      </c>
      <c r="E1101" s="6">
        <f>IF(AND(C1101&lt;&gt;"",D1101&lt;&gt;""),D1101-C1101,"")</f>
        <v>0</v>
      </c>
      <c r="F1101" s="4" t="s">
        <v>863</v>
      </c>
      <c r="G1101" s="4" t="s">
        <v>400</v>
      </c>
      <c r="H1101" s="4" t="s">
        <v>32</v>
      </c>
      <c r="I1101" s="4" t="s">
        <v>33</v>
      </c>
      <c r="J1101" s="4">
        <v>1</v>
      </c>
      <c r="K1101" s="4">
        <v>0</v>
      </c>
      <c r="L1101" s="4">
        <f>J1101+K1101</f>
        <v>0</v>
      </c>
      <c r="M1101" s="4" t="s">
        <v>80</v>
      </c>
      <c r="N1101" s="4"/>
      <c r="O1101" s="4">
        <v>1</v>
      </c>
      <c r="P1101" s="4" t="s">
        <v>135</v>
      </c>
      <c r="Q1101" s="4" t="s">
        <v>44</v>
      </c>
      <c r="R1101" s="7">
        <v>610000</v>
      </c>
      <c r="S1101" s="7">
        <v>91500</v>
      </c>
      <c r="T1101" s="7">
        <f>R1101-S1101</f>
        <v>0</v>
      </c>
      <c r="U1101" s="7">
        <f>T1101*O1101</f>
        <v>0</v>
      </c>
    </row>
    <row r="1102" spans="1:21">
      <c r="A1102" s="4" t="s">
        <v>1634</v>
      </c>
      <c r="B1102" s="4" t="s">
        <v>39</v>
      </c>
      <c r="C1102" s="5">
        <v>45936.49984953704</v>
      </c>
      <c r="D1102" s="5">
        <v>45936</v>
      </c>
      <c r="E1102" s="6">
        <f>IF(AND(C1102&lt;&gt;"",D1102&lt;&gt;""),D1102-C1102,"")</f>
        <v>0</v>
      </c>
      <c r="F1102" s="4" t="s">
        <v>1343</v>
      </c>
      <c r="G1102" s="4" t="s">
        <v>1635</v>
      </c>
      <c r="H1102" s="4" t="s">
        <v>177</v>
      </c>
      <c r="I1102" s="4" t="s">
        <v>56</v>
      </c>
      <c r="J1102" s="4">
        <v>0</v>
      </c>
      <c r="K1102" s="4">
        <v>0</v>
      </c>
      <c r="L1102" s="4">
        <f>J1102+K1102</f>
        <v>0</v>
      </c>
      <c r="M1102" s="4" t="s">
        <v>1335</v>
      </c>
      <c r="N1102" s="4"/>
      <c r="O1102" s="4">
        <v>1</v>
      </c>
      <c r="P1102" s="4" t="s">
        <v>135</v>
      </c>
      <c r="Q1102" s="4"/>
      <c r="R1102" s="7">
        <v>45000</v>
      </c>
      <c r="S1102" s="7">
        <v>0</v>
      </c>
      <c r="T1102" s="7">
        <f>R1102-S1102</f>
        <v>0</v>
      </c>
      <c r="U1102" s="7">
        <f>T1102*O1102</f>
        <v>0</v>
      </c>
    </row>
    <row r="1103" spans="1:21">
      <c r="A1103" s="4" t="s">
        <v>1634</v>
      </c>
      <c r="B1103" s="4" t="s">
        <v>39</v>
      </c>
      <c r="C1103" s="5">
        <v>45936.49984953704</v>
      </c>
      <c r="D1103" s="5">
        <v>45936</v>
      </c>
      <c r="E1103" s="6">
        <f>IF(AND(C1103&lt;&gt;"",D1103&lt;&gt;""),D1103-C1103,"")</f>
        <v>0</v>
      </c>
      <c r="F1103" s="4" t="s">
        <v>1343</v>
      </c>
      <c r="G1103" s="4" t="s">
        <v>1635</v>
      </c>
      <c r="H1103" s="4" t="s">
        <v>177</v>
      </c>
      <c r="I1103" s="4" t="s">
        <v>56</v>
      </c>
      <c r="J1103" s="4">
        <v>0</v>
      </c>
      <c r="K1103" s="4">
        <v>0</v>
      </c>
      <c r="L1103" s="4">
        <f>J1103+K1103</f>
        <v>0</v>
      </c>
      <c r="M1103" s="4" t="s">
        <v>1335</v>
      </c>
      <c r="N1103" s="4"/>
      <c r="O1103" s="4">
        <v>1</v>
      </c>
      <c r="P1103" s="4" t="s">
        <v>135</v>
      </c>
      <c r="Q1103" s="4"/>
      <c r="R1103" s="7">
        <v>45000</v>
      </c>
      <c r="S1103" s="7">
        <v>0</v>
      </c>
      <c r="T1103" s="7">
        <f>R1103-S1103</f>
        <v>0</v>
      </c>
      <c r="U1103" s="7">
        <f>T1103*O1103</f>
        <v>0</v>
      </c>
    </row>
    <row r="1104" spans="1:21">
      <c r="A1104" s="4" t="s">
        <v>1634</v>
      </c>
      <c r="B1104" s="4" t="s">
        <v>39</v>
      </c>
      <c r="C1104" s="5">
        <v>45936.49984953704</v>
      </c>
      <c r="D1104" s="5">
        <v>45936</v>
      </c>
      <c r="E1104" s="6">
        <f>IF(AND(C1104&lt;&gt;"",D1104&lt;&gt;""),D1104-C1104,"")</f>
        <v>0</v>
      </c>
      <c r="F1104" s="4" t="s">
        <v>1343</v>
      </c>
      <c r="G1104" s="4" t="s">
        <v>1635</v>
      </c>
      <c r="H1104" s="4" t="s">
        <v>177</v>
      </c>
      <c r="I1104" s="4" t="s">
        <v>56</v>
      </c>
      <c r="J1104" s="4">
        <v>0</v>
      </c>
      <c r="K1104" s="4">
        <v>0</v>
      </c>
      <c r="L1104" s="4">
        <f>J1104+K1104</f>
        <v>0</v>
      </c>
      <c r="M1104" s="4" t="s">
        <v>1335</v>
      </c>
      <c r="N1104" s="4"/>
      <c r="O1104" s="4">
        <v>1</v>
      </c>
      <c r="P1104" s="4" t="s">
        <v>135</v>
      </c>
      <c r="Q1104" s="4"/>
      <c r="R1104" s="7">
        <v>45000</v>
      </c>
      <c r="S1104" s="7">
        <v>0</v>
      </c>
      <c r="T1104" s="7">
        <f>R1104-S1104</f>
        <v>0</v>
      </c>
      <c r="U1104" s="7">
        <f>T1104*O1104</f>
        <v>0</v>
      </c>
    </row>
    <row r="1105" spans="1:21">
      <c r="A1105" s="4" t="s">
        <v>1636</v>
      </c>
      <c r="B1105" s="4" t="s">
        <v>29</v>
      </c>
      <c r="C1105" s="5">
        <v>45936.54737268519</v>
      </c>
      <c r="D1105" s="5">
        <v>45961</v>
      </c>
      <c r="E1105" s="6">
        <f>IF(AND(C1105&lt;&gt;"",D1105&lt;&gt;""),D1105-C1105,"")</f>
        <v>0</v>
      </c>
      <c r="F1105" s="4" t="s">
        <v>307</v>
      </c>
      <c r="G1105" s="4" t="s">
        <v>308</v>
      </c>
      <c r="H1105" s="4" t="s">
        <v>190</v>
      </c>
      <c r="I1105" s="4" t="s">
        <v>56</v>
      </c>
      <c r="J1105" s="4">
        <v>1</v>
      </c>
      <c r="K1105" s="4">
        <v>0</v>
      </c>
      <c r="L1105" s="4">
        <f>J1105+K1105</f>
        <v>0</v>
      </c>
      <c r="M1105" s="4"/>
      <c r="N1105" s="4"/>
      <c r="O1105" s="4">
        <v>0</v>
      </c>
      <c r="P1105" s="4"/>
      <c r="Q1105" s="4"/>
      <c r="R1105" s="7">
        <v>0</v>
      </c>
      <c r="S1105" s="7">
        <v>0</v>
      </c>
      <c r="T1105" s="7">
        <f>R1105-S1105</f>
        <v>0</v>
      </c>
      <c r="U1105" s="7">
        <f>T1105*O1105</f>
        <v>0</v>
      </c>
    </row>
    <row r="1106" spans="1:21">
      <c r="A1106" s="4" t="s">
        <v>1637</v>
      </c>
      <c r="B1106" s="4" t="s">
        <v>29</v>
      </c>
      <c r="C1106" s="5">
        <v>45936.54738425926</v>
      </c>
      <c r="D1106" s="5">
        <v>45961</v>
      </c>
      <c r="E1106" s="6">
        <f>IF(AND(C1106&lt;&gt;"",D1106&lt;&gt;""),D1106-C1106,"")</f>
        <v>0</v>
      </c>
      <c r="F1106" s="4" t="s">
        <v>307</v>
      </c>
      <c r="G1106" s="4" t="s">
        <v>308</v>
      </c>
      <c r="H1106" s="4" t="s">
        <v>190</v>
      </c>
      <c r="I1106" s="4" t="s">
        <v>56</v>
      </c>
      <c r="J1106" s="4">
        <v>1</v>
      </c>
      <c r="K1106" s="4">
        <v>0</v>
      </c>
      <c r="L1106" s="4">
        <f>J1106+K1106</f>
        <v>0</v>
      </c>
      <c r="M1106" s="4"/>
      <c r="N1106" s="4"/>
      <c r="O1106" s="4">
        <v>0</v>
      </c>
      <c r="P1106" s="4"/>
      <c r="Q1106" s="4"/>
      <c r="R1106" s="7">
        <v>0</v>
      </c>
      <c r="S1106" s="7">
        <v>0</v>
      </c>
      <c r="T1106" s="7">
        <f>R1106-S1106</f>
        <v>0</v>
      </c>
      <c r="U1106" s="7">
        <f>T1106*O1106</f>
        <v>0</v>
      </c>
    </row>
    <row r="1107" spans="1:21">
      <c r="A1107" s="4" t="s">
        <v>1638</v>
      </c>
      <c r="B1107" s="4" t="s">
        <v>39</v>
      </c>
      <c r="C1107" s="5">
        <v>45936.56732638889</v>
      </c>
      <c r="D1107" s="5">
        <v>45936</v>
      </c>
      <c r="E1107" s="6">
        <f>IF(AND(C1107&lt;&gt;"",D1107&lt;&gt;""),D1107-C1107,"")</f>
        <v>0</v>
      </c>
      <c r="F1107" s="4" t="s">
        <v>1630</v>
      </c>
      <c r="G1107" s="4" t="s">
        <v>1631</v>
      </c>
      <c r="H1107" s="4" t="s">
        <v>177</v>
      </c>
      <c r="I1107" s="4" t="s">
        <v>56</v>
      </c>
      <c r="J1107" s="4">
        <v>0</v>
      </c>
      <c r="K1107" s="4">
        <v>0</v>
      </c>
      <c r="L1107" s="4">
        <f>J1107+K1107</f>
        <v>0</v>
      </c>
      <c r="M1107" s="4" t="s">
        <v>609</v>
      </c>
      <c r="N1107" s="4"/>
      <c r="O1107" s="4">
        <v>1</v>
      </c>
      <c r="P1107" s="4" t="s">
        <v>135</v>
      </c>
      <c r="Q1107" s="4"/>
      <c r="R1107" s="7">
        <v>30000</v>
      </c>
      <c r="S1107" s="7">
        <v>0</v>
      </c>
      <c r="T1107" s="7">
        <f>R1107-S1107</f>
        <v>0</v>
      </c>
      <c r="U1107" s="7">
        <f>T1107*O1107</f>
        <v>0</v>
      </c>
    </row>
    <row r="1108" spans="1:21">
      <c r="A1108" s="4" t="s">
        <v>1638</v>
      </c>
      <c r="B1108" s="4" t="s">
        <v>39</v>
      </c>
      <c r="C1108" s="5">
        <v>45936.56732638889</v>
      </c>
      <c r="D1108" s="5">
        <v>45936</v>
      </c>
      <c r="E1108" s="6">
        <f>IF(AND(C1108&lt;&gt;"",D1108&lt;&gt;""),D1108-C1108,"")</f>
        <v>0</v>
      </c>
      <c r="F1108" s="4" t="s">
        <v>1630</v>
      </c>
      <c r="G1108" s="4" t="s">
        <v>1631</v>
      </c>
      <c r="H1108" s="4" t="s">
        <v>177</v>
      </c>
      <c r="I1108" s="4" t="s">
        <v>56</v>
      </c>
      <c r="J1108" s="4">
        <v>1</v>
      </c>
      <c r="K1108" s="4">
        <v>0</v>
      </c>
      <c r="L1108" s="4">
        <f>J1108+K1108</f>
        <v>0</v>
      </c>
      <c r="M1108" s="4" t="s">
        <v>80</v>
      </c>
      <c r="N1108" s="4"/>
      <c r="O1108" s="4">
        <v>1</v>
      </c>
      <c r="P1108" s="4" t="s">
        <v>135</v>
      </c>
      <c r="Q1108" s="4"/>
      <c r="R1108" s="7">
        <v>610000</v>
      </c>
      <c r="S1108" s="7">
        <v>610000</v>
      </c>
      <c r="T1108" s="7">
        <f>R1108-S1108</f>
        <v>0</v>
      </c>
      <c r="U1108" s="7">
        <f>T1108*O1108</f>
        <v>0</v>
      </c>
    </row>
    <row r="1109" spans="1:21">
      <c r="A1109" s="4" t="s">
        <v>1638</v>
      </c>
      <c r="B1109" s="4" t="s">
        <v>39</v>
      </c>
      <c r="C1109" s="5">
        <v>45936.56732638889</v>
      </c>
      <c r="D1109" s="5">
        <v>45936</v>
      </c>
      <c r="E1109" s="6">
        <f>IF(AND(C1109&lt;&gt;"",D1109&lt;&gt;""),D1109-C1109,"")</f>
        <v>0</v>
      </c>
      <c r="F1109" s="4" t="s">
        <v>1630</v>
      </c>
      <c r="G1109" s="4" t="s">
        <v>1631</v>
      </c>
      <c r="H1109" s="4" t="s">
        <v>177</v>
      </c>
      <c r="I1109" s="4" t="s">
        <v>56</v>
      </c>
      <c r="J1109" s="4">
        <v>0</v>
      </c>
      <c r="K1109" s="4">
        <v>0</v>
      </c>
      <c r="L1109" s="4">
        <f>J1109+K1109</f>
        <v>0</v>
      </c>
      <c r="M1109" s="4" t="s">
        <v>609</v>
      </c>
      <c r="N1109" s="4"/>
      <c r="O1109" s="4">
        <v>1</v>
      </c>
      <c r="P1109" s="4" t="s">
        <v>135</v>
      </c>
      <c r="Q1109" s="4"/>
      <c r="R1109" s="7">
        <v>30000</v>
      </c>
      <c r="S1109" s="7">
        <v>0</v>
      </c>
      <c r="T1109" s="7">
        <f>R1109-S1109</f>
        <v>0</v>
      </c>
      <c r="U1109" s="7">
        <f>T1109*O1109</f>
        <v>0</v>
      </c>
    </row>
    <row r="1110" spans="1:21">
      <c r="A1110" s="4" t="s">
        <v>1638</v>
      </c>
      <c r="B1110" s="4" t="s">
        <v>39</v>
      </c>
      <c r="C1110" s="5">
        <v>45936.56732638889</v>
      </c>
      <c r="D1110" s="5">
        <v>45936</v>
      </c>
      <c r="E1110" s="6">
        <f>IF(AND(C1110&lt;&gt;"",D1110&lt;&gt;""),D1110-C1110,"")</f>
        <v>0</v>
      </c>
      <c r="F1110" s="4" t="s">
        <v>1630</v>
      </c>
      <c r="G1110" s="4" t="s">
        <v>1631</v>
      </c>
      <c r="H1110" s="4" t="s">
        <v>177</v>
      </c>
      <c r="I1110" s="4" t="s">
        <v>56</v>
      </c>
      <c r="J1110" s="4">
        <v>0</v>
      </c>
      <c r="K1110" s="4">
        <v>0</v>
      </c>
      <c r="L1110" s="4">
        <f>J1110+K1110</f>
        <v>0</v>
      </c>
      <c r="M1110" s="4" t="s">
        <v>247</v>
      </c>
      <c r="N1110" s="4"/>
      <c r="O1110" s="4">
        <v>1</v>
      </c>
      <c r="P1110" s="4" t="s">
        <v>135</v>
      </c>
      <c r="Q1110" s="4"/>
      <c r="R1110" s="7">
        <v>55000</v>
      </c>
      <c r="S1110" s="7">
        <v>0</v>
      </c>
      <c r="T1110" s="7">
        <f>R1110-S1110</f>
        <v>0</v>
      </c>
      <c r="U1110" s="7">
        <f>T1110*O1110</f>
        <v>0</v>
      </c>
    </row>
    <row r="1111" spans="1:21">
      <c r="A1111" s="4" t="s">
        <v>1639</v>
      </c>
      <c r="B1111" s="4" t="s">
        <v>39</v>
      </c>
      <c r="C1111" s="5">
        <v>45936.66050925926</v>
      </c>
      <c r="D1111" s="5">
        <v>45936</v>
      </c>
      <c r="E1111" s="6">
        <f>IF(AND(C1111&lt;&gt;"",D1111&lt;&gt;""),D1111-C1111,"")</f>
        <v>0</v>
      </c>
      <c r="F1111" s="4" t="s">
        <v>1640</v>
      </c>
      <c r="G1111" s="4" t="s">
        <v>1641</v>
      </c>
      <c r="H1111" s="4" t="s">
        <v>32</v>
      </c>
      <c r="I1111" s="4" t="s">
        <v>33</v>
      </c>
      <c r="J1111" s="4">
        <v>0</v>
      </c>
      <c r="K1111" s="4">
        <v>0</v>
      </c>
      <c r="L1111" s="4">
        <f>J1111+K1111</f>
        <v>0</v>
      </c>
      <c r="M1111" s="4" t="s">
        <v>370</v>
      </c>
      <c r="N1111" s="4"/>
      <c r="O1111" s="4">
        <v>1</v>
      </c>
      <c r="P1111" s="4" t="s">
        <v>135</v>
      </c>
      <c r="Q1111" s="4" t="s">
        <v>44</v>
      </c>
      <c r="R1111" s="7">
        <v>8000000</v>
      </c>
      <c r="S1111" s="7">
        <v>0</v>
      </c>
      <c r="T1111" s="7">
        <f>R1111-S1111</f>
        <v>0</v>
      </c>
      <c r="U1111" s="7">
        <f>T1111*O1111</f>
        <v>0</v>
      </c>
    </row>
    <row r="1112" spans="1:21">
      <c r="A1112" s="4" t="s">
        <v>1642</v>
      </c>
      <c r="B1112" s="4" t="s">
        <v>48</v>
      </c>
      <c r="C1112" s="5">
        <v>45936.66475694445</v>
      </c>
      <c r="D1112" s="5">
        <v>45961</v>
      </c>
      <c r="E1112" s="6">
        <f>IF(AND(C1112&lt;&gt;"",D1112&lt;&gt;""),D1112-C1112,"")</f>
        <v>0</v>
      </c>
      <c r="F1112" s="4" t="s">
        <v>64</v>
      </c>
      <c r="G1112" s="4" t="s">
        <v>1643</v>
      </c>
      <c r="H1112" s="4" t="s">
        <v>32</v>
      </c>
      <c r="I1112" s="4" t="s">
        <v>33</v>
      </c>
      <c r="J1112" s="4">
        <v>3</v>
      </c>
      <c r="K1112" s="4">
        <v>0</v>
      </c>
      <c r="L1112" s="4">
        <f>J1112+K1112</f>
        <v>0</v>
      </c>
      <c r="M1112" s="4"/>
      <c r="N1112" s="4"/>
      <c r="O1112" s="4">
        <v>0</v>
      </c>
      <c r="P1112" s="4"/>
      <c r="Q1112" s="4"/>
      <c r="R1112" s="7">
        <v>0</v>
      </c>
      <c r="S1112" s="7">
        <v>0</v>
      </c>
      <c r="T1112" s="7">
        <f>R1112-S1112</f>
        <v>0</v>
      </c>
      <c r="U1112" s="7">
        <f>T1112*O1112</f>
        <v>0</v>
      </c>
    </row>
    <row r="1113" spans="1:21">
      <c r="A1113" s="4" t="s">
        <v>1644</v>
      </c>
      <c r="B1113" s="4" t="s">
        <v>39</v>
      </c>
      <c r="C1113" s="5">
        <v>45936.70065972222</v>
      </c>
      <c r="D1113" s="5">
        <v>45936</v>
      </c>
      <c r="E1113" s="6">
        <f>IF(AND(C1113&lt;&gt;"",D1113&lt;&gt;""),D1113-C1113,"")</f>
        <v>0</v>
      </c>
      <c r="F1113" s="4" t="s">
        <v>162</v>
      </c>
      <c r="G1113" s="4" t="s">
        <v>163</v>
      </c>
      <c r="H1113" s="4" t="s">
        <v>32</v>
      </c>
      <c r="I1113" s="4" t="s">
        <v>33</v>
      </c>
      <c r="J1113" s="4">
        <v>1</v>
      </c>
      <c r="K1113" s="4">
        <v>0</v>
      </c>
      <c r="L1113" s="4">
        <f>J1113+K1113</f>
        <v>0</v>
      </c>
      <c r="M1113" s="4" t="s">
        <v>1645</v>
      </c>
      <c r="N1113" s="4"/>
      <c r="O1113" s="4">
        <v>1</v>
      </c>
      <c r="P1113" s="4" t="s">
        <v>135</v>
      </c>
      <c r="Q1113" s="4" t="s">
        <v>44</v>
      </c>
      <c r="R1113" s="7">
        <v>2081000</v>
      </c>
      <c r="S1113" s="7">
        <v>0</v>
      </c>
      <c r="T1113" s="7">
        <f>R1113-S1113</f>
        <v>0</v>
      </c>
      <c r="U1113" s="7">
        <f>T1113*O1113</f>
        <v>0</v>
      </c>
    </row>
    <row r="1114" spans="1:21">
      <c r="A1114" s="4" t="s">
        <v>1646</v>
      </c>
      <c r="B1114" s="4" t="s">
        <v>39</v>
      </c>
      <c r="C1114" s="5">
        <v>45936.72817129629</v>
      </c>
      <c r="D1114" s="5">
        <v>45936</v>
      </c>
      <c r="E1114" s="6">
        <f>IF(AND(C1114&lt;&gt;"",D1114&lt;&gt;""),D1114-C1114,"")</f>
        <v>0</v>
      </c>
      <c r="F1114" s="4" t="s">
        <v>1647</v>
      </c>
      <c r="G1114" s="4" t="s">
        <v>1648</v>
      </c>
      <c r="H1114" s="4" t="s">
        <v>32</v>
      </c>
      <c r="I1114" s="4" t="s">
        <v>33</v>
      </c>
      <c r="J1114" s="4">
        <v>0</v>
      </c>
      <c r="K1114" s="4">
        <v>0</v>
      </c>
      <c r="L1114" s="4">
        <f>J1114+K1114</f>
        <v>0</v>
      </c>
      <c r="M1114" s="4" t="s">
        <v>1075</v>
      </c>
      <c r="N1114" s="4"/>
      <c r="O1114" s="4">
        <v>1</v>
      </c>
      <c r="P1114" s="4" t="s">
        <v>135</v>
      </c>
      <c r="Q1114" s="4" t="s">
        <v>44</v>
      </c>
      <c r="R1114" s="7">
        <v>1250000</v>
      </c>
      <c r="S1114" s="7">
        <v>0</v>
      </c>
      <c r="T1114" s="7">
        <f>R1114-S1114</f>
        <v>0</v>
      </c>
      <c r="U1114" s="7">
        <f>T1114*O1114</f>
        <v>0</v>
      </c>
    </row>
    <row r="1115" spans="1:21">
      <c r="A1115" s="4" t="s">
        <v>1649</v>
      </c>
      <c r="B1115" s="4" t="s">
        <v>39</v>
      </c>
      <c r="C1115" s="5">
        <v>45936.75983796296</v>
      </c>
      <c r="D1115" s="5">
        <v>45936</v>
      </c>
      <c r="E1115" s="6">
        <f>IF(AND(C1115&lt;&gt;"",D1115&lt;&gt;""),D1115-C1115,"")</f>
        <v>0</v>
      </c>
      <c r="F1115" s="4" t="s">
        <v>1650</v>
      </c>
      <c r="G1115" s="4" t="s">
        <v>1651</v>
      </c>
      <c r="H1115" s="4" t="s">
        <v>32</v>
      </c>
      <c r="I1115" s="4" t="s">
        <v>33</v>
      </c>
      <c r="J1115" s="4">
        <v>0</v>
      </c>
      <c r="K1115" s="4">
        <v>0</v>
      </c>
      <c r="L1115" s="4">
        <f>J1115+K1115</f>
        <v>0</v>
      </c>
      <c r="M1115" s="4" t="s">
        <v>1075</v>
      </c>
      <c r="N1115" s="4"/>
      <c r="O1115" s="4">
        <v>1</v>
      </c>
      <c r="P1115" s="4" t="s">
        <v>135</v>
      </c>
      <c r="Q1115" s="4" t="s">
        <v>44</v>
      </c>
      <c r="R1115" s="7">
        <v>1250000</v>
      </c>
      <c r="S1115" s="7">
        <v>0</v>
      </c>
      <c r="T1115" s="7">
        <f>R1115-S1115</f>
        <v>0</v>
      </c>
      <c r="U1115" s="7">
        <f>T1115*O1115</f>
        <v>0</v>
      </c>
    </row>
    <row r="1116" spans="1:21">
      <c r="A1116" s="4" t="s">
        <v>1652</v>
      </c>
      <c r="B1116" s="4" t="s">
        <v>39</v>
      </c>
      <c r="C1116" s="5">
        <v>45936.77010416667</v>
      </c>
      <c r="D1116" s="5">
        <v>45936</v>
      </c>
      <c r="E1116" s="6">
        <f>IF(AND(C1116&lt;&gt;"",D1116&lt;&gt;""),D1116-C1116,"")</f>
        <v>0</v>
      </c>
      <c r="F1116" s="4" t="s">
        <v>1653</v>
      </c>
      <c r="G1116" s="4" t="s">
        <v>1654</v>
      </c>
      <c r="H1116" s="4" t="s">
        <v>32</v>
      </c>
      <c r="I1116" s="4" t="s">
        <v>33</v>
      </c>
      <c r="J1116" s="4">
        <v>0</v>
      </c>
      <c r="K1116" s="4">
        <v>0</v>
      </c>
      <c r="L1116" s="4">
        <f>J1116+K1116</f>
        <v>0</v>
      </c>
      <c r="M1116" s="4" t="s">
        <v>1075</v>
      </c>
      <c r="N1116" s="4"/>
      <c r="O1116" s="4">
        <v>1</v>
      </c>
      <c r="P1116" s="4" t="s">
        <v>135</v>
      </c>
      <c r="Q1116" s="4" t="s">
        <v>44</v>
      </c>
      <c r="R1116" s="7">
        <v>1250000</v>
      </c>
      <c r="S1116" s="7">
        <v>0</v>
      </c>
      <c r="T1116" s="7">
        <f>R1116-S1116</f>
        <v>0</v>
      </c>
      <c r="U1116" s="7">
        <f>T1116*O1116</f>
        <v>0</v>
      </c>
    </row>
    <row r="1117" spans="1:21">
      <c r="A1117" s="4" t="s">
        <v>1655</v>
      </c>
      <c r="B1117" s="4" t="s">
        <v>48</v>
      </c>
      <c r="C1117" s="5">
        <v>45937.11540509259</v>
      </c>
      <c r="D1117" s="5">
        <v>45961</v>
      </c>
      <c r="E1117" s="6">
        <f>IF(AND(C1117&lt;&gt;"",D1117&lt;&gt;""),D1117-C1117,"")</f>
        <v>0</v>
      </c>
      <c r="F1117" s="4" t="s">
        <v>64</v>
      </c>
      <c r="G1117" s="4" t="s">
        <v>1656</v>
      </c>
      <c r="H1117" s="4" t="s">
        <v>32</v>
      </c>
      <c r="I1117" s="4" t="s">
        <v>33</v>
      </c>
      <c r="J1117" s="4">
        <v>3</v>
      </c>
      <c r="K1117" s="4">
        <v>0</v>
      </c>
      <c r="L1117" s="4">
        <f>J1117+K1117</f>
        <v>0</v>
      </c>
      <c r="M1117" s="4"/>
      <c r="N1117" s="4"/>
      <c r="O1117" s="4">
        <v>0</v>
      </c>
      <c r="P1117" s="4"/>
      <c r="Q1117" s="4"/>
      <c r="R1117" s="7">
        <v>0</v>
      </c>
      <c r="S1117" s="7">
        <v>0</v>
      </c>
      <c r="T1117" s="7">
        <f>R1117-S1117</f>
        <v>0</v>
      </c>
      <c r="U1117" s="7">
        <f>T1117*O1117</f>
        <v>0</v>
      </c>
    </row>
    <row r="1118" spans="1:21">
      <c r="A1118" s="4" t="s">
        <v>1657</v>
      </c>
      <c r="B1118" s="4" t="s">
        <v>48</v>
      </c>
      <c r="C1118" s="5">
        <v>45937.12361111111</v>
      </c>
      <c r="D1118" s="5">
        <v>45961</v>
      </c>
      <c r="E1118" s="6">
        <f>IF(AND(C1118&lt;&gt;"",D1118&lt;&gt;""),D1118-C1118,"")</f>
        <v>0</v>
      </c>
      <c r="F1118" s="4" t="s">
        <v>64</v>
      </c>
      <c r="G1118" s="4" t="s">
        <v>1658</v>
      </c>
      <c r="H1118" s="4" t="s">
        <v>32</v>
      </c>
      <c r="I1118" s="4" t="s">
        <v>33</v>
      </c>
      <c r="J1118" s="4">
        <v>2</v>
      </c>
      <c r="K1118" s="4">
        <v>2</v>
      </c>
      <c r="L1118" s="4">
        <f>J1118+K1118</f>
        <v>0</v>
      </c>
      <c r="M1118" s="4"/>
      <c r="N1118" s="4"/>
      <c r="O1118" s="4">
        <v>0</v>
      </c>
      <c r="P1118" s="4"/>
      <c r="Q1118" s="4"/>
      <c r="R1118" s="7">
        <v>0</v>
      </c>
      <c r="S1118" s="7">
        <v>0</v>
      </c>
      <c r="T1118" s="7">
        <f>R1118-S1118</f>
        <v>0</v>
      </c>
      <c r="U1118" s="7">
        <f>T1118*O1118</f>
        <v>0</v>
      </c>
    </row>
    <row r="1119" spans="1:21">
      <c r="A1119" s="4" t="s">
        <v>1659</v>
      </c>
      <c r="B1119" s="4" t="s">
        <v>48</v>
      </c>
      <c r="C1119" s="5">
        <v>45937.13993055555</v>
      </c>
      <c r="D1119" s="5">
        <v>45961</v>
      </c>
      <c r="E1119" s="6">
        <f>IF(AND(C1119&lt;&gt;"",D1119&lt;&gt;""),D1119-C1119,"")</f>
        <v>0</v>
      </c>
      <c r="F1119" s="4" t="s">
        <v>64</v>
      </c>
      <c r="G1119" s="4" t="s">
        <v>1660</v>
      </c>
      <c r="H1119" s="4" t="s">
        <v>32</v>
      </c>
      <c r="I1119" s="4" t="s">
        <v>33</v>
      </c>
      <c r="J1119" s="4">
        <v>1</v>
      </c>
      <c r="K1119" s="4">
        <v>0</v>
      </c>
      <c r="L1119" s="4">
        <f>J1119+K1119</f>
        <v>0</v>
      </c>
      <c r="M1119" s="4"/>
      <c r="N1119" s="4"/>
      <c r="O1119" s="4">
        <v>0</v>
      </c>
      <c r="P1119" s="4"/>
      <c r="Q1119" s="4"/>
      <c r="R1119" s="7">
        <v>0</v>
      </c>
      <c r="S1119" s="7">
        <v>0</v>
      </c>
      <c r="T1119" s="7">
        <f>R1119-S1119</f>
        <v>0</v>
      </c>
      <c r="U1119" s="7">
        <f>T1119*O1119</f>
        <v>0</v>
      </c>
    </row>
    <row r="1120" spans="1:21">
      <c r="A1120" s="4" t="s">
        <v>1661</v>
      </c>
      <c r="B1120" s="4" t="s">
        <v>29</v>
      </c>
      <c r="C1120" s="5">
        <v>45937.14119212963</v>
      </c>
      <c r="D1120" s="5">
        <v>45961</v>
      </c>
      <c r="E1120" s="6">
        <f>IF(AND(C1120&lt;&gt;"",D1120&lt;&gt;""),D1120-C1120,"")</f>
        <v>0</v>
      </c>
      <c r="F1120" s="4" t="s">
        <v>162</v>
      </c>
      <c r="G1120" s="4" t="s">
        <v>202</v>
      </c>
      <c r="H1120" s="4" t="s">
        <v>32</v>
      </c>
      <c r="I1120" s="4" t="s">
        <v>33</v>
      </c>
      <c r="J1120" s="4">
        <v>2</v>
      </c>
      <c r="K1120" s="4">
        <v>1</v>
      </c>
      <c r="L1120" s="4">
        <f>J1120+K1120</f>
        <v>0</v>
      </c>
      <c r="M1120" s="4"/>
      <c r="N1120" s="4"/>
      <c r="O1120" s="4">
        <v>0</v>
      </c>
      <c r="P1120" s="4"/>
      <c r="Q1120" s="4"/>
      <c r="R1120" s="7">
        <v>0</v>
      </c>
      <c r="S1120" s="7">
        <v>0</v>
      </c>
      <c r="T1120" s="7">
        <f>R1120-S1120</f>
        <v>0</v>
      </c>
      <c r="U1120" s="7">
        <f>T1120*O1120</f>
        <v>0</v>
      </c>
    </row>
    <row r="1121" spans="1:21">
      <c r="A1121" s="4" t="s">
        <v>1662</v>
      </c>
      <c r="B1121" s="4" t="s">
        <v>39</v>
      </c>
      <c r="C1121" s="5">
        <v>45937.14125</v>
      </c>
      <c r="D1121" s="5">
        <v>45937</v>
      </c>
      <c r="E1121" s="6">
        <f>IF(AND(C1121&lt;&gt;"",D1121&lt;&gt;""),D1121-C1121,"")</f>
        <v>0</v>
      </c>
      <c r="F1121" s="4" t="s">
        <v>1663</v>
      </c>
      <c r="G1121" s="4" t="s">
        <v>1664</v>
      </c>
      <c r="H1121" s="4" t="s">
        <v>190</v>
      </c>
      <c r="I1121" s="4" t="s">
        <v>56</v>
      </c>
      <c r="J1121" s="4">
        <v>0</v>
      </c>
      <c r="K1121" s="4">
        <v>0</v>
      </c>
      <c r="L1121" s="4">
        <f>J1121+K1121</f>
        <v>0</v>
      </c>
      <c r="M1121" s="4" t="s">
        <v>370</v>
      </c>
      <c r="N1121" s="4"/>
      <c r="O1121" s="4">
        <v>1</v>
      </c>
      <c r="P1121" s="4" t="s">
        <v>135</v>
      </c>
      <c r="Q1121" s="4" t="s">
        <v>44</v>
      </c>
      <c r="R1121" s="7">
        <v>500000</v>
      </c>
      <c r="S1121" s="7">
        <v>0</v>
      </c>
      <c r="T1121" s="7">
        <f>R1121-S1121</f>
        <v>0</v>
      </c>
      <c r="U1121" s="7">
        <f>T1121*O1121</f>
        <v>0</v>
      </c>
    </row>
    <row r="1122" spans="1:21">
      <c r="A1122" s="4" t="s">
        <v>1662</v>
      </c>
      <c r="B1122" s="4" t="s">
        <v>39</v>
      </c>
      <c r="C1122" s="5">
        <v>45937.14125</v>
      </c>
      <c r="D1122" s="5">
        <v>45937</v>
      </c>
      <c r="E1122" s="6">
        <f>IF(AND(C1122&lt;&gt;"",D1122&lt;&gt;""),D1122-C1122,"")</f>
        <v>0</v>
      </c>
      <c r="F1122" s="4" t="s">
        <v>1663</v>
      </c>
      <c r="G1122" s="4" t="s">
        <v>1664</v>
      </c>
      <c r="H1122" s="4" t="s">
        <v>190</v>
      </c>
      <c r="I1122" s="4" t="s">
        <v>56</v>
      </c>
      <c r="J1122" s="4">
        <v>1</v>
      </c>
      <c r="K1122" s="4">
        <v>0</v>
      </c>
      <c r="L1122" s="4">
        <f>J1122+K1122</f>
        <v>0</v>
      </c>
      <c r="M1122" s="4" t="s">
        <v>80</v>
      </c>
      <c r="N1122" s="4"/>
      <c r="O1122" s="4">
        <v>1</v>
      </c>
      <c r="P1122" s="4" t="s">
        <v>135</v>
      </c>
      <c r="Q1122" s="4" t="s">
        <v>44</v>
      </c>
      <c r="R1122" s="7">
        <v>610000</v>
      </c>
      <c r="S1122" s="7">
        <v>0</v>
      </c>
      <c r="T1122" s="7">
        <f>R1122-S1122</f>
        <v>0</v>
      </c>
      <c r="U1122" s="7">
        <f>T1122*O1122</f>
        <v>0</v>
      </c>
    </row>
    <row r="1123" spans="1:21">
      <c r="A1123" s="4" t="s">
        <v>1665</v>
      </c>
      <c r="B1123" s="4" t="s">
        <v>48</v>
      </c>
      <c r="C1123" s="5">
        <v>45937.15453703704</v>
      </c>
      <c r="D1123" s="5">
        <v>45961</v>
      </c>
      <c r="E1123" s="6">
        <f>IF(AND(C1123&lt;&gt;"",D1123&lt;&gt;""),D1123-C1123,"")</f>
        <v>0</v>
      </c>
      <c r="F1123" s="4" t="s">
        <v>1666</v>
      </c>
      <c r="G1123" s="4" t="s">
        <v>1667</v>
      </c>
      <c r="H1123" s="4" t="s">
        <v>32</v>
      </c>
      <c r="I1123" s="4" t="s">
        <v>33</v>
      </c>
      <c r="J1123" s="4">
        <v>2</v>
      </c>
      <c r="K1123" s="4">
        <v>0</v>
      </c>
      <c r="L1123" s="4">
        <f>J1123+K1123</f>
        <v>0</v>
      </c>
      <c r="M1123" s="4"/>
      <c r="N1123" s="4"/>
      <c r="O1123" s="4">
        <v>0</v>
      </c>
      <c r="P1123" s="4"/>
      <c r="Q1123" s="4"/>
      <c r="R1123" s="7">
        <v>0</v>
      </c>
      <c r="S1123" s="7">
        <v>0</v>
      </c>
      <c r="T1123" s="7">
        <f>R1123-S1123</f>
        <v>0</v>
      </c>
      <c r="U1123" s="7">
        <f>T1123*O1123</f>
        <v>0</v>
      </c>
    </row>
    <row r="1124" spans="1:21">
      <c r="A1124" s="4" t="s">
        <v>1668</v>
      </c>
      <c r="B1124" s="4" t="s">
        <v>39</v>
      </c>
      <c r="C1124" s="5">
        <v>45937.16202546296</v>
      </c>
      <c r="D1124" s="5">
        <v>45937</v>
      </c>
      <c r="E1124" s="6">
        <f>IF(AND(C1124&lt;&gt;"",D1124&lt;&gt;""),D1124-C1124,"")</f>
        <v>0</v>
      </c>
      <c r="F1124" s="4" t="s">
        <v>1669</v>
      </c>
      <c r="G1124" s="4" t="s">
        <v>1670</v>
      </c>
      <c r="H1124" s="4" t="s">
        <v>32</v>
      </c>
      <c r="I1124" s="4" t="s">
        <v>33</v>
      </c>
      <c r="J1124" s="4">
        <v>0</v>
      </c>
      <c r="K1124" s="4">
        <v>0</v>
      </c>
      <c r="L1124" s="4">
        <f>J1124+K1124</f>
        <v>0</v>
      </c>
      <c r="M1124" s="4" t="s">
        <v>370</v>
      </c>
      <c r="N1124" s="4"/>
      <c r="O1124" s="4">
        <v>1</v>
      </c>
      <c r="P1124" s="4" t="s">
        <v>135</v>
      </c>
      <c r="Q1124" s="4" t="s">
        <v>44</v>
      </c>
      <c r="R1124" s="7">
        <v>500000</v>
      </c>
      <c r="S1124" s="7">
        <v>0</v>
      </c>
      <c r="T1124" s="7">
        <f>R1124-S1124</f>
        <v>0</v>
      </c>
      <c r="U1124" s="7">
        <f>T1124*O1124</f>
        <v>0</v>
      </c>
    </row>
    <row r="1125" spans="1:21">
      <c r="A1125" s="4" t="s">
        <v>1671</v>
      </c>
      <c r="B1125" s="4" t="s">
        <v>48</v>
      </c>
      <c r="C1125" s="5">
        <v>45937.17275462963</v>
      </c>
      <c r="D1125" s="5">
        <v>45961</v>
      </c>
      <c r="E1125" s="6">
        <f>IF(AND(C1125&lt;&gt;"",D1125&lt;&gt;""),D1125-C1125,"")</f>
        <v>0</v>
      </c>
      <c r="F1125" s="4" t="s">
        <v>612</v>
      </c>
      <c r="G1125" s="4" t="s">
        <v>1672</v>
      </c>
      <c r="H1125" s="4" t="s">
        <v>32</v>
      </c>
      <c r="I1125" s="4" t="s">
        <v>33</v>
      </c>
      <c r="J1125" s="4">
        <v>2</v>
      </c>
      <c r="K1125" s="4">
        <v>0</v>
      </c>
      <c r="L1125" s="4">
        <f>J1125+K1125</f>
        <v>0</v>
      </c>
      <c r="M1125" s="4"/>
      <c r="N1125" s="4"/>
      <c r="O1125" s="4">
        <v>0</v>
      </c>
      <c r="P1125" s="4"/>
      <c r="Q1125" s="4"/>
      <c r="R1125" s="7">
        <v>0</v>
      </c>
      <c r="S1125" s="7">
        <v>0</v>
      </c>
      <c r="T1125" s="7">
        <f>R1125-S1125</f>
        <v>0</v>
      </c>
      <c r="U1125" s="7">
        <f>T1125*O1125</f>
        <v>0</v>
      </c>
    </row>
    <row r="1126" spans="1:21">
      <c r="A1126" s="4" t="s">
        <v>1673</v>
      </c>
      <c r="B1126" s="4" t="s">
        <v>29</v>
      </c>
      <c r="C1126" s="5">
        <v>45937.1755787037</v>
      </c>
      <c r="D1126" s="5">
        <v>45961</v>
      </c>
      <c r="E1126" s="6">
        <f>IF(AND(C1126&lt;&gt;"",D1126&lt;&gt;""),D1126-C1126,"")</f>
        <v>0</v>
      </c>
      <c r="F1126" s="4" t="s">
        <v>718</v>
      </c>
      <c r="G1126" s="4" t="s">
        <v>716</v>
      </c>
      <c r="H1126" s="4" t="s">
        <v>190</v>
      </c>
      <c r="I1126" s="4" t="s">
        <v>56</v>
      </c>
      <c r="J1126" s="4">
        <v>2</v>
      </c>
      <c r="K1126" s="4">
        <v>2</v>
      </c>
      <c r="L1126" s="4">
        <f>J1126+K1126</f>
        <v>0</v>
      </c>
      <c r="M1126" s="4"/>
      <c r="N1126" s="4"/>
      <c r="O1126" s="4">
        <v>0</v>
      </c>
      <c r="P1126" s="4"/>
      <c r="Q1126" s="4"/>
      <c r="R1126" s="7">
        <v>0</v>
      </c>
      <c r="S1126" s="7">
        <v>0</v>
      </c>
      <c r="T1126" s="7">
        <f>R1126-S1126</f>
        <v>0</v>
      </c>
      <c r="U1126" s="7">
        <f>T1126*O1126</f>
        <v>0</v>
      </c>
    </row>
    <row r="1127" spans="1:21">
      <c r="A1127" s="4" t="s">
        <v>1674</v>
      </c>
      <c r="B1127" s="4" t="s">
        <v>39</v>
      </c>
      <c r="C1127" s="5">
        <v>45937.17594907407</v>
      </c>
      <c r="D1127" s="5">
        <v>45937</v>
      </c>
      <c r="E1127" s="6">
        <f>IF(AND(C1127&lt;&gt;"",D1127&lt;&gt;""),D1127-C1127,"")</f>
        <v>0</v>
      </c>
      <c r="F1127" s="4" t="s">
        <v>1675</v>
      </c>
      <c r="G1127" s="4" t="s">
        <v>1676</v>
      </c>
      <c r="H1127" s="4" t="s">
        <v>32</v>
      </c>
      <c r="I1127" s="4" t="s">
        <v>33</v>
      </c>
      <c r="J1127" s="4">
        <v>0</v>
      </c>
      <c r="K1127" s="4">
        <v>0</v>
      </c>
      <c r="L1127" s="4">
        <f>J1127+K1127</f>
        <v>0</v>
      </c>
      <c r="M1127" s="4" t="s">
        <v>370</v>
      </c>
      <c r="N1127" s="4"/>
      <c r="O1127" s="4">
        <v>1</v>
      </c>
      <c r="P1127" s="4" t="s">
        <v>135</v>
      </c>
      <c r="Q1127" s="4" t="s">
        <v>44</v>
      </c>
      <c r="R1127" s="7">
        <v>2000000</v>
      </c>
      <c r="S1127" s="7">
        <v>0</v>
      </c>
      <c r="T1127" s="7">
        <f>R1127-S1127</f>
        <v>0</v>
      </c>
      <c r="U1127" s="7">
        <f>T1127*O1127</f>
        <v>0</v>
      </c>
    </row>
    <row r="1128" spans="1:21">
      <c r="A1128" s="4" t="s">
        <v>1677</v>
      </c>
      <c r="B1128" s="4" t="s">
        <v>39</v>
      </c>
      <c r="C1128" s="5">
        <v>45937.18195601852</v>
      </c>
      <c r="D1128" s="5">
        <v>45937</v>
      </c>
      <c r="E1128" s="6">
        <f>IF(AND(C1128&lt;&gt;"",D1128&lt;&gt;""),D1128-C1128,"")</f>
        <v>0</v>
      </c>
      <c r="F1128" s="4" t="s">
        <v>1678</v>
      </c>
      <c r="G1128" s="4" t="s">
        <v>1679</v>
      </c>
      <c r="H1128" s="4" t="s">
        <v>32</v>
      </c>
      <c r="I1128" s="4" t="s">
        <v>33</v>
      </c>
      <c r="J1128" s="4">
        <v>0</v>
      </c>
      <c r="K1128" s="4">
        <v>0</v>
      </c>
      <c r="L1128" s="4">
        <f>J1128+K1128</f>
        <v>0</v>
      </c>
      <c r="M1128" s="4" t="s">
        <v>370</v>
      </c>
      <c r="N1128" s="4"/>
      <c r="O1128" s="4">
        <v>1</v>
      </c>
      <c r="P1128" s="4" t="s">
        <v>135</v>
      </c>
      <c r="Q1128" s="4" t="s">
        <v>44</v>
      </c>
      <c r="R1128" s="7">
        <v>1000000</v>
      </c>
      <c r="S1128" s="7">
        <v>0</v>
      </c>
      <c r="T1128" s="7">
        <f>R1128-S1128</f>
        <v>0</v>
      </c>
      <c r="U1128" s="7">
        <f>T1128*O1128</f>
        <v>0</v>
      </c>
    </row>
    <row r="1129" spans="1:21">
      <c r="A1129" s="4" t="s">
        <v>1677</v>
      </c>
      <c r="B1129" s="4" t="s">
        <v>39</v>
      </c>
      <c r="C1129" s="5">
        <v>45937.18195601852</v>
      </c>
      <c r="D1129" s="5">
        <v>45937</v>
      </c>
      <c r="E1129" s="6">
        <f>IF(AND(C1129&lt;&gt;"",D1129&lt;&gt;""),D1129-C1129,"")</f>
        <v>0</v>
      </c>
      <c r="F1129" s="4" t="s">
        <v>1678</v>
      </c>
      <c r="G1129" s="4" t="s">
        <v>1679</v>
      </c>
      <c r="H1129" s="4" t="s">
        <v>32</v>
      </c>
      <c r="I1129" s="4" t="s">
        <v>33</v>
      </c>
      <c r="J1129" s="4">
        <v>0</v>
      </c>
      <c r="K1129" s="4">
        <v>0</v>
      </c>
      <c r="L1129" s="4">
        <f>J1129+K1129</f>
        <v>0</v>
      </c>
      <c r="M1129" s="4" t="s">
        <v>1457</v>
      </c>
      <c r="N1129" s="4"/>
      <c r="O1129" s="4">
        <v>1</v>
      </c>
      <c r="P1129" s="4" t="s">
        <v>135</v>
      </c>
      <c r="Q1129" s="4" t="s">
        <v>44</v>
      </c>
      <c r="R1129" s="7">
        <v>950000</v>
      </c>
      <c r="S1129" s="7">
        <v>0</v>
      </c>
      <c r="T1129" s="7">
        <f>R1129-S1129</f>
        <v>0</v>
      </c>
      <c r="U1129" s="7">
        <f>T1129*O1129</f>
        <v>0</v>
      </c>
    </row>
    <row r="1130" spans="1:21">
      <c r="A1130" s="4" t="s">
        <v>1680</v>
      </c>
      <c r="B1130" s="4" t="s">
        <v>39</v>
      </c>
      <c r="C1130" s="5">
        <v>45937.19112268519</v>
      </c>
      <c r="D1130" s="5">
        <v>45937</v>
      </c>
      <c r="E1130" s="6">
        <f>IF(AND(C1130&lt;&gt;"",D1130&lt;&gt;""),D1130-C1130,"")</f>
        <v>0</v>
      </c>
      <c r="F1130" s="4" t="s">
        <v>1096</v>
      </c>
      <c r="G1130" s="4" t="s">
        <v>1681</v>
      </c>
      <c r="H1130" s="4" t="s">
        <v>32</v>
      </c>
      <c r="I1130" s="4" t="s">
        <v>33</v>
      </c>
      <c r="J1130" s="4">
        <v>0</v>
      </c>
      <c r="K1130" s="4">
        <v>0</v>
      </c>
      <c r="L1130" s="4">
        <f>J1130+K1130</f>
        <v>0</v>
      </c>
      <c r="M1130" s="4" t="s">
        <v>370</v>
      </c>
      <c r="N1130" s="4"/>
      <c r="O1130" s="4">
        <v>1</v>
      </c>
      <c r="P1130" s="4" t="s">
        <v>43</v>
      </c>
      <c r="Q1130" s="4" t="s">
        <v>44</v>
      </c>
      <c r="R1130" s="7">
        <v>500000</v>
      </c>
      <c r="S1130" s="7">
        <v>0</v>
      </c>
      <c r="T1130" s="7">
        <f>R1130-S1130</f>
        <v>0</v>
      </c>
      <c r="U1130" s="7">
        <f>T1130*O1130</f>
        <v>0</v>
      </c>
    </row>
    <row r="1131" spans="1:21">
      <c r="A1131" s="4" t="s">
        <v>1682</v>
      </c>
      <c r="B1131" s="4" t="s">
        <v>39</v>
      </c>
      <c r="C1131" s="5">
        <v>45937.22733796296</v>
      </c>
      <c r="D1131" s="5">
        <v>45937</v>
      </c>
      <c r="E1131" s="6">
        <f>IF(AND(C1131&lt;&gt;"",D1131&lt;&gt;""),D1131-C1131,"")</f>
        <v>0</v>
      </c>
      <c r="F1131" s="4" t="s">
        <v>1683</v>
      </c>
      <c r="G1131" s="4" t="s">
        <v>1684</v>
      </c>
      <c r="H1131" s="4" t="s">
        <v>32</v>
      </c>
      <c r="I1131" s="4" t="s">
        <v>33</v>
      </c>
      <c r="J1131" s="4">
        <v>2</v>
      </c>
      <c r="K1131" s="4">
        <v>0</v>
      </c>
      <c r="L1131" s="4">
        <f>J1131+K1131</f>
        <v>0</v>
      </c>
      <c r="M1131" s="4" t="s">
        <v>42</v>
      </c>
      <c r="N1131" s="4"/>
      <c r="O1131" s="4">
        <v>2</v>
      </c>
      <c r="P1131" s="4" t="s">
        <v>135</v>
      </c>
      <c r="Q1131" s="4"/>
      <c r="R1131" s="7">
        <v>370000</v>
      </c>
      <c r="S1131" s="7">
        <v>0</v>
      </c>
      <c r="T1131" s="7">
        <f>R1131-S1131</f>
        <v>0</v>
      </c>
      <c r="U1131" s="7">
        <f>T1131*O1131</f>
        <v>0</v>
      </c>
    </row>
    <row r="1132" spans="1:21">
      <c r="A1132" s="4" t="s">
        <v>1682</v>
      </c>
      <c r="B1132" s="4" t="s">
        <v>39</v>
      </c>
      <c r="C1132" s="5">
        <v>45937.22733796296</v>
      </c>
      <c r="D1132" s="5">
        <v>45937</v>
      </c>
      <c r="E1132" s="6">
        <f>IF(AND(C1132&lt;&gt;"",D1132&lt;&gt;""),D1132-C1132,"")</f>
        <v>0</v>
      </c>
      <c r="F1132" s="4" t="s">
        <v>1683</v>
      </c>
      <c r="G1132" s="4" t="s">
        <v>1684</v>
      </c>
      <c r="H1132" s="4" t="s">
        <v>32</v>
      </c>
      <c r="I1132" s="4" t="s">
        <v>33</v>
      </c>
      <c r="J1132" s="4">
        <v>0</v>
      </c>
      <c r="K1132" s="4">
        <v>3</v>
      </c>
      <c r="L1132" s="4">
        <f>J1132+K1132</f>
        <v>0</v>
      </c>
      <c r="M1132" s="4" t="s">
        <v>46</v>
      </c>
      <c r="N1132" s="4"/>
      <c r="O1132" s="4">
        <v>3</v>
      </c>
      <c r="P1132" s="4" t="s">
        <v>135</v>
      </c>
      <c r="Q1132" s="4"/>
      <c r="R1132" s="7">
        <v>325000</v>
      </c>
      <c r="S1132" s="7">
        <v>0</v>
      </c>
      <c r="T1132" s="7">
        <f>R1132-S1132</f>
        <v>0</v>
      </c>
      <c r="U1132" s="7">
        <f>T1132*O1132</f>
        <v>0</v>
      </c>
    </row>
    <row r="1133" spans="1:21">
      <c r="A1133" s="4" t="s">
        <v>1685</v>
      </c>
      <c r="B1133" s="4" t="s">
        <v>39</v>
      </c>
      <c r="C1133" s="5">
        <v>45937.22825231482</v>
      </c>
      <c r="D1133" s="5">
        <v>45937</v>
      </c>
      <c r="E1133" s="6">
        <f>IF(AND(C1133&lt;&gt;"",D1133&lt;&gt;""),D1133-C1133,"")</f>
        <v>0</v>
      </c>
      <c r="F1133" s="4" t="s">
        <v>1686</v>
      </c>
      <c r="G1133" s="4" t="s">
        <v>1687</v>
      </c>
      <c r="H1133" s="4" t="s">
        <v>32</v>
      </c>
      <c r="I1133" s="4" t="s">
        <v>33</v>
      </c>
      <c r="J1133" s="4">
        <v>2</v>
      </c>
      <c r="K1133" s="4">
        <v>0</v>
      </c>
      <c r="L1133" s="4">
        <f>J1133+K1133</f>
        <v>0</v>
      </c>
      <c r="M1133" s="4" t="s">
        <v>42</v>
      </c>
      <c r="N1133" s="4"/>
      <c r="O1133" s="4">
        <v>2</v>
      </c>
      <c r="P1133" s="4" t="s">
        <v>135</v>
      </c>
      <c r="Q1133" s="4"/>
      <c r="R1133" s="7">
        <v>370000</v>
      </c>
      <c r="S1133" s="7">
        <v>0</v>
      </c>
      <c r="T1133" s="7">
        <f>R1133-S1133</f>
        <v>0</v>
      </c>
      <c r="U1133" s="7">
        <f>T1133*O1133</f>
        <v>0</v>
      </c>
    </row>
    <row r="1134" spans="1:21">
      <c r="A1134" s="4" t="s">
        <v>1685</v>
      </c>
      <c r="B1134" s="4" t="s">
        <v>39</v>
      </c>
      <c r="C1134" s="5">
        <v>45937.22825231482</v>
      </c>
      <c r="D1134" s="5">
        <v>45937</v>
      </c>
      <c r="E1134" s="6">
        <f>IF(AND(C1134&lt;&gt;"",D1134&lt;&gt;""),D1134-C1134,"")</f>
        <v>0</v>
      </c>
      <c r="F1134" s="4" t="s">
        <v>1686</v>
      </c>
      <c r="G1134" s="4" t="s">
        <v>1687</v>
      </c>
      <c r="H1134" s="4" t="s">
        <v>32</v>
      </c>
      <c r="I1134" s="4" t="s">
        <v>33</v>
      </c>
      <c r="J1134" s="4">
        <v>0</v>
      </c>
      <c r="K1134" s="4">
        <v>3</v>
      </c>
      <c r="L1134" s="4">
        <f>J1134+K1134</f>
        <v>0</v>
      </c>
      <c r="M1134" s="4" t="s">
        <v>46</v>
      </c>
      <c r="N1134" s="4"/>
      <c r="O1134" s="4">
        <v>3</v>
      </c>
      <c r="P1134" s="4" t="s">
        <v>135</v>
      </c>
      <c r="Q1134" s="4"/>
      <c r="R1134" s="7">
        <v>325000</v>
      </c>
      <c r="S1134" s="7">
        <v>0</v>
      </c>
      <c r="T1134" s="7">
        <f>R1134-S1134</f>
        <v>0</v>
      </c>
      <c r="U1134" s="7">
        <f>T1134*O1134</f>
        <v>0</v>
      </c>
    </row>
    <row r="1135" spans="1:21">
      <c r="A1135" s="4" t="s">
        <v>1688</v>
      </c>
      <c r="B1135" s="4" t="s">
        <v>39</v>
      </c>
      <c r="C1135" s="5">
        <v>45937.23358796296</v>
      </c>
      <c r="D1135" s="5">
        <v>45937</v>
      </c>
      <c r="E1135" s="6">
        <f>IF(AND(C1135&lt;&gt;"",D1135&lt;&gt;""),D1135-C1135,"")</f>
        <v>0</v>
      </c>
      <c r="F1135" s="4" t="s">
        <v>1689</v>
      </c>
      <c r="G1135" s="4" t="s">
        <v>1690</v>
      </c>
      <c r="H1135" s="4" t="s">
        <v>32</v>
      </c>
      <c r="I1135" s="4" t="s">
        <v>33</v>
      </c>
      <c r="J1135" s="4">
        <v>0</v>
      </c>
      <c r="K1135" s="4">
        <v>1</v>
      </c>
      <c r="L1135" s="4">
        <f>J1135+K1135</f>
        <v>0</v>
      </c>
      <c r="M1135" s="4" t="s">
        <v>46</v>
      </c>
      <c r="N1135" s="4"/>
      <c r="O1135" s="4">
        <v>1</v>
      </c>
      <c r="P1135" s="4" t="s">
        <v>135</v>
      </c>
      <c r="Q1135" s="4"/>
      <c r="R1135" s="7">
        <v>325000</v>
      </c>
      <c r="S1135" s="7">
        <v>0</v>
      </c>
      <c r="T1135" s="7">
        <f>R1135-S1135</f>
        <v>0</v>
      </c>
      <c r="U1135" s="7">
        <f>T1135*O1135</f>
        <v>0</v>
      </c>
    </row>
    <row r="1136" spans="1:21">
      <c r="A1136" s="4" t="s">
        <v>1688</v>
      </c>
      <c r="B1136" s="4" t="s">
        <v>39</v>
      </c>
      <c r="C1136" s="5">
        <v>45937.23358796296</v>
      </c>
      <c r="D1136" s="5">
        <v>45937</v>
      </c>
      <c r="E1136" s="6">
        <f>IF(AND(C1136&lt;&gt;"",D1136&lt;&gt;""),D1136-C1136,"")</f>
        <v>0</v>
      </c>
      <c r="F1136" s="4" t="s">
        <v>1689</v>
      </c>
      <c r="G1136" s="4" t="s">
        <v>1690</v>
      </c>
      <c r="H1136" s="4" t="s">
        <v>32</v>
      </c>
      <c r="I1136" s="4" t="s">
        <v>33</v>
      </c>
      <c r="J1136" s="4">
        <v>3</v>
      </c>
      <c r="K1136" s="4">
        <v>0</v>
      </c>
      <c r="L1136" s="4">
        <f>J1136+K1136</f>
        <v>0</v>
      </c>
      <c r="M1136" s="4" t="s">
        <v>42</v>
      </c>
      <c r="N1136" s="4"/>
      <c r="O1136" s="4">
        <v>3</v>
      </c>
      <c r="P1136" s="4" t="s">
        <v>135</v>
      </c>
      <c r="Q1136" s="4"/>
      <c r="R1136" s="7">
        <v>370000</v>
      </c>
      <c r="S1136" s="7">
        <v>0</v>
      </c>
      <c r="T1136" s="7">
        <f>R1136-S1136</f>
        <v>0</v>
      </c>
      <c r="U1136" s="7">
        <f>T1136*O1136</f>
        <v>0</v>
      </c>
    </row>
    <row r="1137" spans="1:21">
      <c r="A1137" s="4" t="s">
        <v>1688</v>
      </c>
      <c r="B1137" s="4" t="s">
        <v>39</v>
      </c>
      <c r="C1137" s="5">
        <v>45937.23358796296</v>
      </c>
      <c r="D1137" s="5">
        <v>45937</v>
      </c>
      <c r="E1137" s="6">
        <f>IF(AND(C1137&lt;&gt;"",D1137&lt;&gt;""),D1137-C1137,"")</f>
        <v>0</v>
      </c>
      <c r="F1137" s="4" t="s">
        <v>1689</v>
      </c>
      <c r="G1137" s="4" t="s">
        <v>1690</v>
      </c>
      <c r="H1137" s="4" t="s">
        <v>32</v>
      </c>
      <c r="I1137" s="4" t="s">
        <v>33</v>
      </c>
      <c r="J1137" s="4">
        <v>0</v>
      </c>
      <c r="K1137" s="4">
        <v>1</v>
      </c>
      <c r="L1137" s="4">
        <f>J1137+K1137</f>
        <v>0</v>
      </c>
      <c r="M1137" s="4" t="s">
        <v>46</v>
      </c>
      <c r="N1137" s="4"/>
      <c r="O1137" s="4">
        <v>1</v>
      </c>
      <c r="P1137" s="4" t="s">
        <v>135</v>
      </c>
      <c r="Q1137" s="4"/>
      <c r="R1137" s="7">
        <v>325000</v>
      </c>
      <c r="S1137" s="7">
        <v>0</v>
      </c>
      <c r="T1137" s="7">
        <f>R1137-S1137</f>
        <v>0</v>
      </c>
      <c r="U1137" s="7">
        <f>T1137*O1137</f>
        <v>0</v>
      </c>
    </row>
    <row r="1138" spans="1:21">
      <c r="A1138" s="4" t="s">
        <v>1691</v>
      </c>
      <c r="B1138" s="4" t="s">
        <v>39</v>
      </c>
      <c r="C1138" s="5">
        <v>45937.23600694445</v>
      </c>
      <c r="D1138" s="5">
        <v>45937</v>
      </c>
      <c r="E1138" s="6">
        <f>IF(AND(C1138&lt;&gt;"",D1138&lt;&gt;""),D1138-C1138,"")</f>
        <v>0</v>
      </c>
      <c r="F1138" s="4" t="s">
        <v>1692</v>
      </c>
      <c r="G1138" s="4" t="s">
        <v>1693</v>
      </c>
      <c r="H1138" s="4" t="s">
        <v>32</v>
      </c>
      <c r="I1138" s="4" t="s">
        <v>33</v>
      </c>
      <c r="J1138" s="4">
        <v>0</v>
      </c>
      <c r="K1138" s="4">
        <v>3</v>
      </c>
      <c r="L1138" s="4">
        <f>J1138+K1138</f>
        <v>0</v>
      </c>
      <c r="M1138" s="4" t="s">
        <v>46</v>
      </c>
      <c r="N1138" s="4"/>
      <c r="O1138" s="4">
        <v>3</v>
      </c>
      <c r="P1138" s="4" t="s">
        <v>43</v>
      </c>
      <c r="Q1138" s="4"/>
      <c r="R1138" s="7">
        <v>325000</v>
      </c>
      <c r="S1138" s="7">
        <v>0</v>
      </c>
      <c r="T1138" s="7">
        <f>R1138-S1138</f>
        <v>0</v>
      </c>
      <c r="U1138" s="7">
        <f>T1138*O1138</f>
        <v>0</v>
      </c>
    </row>
    <row r="1139" spans="1:21">
      <c r="A1139" s="4" t="s">
        <v>1691</v>
      </c>
      <c r="B1139" s="4" t="s">
        <v>39</v>
      </c>
      <c r="C1139" s="5">
        <v>45937.23600694445</v>
      </c>
      <c r="D1139" s="5">
        <v>45937</v>
      </c>
      <c r="E1139" s="6">
        <f>IF(AND(C1139&lt;&gt;"",D1139&lt;&gt;""),D1139-C1139,"")</f>
        <v>0</v>
      </c>
      <c r="F1139" s="4" t="s">
        <v>1692</v>
      </c>
      <c r="G1139" s="4" t="s">
        <v>1693</v>
      </c>
      <c r="H1139" s="4" t="s">
        <v>32</v>
      </c>
      <c r="I1139" s="4" t="s">
        <v>33</v>
      </c>
      <c r="J1139" s="4">
        <v>1</v>
      </c>
      <c r="K1139" s="4">
        <v>0</v>
      </c>
      <c r="L1139" s="4">
        <f>J1139+K1139</f>
        <v>0</v>
      </c>
      <c r="M1139" s="4" t="s">
        <v>42</v>
      </c>
      <c r="N1139" s="4"/>
      <c r="O1139" s="4">
        <v>1</v>
      </c>
      <c r="P1139" s="4" t="s">
        <v>43</v>
      </c>
      <c r="Q1139" s="4"/>
      <c r="R1139" s="7">
        <v>370000</v>
      </c>
      <c r="S1139" s="7">
        <v>0</v>
      </c>
      <c r="T1139" s="7">
        <f>R1139-S1139</f>
        <v>0</v>
      </c>
      <c r="U1139" s="7">
        <f>T1139*O1139</f>
        <v>0</v>
      </c>
    </row>
    <row r="1140" spans="1:21">
      <c r="A1140" s="4" t="s">
        <v>1691</v>
      </c>
      <c r="B1140" s="4" t="s">
        <v>39</v>
      </c>
      <c r="C1140" s="5">
        <v>45937.23600694445</v>
      </c>
      <c r="D1140" s="5">
        <v>45937</v>
      </c>
      <c r="E1140" s="6">
        <f>IF(AND(C1140&lt;&gt;"",D1140&lt;&gt;""),D1140-C1140,"")</f>
        <v>0</v>
      </c>
      <c r="F1140" s="4" t="s">
        <v>1692</v>
      </c>
      <c r="G1140" s="4" t="s">
        <v>1693</v>
      </c>
      <c r="H1140" s="4" t="s">
        <v>32</v>
      </c>
      <c r="I1140" s="4" t="s">
        <v>33</v>
      </c>
      <c r="J1140" s="4">
        <v>1</v>
      </c>
      <c r="K1140" s="4">
        <v>0</v>
      </c>
      <c r="L1140" s="4">
        <f>J1140+K1140</f>
        <v>0</v>
      </c>
      <c r="M1140" s="4" t="s">
        <v>42</v>
      </c>
      <c r="N1140" s="4"/>
      <c r="O1140" s="4">
        <v>1</v>
      </c>
      <c r="P1140" s="4" t="s">
        <v>43</v>
      </c>
      <c r="Q1140" s="4"/>
      <c r="R1140" s="7">
        <v>370000</v>
      </c>
      <c r="S1140" s="7">
        <v>0</v>
      </c>
      <c r="T1140" s="7">
        <f>R1140-S1140</f>
        <v>0</v>
      </c>
      <c r="U1140" s="7">
        <f>T1140*O1140</f>
        <v>0</v>
      </c>
    </row>
    <row r="1141" spans="1:21">
      <c r="A1141" s="4" t="s">
        <v>1694</v>
      </c>
      <c r="B1141" s="4" t="s">
        <v>39</v>
      </c>
      <c r="C1141" s="5">
        <v>45937.23762731482</v>
      </c>
      <c r="D1141" s="5">
        <v>45937</v>
      </c>
      <c r="E1141" s="6">
        <f>IF(AND(C1141&lt;&gt;"",D1141&lt;&gt;""),D1141-C1141,"")</f>
        <v>0</v>
      </c>
      <c r="F1141" s="4" t="s">
        <v>1695</v>
      </c>
      <c r="G1141" s="4" t="s">
        <v>1696</v>
      </c>
      <c r="H1141" s="4" t="s">
        <v>32</v>
      </c>
      <c r="I1141" s="4" t="s">
        <v>33</v>
      </c>
      <c r="J1141" s="4">
        <v>0</v>
      </c>
      <c r="K1141" s="4">
        <v>3</v>
      </c>
      <c r="L1141" s="4">
        <f>J1141+K1141</f>
        <v>0</v>
      </c>
      <c r="M1141" s="4" t="s">
        <v>46</v>
      </c>
      <c r="N1141" s="4"/>
      <c r="O1141" s="4">
        <v>3</v>
      </c>
      <c r="P1141" s="4" t="s">
        <v>135</v>
      </c>
      <c r="Q1141" s="4"/>
      <c r="R1141" s="7">
        <v>325000</v>
      </c>
      <c r="S1141" s="7">
        <v>0</v>
      </c>
      <c r="T1141" s="7">
        <f>R1141-S1141</f>
        <v>0</v>
      </c>
      <c r="U1141" s="7">
        <f>T1141*O1141</f>
        <v>0</v>
      </c>
    </row>
    <row r="1142" spans="1:21">
      <c r="A1142" s="4" t="s">
        <v>1694</v>
      </c>
      <c r="B1142" s="4" t="s">
        <v>39</v>
      </c>
      <c r="C1142" s="5">
        <v>45937.23762731482</v>
      </c>
      <c r="D1142" s="5">
        <v>45937</v>
      </c>
      <c r="E1142" s="6">
        <f>IF(AND(C1142&lt;&gt;"",D1142&lt;&gt;""),D1142-C1142,"")</f>
        <v>0</v>
      </c>
      <c r="F1142" s="4" t="s">
        <v>1695</v>
      </c>
      <c r="G1142" s="4" t="s">
        <v>1696</v>
      </c>
      <c r="H1142" s="4" t="s">
        <v>32</v>
      </c>
      <c r="I1142" s="4" t="s">
        <v>33</v>
      </c>
      <c r="J1142" s="4">
        <v>2</v>
      </c>
      <c r="K1142" s="4">
        <v>0</v>
      </c>
      <c r="L1142" s="4">
        <f>J1142+K1142</f>
        <v>0</v>
      </c>
      <c r="M1142" s="4" t="s">
        <v>42</v>
      </c>
      <c r="N1142" s="4"/>
      <c r="O1142" s="4">
        <v>2</v>
      </c>
      <c r="P1142" s="4" t="s">
        <v>135</v>
      </c>
      <c r="Q1142" s="4"/>
      <c r="R1142" s="7">
        <v>370000</v>
      </c>
      <c r="S1142" s="7">
        <v>0</v>
      </c>
      <c r="T1142" s="7">
        <f>R1142-S1142</f>
        <v>0</v>
      </c>
      <c r="U1142" s="7">
        <f>T1142*O1142</f>
        <v>0</v>
      </c>
    </row>
    <row r="1143" spans="1:21">
      <c r="A1143" s="4" t="s">
        <v>1697</v>
      </c>
      <c r="B1143" s="4" t="s">
        <v>39</v>
      </c>
      <c r="C1143" s="5">
        <v>45937.24288194445</v>
      </c>
      <c r="D1143" s="5">
        <v>45937</v>
      </c>
      <c r="E1143" s="6">
        <f>IF(AND(C1143&lt;&gt;"",D1143&lt;&gt;""),D1143-C1143,"")</f>
        <v>0</v>
      </c>
      <c r="F1143" s="4" t="s">
        <v>1698</v>
      </c>
      <c r="G1143" s="4" t="s">
        <v>1699</v>
      </c>
      <c r="H1143" s="4" t="s">
        <v>32</v>
      </c>
      <c r="I1143" s="4" t="s">
        <v>33</v>
      </c>
      <c r="J1143" s="4">
        <v>0</v>
      </c>
      <c r="K1143" s="4">
        <v>3</v>
      </c>
      <c r="L1143" s="4">
        <f>J1143+K1143</f>
        <v>0</v>
      </c>
      <c r="M1143" s="4" t="s">
        <v>46</v>
      </c>
      <c r="N1143" s="4"/>
      <c r="O1143" s="4">
        <v>3</v>
      </c>
      <c r="P1143" s="4" t="s">
        <v>135</v>
      </c>
      <c r="Q1143" s="4"/>
      <c r="R1143" s="7">
        <v>325000</v>
      </c>
      <c r="S1143" s="7">
        <v>0</v>
      </c>
      <c r="T1143" s="7">
        <f>R1143-S1143</f>
        <v>0</v>
      </c>
      <c r="U1143" s="7">
        <f>T1143*O1143</f>
        <v>0</v>
      </c>
    </row>
    <row r="1144" spans="1:21">
      <c r="A1144" s="4" t="s">
        <v>1697</v>
      </c>
      <c r="B1144" s="4" t="s">
        <v>39</v>
      </c>
      <c r="C1144" s="5">
        <v>45937.24288194445</v>
      </c>
      <c r="D1144" s="5">
        <v>45937</v>
      </c>
      <c r="E1144" s="6">
        <f>IF(AND(C1144&lt;&gt;"",D1144&lt;&gt;""),D1144-C1144,"")</f>
        <v>0</v>
      </c>
      <c r="F1144" s="4" t="s">
        <v>1698</v>
      </c>
      <c r="G1144" s="4" t="s">
        <v>1699</v>
      </c>
      <c r="H1144" s="4" t="s">
        <v>32</v>
      </c>
      <c r="I1144" s="4" t="s">
        <v>33</v>
      </c>
      <c r="J1144" s="4">
        <v>2</v>
      </c>
      <c r="K1144" s="4">
        <v>0</v>
      </c>
      <c r="L1144" s="4">
        <f>J1144+K1144</f>
        <v>0</v>
      </c>
      <c r="M1144" s="4" t="s">
        <v>42</v>
      </c>
      <c r="N1144" s="4"/>
      <c r="O1144" s="4">
        <v>2</v>
      </c>
      <c r="P1144" s="4" t="s">
        <v>135</v>
      </c>
      <c r="Q1144" s="4"/>
      <c r="R1144" s="7">
        <v>370000</v>
      </c>
      <c r="S1144" s="7">
        <v>0</v>
      </c>
      <c r="T1144" s="7">
        <f>R1144-S1144</f>
        <v>0</v>
      </c>
      <c r="U1144" s="7">
        <f>T1144*O1144</f>
        <v>0</v>
      </c>
    </row>
    <row r="1145" spans="1:21">
      <c r="A1145" s="4" t="s">
        <v>1700</v>
      </c>
      <c r="B1145" s="4" t="s">
        <v>39</v>
      </c>
      <c r="C1145" s="5">
        <v>45937.24446759259</v>
      </c>
      <c r="D1145" s="5">
        <v>45937</v>
      </c>
      <c r="E1145" s="6">
        <f>IF(AND(C1145&lt;&gt;"",D1145&lt;&gt;""),D1145-C1145,"")</f>
        <v>0</v>
      </c>
      <c r="F1145" s="4" t="s">
        <v>1701</v>
      </c>
      <c r="G1145" s="4" t="s">
        <v>1702</v>
      </c>
      <c r="H1145" s="4" t="s">
        <v>177</v>
      </c>
      <c r="I1145" s="4" t="s">
        <v>56</v>
      </c>
      <c r="J1145" s="4">
        <v>1</v>
      </c>
      <c r="K1145" s="4">
        <v>0</v>
      </c>
      <c r="L1145" s="4">
        <f>J1145+K1145</f>
        <v>0</v>
      </c>
      <c r="M1145" s="4" t="s">
        <v>42</v>
      </c>
      <c r="N1145" s="4"/>
      <c r="O1145" s="4">
        <v>1</v>
      </c>
      <c r="P1145" s="4" t="s">
        <v>135</v>
      </c>
      <c r="Q1145" s="4"/>
      <c r="R1145" s="7">
        <v>370000</v>
      </c>
      <c r="S1145" s="7">
        <v>0</v>
      </c>
      <c r="T1145" s="7">
        <f>R1145-S1145</f>
        <v>0</v>
      </c>
      <c r="U1145" s="7">
        <f>T1145*O1145</f>
        <v>0</v>
      </c>
    </row>
    <row r="1146" spans="1:21">
      <c r="A1146" s="4" t="s">
        <v>1700</v>
      </c>
      <c r="B1146" s="4" t="s">
        <v>39</v>
      </c>
      <c r="C1146" s="5">
        <v>45937.24446759259</v>
      </c>
      <c r="D1146" s="5">
        <v>45937</v>
      </c>
      <c r="E1146" s="6">
        <f>IF(AND(C1146&lt;&gt;"",D1146&lt;&gt;""),D1146-C1146,"")</f>
        <v>0</v>
      </c>
      <c r="F1146" s="4" t="s">
        <v>1701</v>
      </c>
      <c r="G1146" s="4" t="s">
        <v>1702</v>
      </c>
      <c r="H1146" s="4" t="s">
        <v>177</v>
      </c>
      <c r="I1146" s="4" t="s">
        <v>56</v>
      </c>
      <c r="J1146" s="4">
        <v>0</v>
      </c>
      <c r="K1146" s="4">
        <v>1</v>
      </c>
      <c r="L1146" s="4">
        <f>J1146+K1146</f>
        <v>0</v>
      </c>
      <c r="M1146" s="4" t="s">
        <v>46</v>
      </c>
      <c r="N1146" s="4"/>
      <c r="O1146" s="4">
        <v>1</v>
      </c>
      <c r="P1146" s="4" t="s">
        <v>135</v>
      </c>
      <c r="Q1146" s="4"/>
      <c r="R1146" s="7">
        <v>325000</v>
      </c>
      <c r="S1146" s="7">
        <v>0</v>
      </c>
      <c r="T1146" s="7">
        <f>R1146-S1146</f>
        <v>0</v>
      </c>
      <c r="U1146" s="7">
        <f>T1146*O1146</f>
        <v>0</v>
      </c>
    </row>
    <row r="1147" spans="1:21">
      <c r="A1147" s="4" t="s">
        <v>1700</v>
      </c>
      <c r="B1147" s="4" t="s">
        <v>39</v>
      </c>
      <c r="C1147" s="5">
        <v>45937.24446759259</v>
      </c>
      <c r="D1147" s="5">
        <v>45937</v>
      </c>
      <c r="E1147" s="6">
        <f>IF(AND(C1147&lt;&gt;"",D1147&lt;&gt;""),D1147-C1147,"")</f>
        <v>0</v>
      </c>
      <c r="F1147" s="4" t="s">
        <v>1701</v>
      </c>
      <c r="G1147" s="4" t="s">
        <v>1702</v>
      </c>
      <c r="H1147" s="4" t="s">
        <v>177</v>
      </c>
      <c r="I1147" s="4" t="s">
        <v>56</v>
      </c>
      <c r="J1147" s="4">
        <v>0</v>
      </c>
      <c r="K1147" s="4">
        <v>1</v>
      </c>
      <c r="L1147" s="4">
        <f>J1147+K1147</f>
        <v>0</v>
      </c>
      <c r="M1147" s="4" t="s">
        <v>46</v>
      </c>
      <c r="N1147" s="4"/>
      <c r="O1147" s="4">
        <v>1</v>
      </c>
      <c r="P1147" s="4" t="s">
        <v>135</v>
      </c>
      <c r="Q1147" s="4"/>
      <c r="R1147" s="7">
        <v>325000</v>
      </c>
      <c r="S1147" s="7">
        <v>0</v>
      </c>
      <c r="T1147" s="7">
        <f>R1147-S1147</f>
        <v>0</v>
      </c>
      <c r="U1147" s="7">
        <f>T1147*O1147</f>
        <v>0</v>
      </c>
    </row>
    <row r="1148" spans="1:21">
      <c r="A1148" s="4" t="s">
        <v>1700</v>
      </c>
      <c r="B1148" s="4" t="s">
        <v>39</v>
      </c>
      <c r="C1148" s="5">
        <v>45937.24446759259</v>
      </c>
      <c r="D1148" s="5">
        <v>45937</v>
      </c>
      <c r="E1148" s="6">
        <f>IF(AND(C1148&lt;&gt;"",D1148&lt;&gt;""),D1148-C1148,"")</f>
        <v>0</v>
      </c>
      <c r="F1148" s="4" t="s">
        <v>1701</v>
      </c>
      <c r="G1148" s="4" t="s">
        <v>1702</v>
      </c>
      <c r="H1148" s="4" t="s">
        <v>177</v>
      </c>
      <c r="I1148" s="4" t="s">
        <v>56</v>
      </c>
      <c r="J1148" s="4">
        <v>1</v>
      </c>
      <c r="K1148" s="4">
        <v>0</v>
      </c>
      <c r="L1148" s="4">
        <f>J1148+K1148</f>
        <v>0</v>
      </c>
      <c r="M1148" s="4" t="s">
        <v>42</v>
      </c>
      <c r="N1148" s="4"/>
      <c r="O1148" s="4">
        <v>1</v>
      </c>
      <c r="P1148" s="4" t="s">
        <v>135</v>
      </c>
      <c r="Q1148" s="4"/>
      <c r="R1148" s="7">
        <v>370000</v>
      </c>
      <c r="S1148" s="7">
        <v>0</v>
      </c>
      <c r="T1148" s="7">
        <f>R1148-S1148</f>
        <v>0</v>
      </c>
      <c r="U1148" s="7">
        <f>T1148*O1148</f>
        <v>0</v>
      </c>
    </row>
    <row r="1149" spans="1:21">
      <c r="A1149" s="4" t="s">
        <v>1703</v>
      </c>
      <c r="B1149" s="4" t="s">
        <v>39</v>
      </c>
      <c r="C1149" s="5">
        <v>45937.25186342592</v>
      </c>
      <c r="D1149" s="5">
        <v>45937</v>
      </c>
      <c r="E1149" s="6">
        <f>IF(AND(C1149&lt;&gt;"",D1149&lt;&gt;""),D1149-C1149,"")</f>
        <v>0</v>
      </c>
      <c r="F1149" s="4" t="s">
        <v>1704</v>
      </c>
      <c r="G1149" s="4" t="s">
        <v>1705</v>
      </c>
      <c r="H1149" s="4" t="s">
        <v>32</v>
      </c>
      <c r="I1149" s="4" t="s">
        <v>33</v>
      </c>
      <c r="J1149" s="4">
        <v>0</v>
      </c>
      <c r="K1149" s="4">
        <v>1</v>
      </c>
      <c r="L1149" s="4">
        <f>J1149+K1149</f>
        <v>0</v>
      </c>
      <c r="M1149" s="4" t="s">
        <v>46</v>
      </c>
      <c r="N1149" s="4"/>
      <c r="O1149" s="4">
        <v>1</v>
      </c>
      <c r="P1149" s="4" t="s">
        <v>135</v>
      </c>
      <c r="Q1149" s="4"/>
      <c r="R1149" s="7">
        <v>325000</v>
      </c>
      <c r="S1149" s="7">
        <v>0</v>
      </c>
      <c r="T1149" s="7">
        <f>R1149-S1149</f>
        <v>0</v>
      </c>
      <c r="U1149" s="7">
        <f>T1149*O1149</f>
        <v>0</v>
      </c>
    </row>
    <row r="1150" spans="1:21">
      <c r="A1150" s="4" t="s">
        <v>1703</v>
      </c>
      <c r="B1150" s="4" t="s">
        <v>39</v>
      </c>
      <c r="C1150" s="5">
        <v>45937.25186342592</v>
      </c>
      <c r="D1150" s="5">
        <v>45937</v>
      </c>
      <c r="E1150" s="6">
        <f>IF(AND(C1150&lt;&gt;"",D1150&lt;&gt;""),D1150-C1150,"")</f>
        <v>0</v>
      </c>
      <c r="F1150" s="4" t="s">
        <v>1704</v>
      </c>
      <c r="G1150" s="4" t="s">
        <v>1705</v>
      </c>
      <c r="H1150" s="4" t="s">
        <v>32</v>
      </c>
      <c r="I1150" s="4" t="s">
        <v>33</v>
      </c>
      <c r="J1150" s="4">
        <v>1</v>
      </c>
      <c r="K1150" s="4">
        <v>0</v>
      </c>
      <c r="L1150" s="4">
        <f>J1150+K1150</f>
        <v>0</v>
      </c>
      <c r="M1150" s="4" t="s">
        <v>42</v>
      </c>
      <c r="N1150" s="4"/>
      <c r="O1150" s="4">
        <v>1</v>
      </c>
      <c r="P1150" s="4" t="s">
        <v>135</v>
      </c>
      <c r="Q1150" s="4"/>
      <c r="R1150" s="7">
        <v>370000</v>
      </c>
      <c r="S1150" s="7">
        <v>0</v>
      </c>
      <c r="T1150" s="7">
        <f>R1150-S1150</f>
        <v>0</v>
      </c>
      <c r="U1150" s="7">
        <f>T1150*O1150</f>
        <v>0</v>
      </c>
    </row>
    <row r="1151" spans="1:21">
      <c r="A1151" s="4" t="s">
        <v>1703</v>
      </c>
      <c r="B1151" s="4" t="s">
        <v>39</v>
      </c>
      <c r="C1151" s="5">
        <v>45937.25186342592</v>
      </c>
      <c r="D1151" s="5">
        <v>45937</v>
      </c>
      <c r="E1151" s="6">
        <f>IF(AND(C1151&lt;&gt;"",D1151&lt;&gt;""),D1151-C1151,"")</f>
        <v>0</v>
      </c>
      <c r="F1151" s="4" t="s">
        <v>1704</v>
      </c>
      <c r="G1151" s="4" t="s">
        <v>1705</v>
      </c>
      <c r="H1151" s="4" t="s">
        <v>32</v>
      </c>
      <c r="I1151" s="4" t="s">
        <v>33</v>
      </c>
      <c r="J1151" s="4">
        <v>0</v>
      </c>
      <c r="K1151" s="4">
        <v>1</v>
      </c>
      <c r="L1151" s="4">
        <f>J1151+K1151</f>
        <v>0</v>
      </c>
      <c r="M1151" s="4" t="s">
        <v>46</v>
      </c>
      <c r="N1151" s="4"/>
      <c r="O1151" s="4">
        <v>1</v>
      </c>
      <c r="P1151" s="4" t="s">
        <v>135</v>
      </c>
      <c r="Q1151" s="4"/>
      <c r="R1151" s="7">
        <v>325000</v>
      </c>
      <c r="S1151" s="7">
        <v>0</v>
      </c>
      <c r="T1151" s="7">
        <f>R1151-S1151</f>
        <v>0</v>
      </c>
      <c r="U1151" s="7">
        <f>T1151*O1151</f>
        <v>0</v>
      </c>
    </row>
    <row r="1152" spans="1:21">
      <c r="A1152" s="4" t="s">
        <v>1703</v>
      </c>
      <c r="B1152" s="4" t="s">
        <v>39</v>
      </c>
      <c r="C1152" s="5">
        <v>45937.25186342592</v>
      </c>
      <c r="D1152" s="5">
        <v>45937</v>
      </c>
      <c r="E1152" s="6">
        <f>IF(AND(C1152&lt;&gt;"",D1152&lt;&gt;""),D1152-C1152,"")</f>
        <v>0</v>
      </c>
      <c r="F1152" s="4" t="s">
        <v>1704</v>
      </c>
      <c r="G1152" s="4" t="s">
        <v>1705</v>
      </c>
      <c r="H1152" s="4" t="s">
        <v>32</v>
      </c>
      <c r="I1152" s="4" t="s">
        <v>33</v>
      </c>
      <c r="J1152" s="4">
        <v>0</v>
      </c>
      <c r="K1152" s="4">
        <v>1</v>
      </c>
      <c r="L1152" s="4">
        <f>J1152+K1152</f>
        <v>0</v>
      </c>
      <c r="M1152" s="4" t="s">
        <v>46</v>
      </c>
      <c r="N1152" s="4"/>
      <c r="O1152" s="4">
        <v>1</v>
      </c>
      <c r="P1152" s="4" t="s">
        <v>135</v>
      </c>
      <c r="Q1152" s="4"/>
      <c r="R1152" s="7">
        <v>325000</v>
      </c>
      <c r="S1152" s="7">
        <v>0</v>
      </c>
      <c r="T1152" s="7">
        <f>R1152-S1152</f>
        <v>0</v>
      </c>
      <c r="U1152" s="7">
        <f>T1152*O1152</f>
        <v>0</v>
      </c>
    </row>
    <row r="1153" spans="1:21">
      <c r="A1153" s="4" t="s">
        <v>1703</v>
      </c>
      <c r="B1153" s="4" t="s">
        <v>39</v>
      </c>
      <c r="C1153" s="5">
        <v>45937.25186342592</v>
      </c>
      <c r="D1153" s="5">
        <v>45937</v>
      </c>
      <c r="E1153" s="6">
        <f>IF(AND(C1153&lt;&gt;"",D1153&lt;&gt;""),D1153-C1153,"")</f>
        <v>0</v>
      </c>
      <c r="F1153" s="4" t="s">
        <v>1704</v>
      </c>
      <c r="G1153" s="4" t="s">
        <v>1705</v>
      </c>
      <c r="H1153" s="4" t="s">
        <v>32</v>
      </c>
      <c r="I1153" s="4" t="s">
        <v>33</v>
      </c>
      <c r="J1153" s="4">
        <v>1</v>
      </c>
      <c r="K1153" s="4">
        <v>0</v>
      </c>
      <c r="L1153" s="4">
        <f>J1153+K1153</f>
        <v>0</v>
      </c>
      <c r="M1153" s="4" t="s">
        <v>42</v>
      </c>
      <c r="N1153" s="4"/>
      <c r="O1153" s="4">
        <v>1</v>
      </c>
      <c r="P1153" s="4" t="s">
        <v>135</v>
      </c>
      <c r="Q1153" s="4"/>
      <c r="R1153" s="7">
        <v>370000</v>
      </c>
      <c r="S1153" s="7">
        <v>0</v>
      </c>
      <c r="T1153" s="7">
        <f>R1153-S1153</f>
        <v>0</v>
      </c>
      <c r="U1153" s="7">
        <f>T1153*O1153</f>
        <v>0</v>
      </c>
    </row>
    <row r="1154" spans="1:21">
      <c r="A1154" s="4" t="s">
        <v>1706</v>
      </c>
      <c r="B1154" s="4" t="s">
        <v>39</v>
      </c>
      <c r="C1154" s="5">
        <v>45937.25741898148</v>
      </c>
      <c r="D1154" s="5">
        <v>45937</v>
      </c>
      <c r="E1154" s="6">
        <f>IF(AND(C1154&lt;&gt;"",D1154&lt;&gt;""),D1154-C1154,"")</f>
        <v>0</v>
      </c>
      <c r="F1154" s="4" t="s">
        <v>1355</v>
      </c>
      <c r="G1154" s="4" t="s">
        <v>1356</v>
      </c>
      <c r="H1154" s="4" t="s">
        <v>177</v>
      </c>
      <c r="I1154" s="4" t="s">
        <v>56</v>
      </c>
      <c r="J1154" s="4">
        <v>0</v>
      </c>
      <c r="K1154" s="4">
        <v>0</v>
      </c>
      <c r="L1154" s="4">
        <f>J1154+K1154</f>
        <v>0</v>
      </c>
      <c r="M1154" s="4" t="s">
        <v>370</v>
      </c>
      <c r="N1154" s="4"/>
      <c r="O1154" s="4">
        <v>1</v>
      </c>
      <c r="P1154" s="4" t="s">
        <v>135</v>
      </c>
      <c r="Q1154" s="4" t="s">
        <v>44</v>
      </c>
      <c r="R1154" s="7">
        <v>2000000</v>
      </c>
      <c r="S1154" s="7">
        <v>0</v>
      </c>
      <c r="T1154" s="7">
        <f>R1154-S1154</f>
        <v>0</v>
      </c>
      <c r="U1154" s="7">
        <f>T1154*O1154</f>
        <v>0</v>
      </c>
    </row>
    <row r="1155" spans="1:21">
      <c r="A1155" s="4" t="s">
        <v>1707</v>
      </c>
      <c r="B1155" s="4" t="s">
        <v>39</v>
      </c>
      <c r="C1155" s="5">
        <v>45937.25828703704</v>
      </c>
      <c r="D1155" s="5">
        <v>45937</v>
      </c>
      <c r="E1155" s="6">
        <f>IF(AND(C1155&lt;&gt;"",D1155&lt;&gt;""),D1155-C1155,"")</f>
        <v>0</v>
      </c>
      <c r="F1155" s="4" t="s">
        <v>1358</v>
      </c>
      <c r="G1155" s="4" t="s">
        <v>1359</v>
      </c>
      <c r="H1155" s="4" t="s">
        <v>32</v>
      </c>
      <c r="I1155" s="4" t="s">
        <v>33</v>
      </c>
      <c r="J1155" s="4">
        <v>0</v>
      </c>
      <c r="K1155" s="4">
        <v>0</v>
      </c>
      <c r="L1155" s="4">
        <f>J1155+K1155</f>
        <v>0</v>
      </c>
      <c r="M1155" s="4" t="s">
        <v>370</v>
      </c>
      <c r="N1155" s="4"/>
      <c r="O1155" s="4">
        <v>1</v>
      </c>
      <c r="P1155" s="4" t="s">
        <v>135</v>
      </c>
      <c r="Q1155" s="4" t="s">
        <v>44</v>
      </c>
      <c r="R1155" s="7">
        <v>2000000</v>
      </c>
      <c r="S1155" s="7">
        <v>0</v>
      </c>
      <c r="T1155" s="7">
        <f>R1155-S1155</f>
        <v>0</v>
      </c>
      <c r="U1155" s="7">
        <f>T1155*O1155</f>
        <v>0</v>
      </c>
    </row>
    <row r="1156" spans="1:21">
      <c r="A1156" s="4" t="s">
        <v>1708</v>
      </c>
      <c r="B1156" s="4" t="s">
        <v>39</v>
      </c>
      <c r="C1156" s="5">
        <v>45937.25865740741</v>
      </c>
      <c r="D1156" s="5">
        <v>45937</v>
      </c>
      <c r="E1156" s="6">
        <f>IF(AND(C1156&lt;&gt;"",D1156&lt;&gt;""),D1156-C1156,"")</f>
        <v>0</v>
      </c>
      <c r="F1156" s="4" t="s">
        <v>1239</v>
      </c>
      <c r="G1156" s="4" t="s">
        <v>1709</v>
      </c>
      <c r="H1156" s="4" t="s">
        <v>32</v>
      </c>
      <c r="I1156" s="4" t="s">
        <v>33</v>
      </c>
      <c r="J1156" s="4">
        <v>0</v>
      </c>
      <c r="K1156" s="4">
        <v>0</v>
      </c>
      <c r="L1156" s="4">
        <f>J1156+K1156</f>
        <v>0</v>
      </c>
      <c r="M1156" s="4" t="s">
        <v>370</v>
      </c>
      <c r="N1156" s="4"/>
      <c r="O1156" s="4">
        <v>1</v>
      </c>
      <c r="P1156" s="4" t="s">
        <v>135</v>
      </c>
      <c r="Q1156" s="4" t="s">
        <v>44</v>
      </c>
      <c r="R1156" s="7">
        <v>500000</v>
      </c>
      <c r="S1156" s="7">
        <v>0</v>
      </c>
      <c r="T1156" s="7">
        <f>R1156-S1156</f>
        <v>0</v>
      </c>
      <c r="U1156" s="7">
        <f>T1156*O1156</f>
        <v>0</v>
      </c>
    </row>
    <row r="1157" spans="1:21">
      <c r="A1157" s="4" t="s">
        <v>1710</v>
      </c>
      <c r="B1157" s="4" t="s">
        <v>39</v>
      </c>
      <c r="C1157" s="5">
        <v>45937.25876157408</v>
      </c>
      <c r="D1157" s="5">
        <v>45937</v>
      </c>
      <c r="E1157" s="6">
        <f>IF(AND(C1157&lt;&gt;"",D1157&lt;&gt;""),D1157-C1157,"")</f>
        <v>0</v>
      </c>
      <c r="F1157" s="4" t="s">
        <v>1361</v>
      </c>
      <c r="G1157" s="4" t="s">
        <v>1362</v>
      </c>
      <c r="H1157" s="4" t="s">
        <v>32</v>
      </c>
      <c r="I1157" s="4" t="s">
        <v>33</v>
      </c>
      <c r="J1157" s="4">
        <v>0</v>
      </c>
      <c r="K1157" s="4">
        <v>0</v>
      </c>
      <c r="L1157" s="4">
        <f>J1157+K1157</f>
        <v>0</v>
      </c>
      <c r="M1157" s="4" t="s">
        <v>370</v>
      </c>
      <c r="N1157" s="4"/>
      <c r="O1157" s="4">
        <v>1</v>
      </c>
      <c r="P1157" s="4" t="s">
        <v>43</v>
      </c>
      <c r="Q1157" s="4" t="s">
        <v>44</v>
      </c>
      <c r="R1157" s="7">
        <v>2000000</v>
      </c>
      <c r="S1157" s="7">
        <v>0</v>
      </c>
      <c r="T1157" s="7">
        <f>R1157-S1157</f>
        <v>0</v>
      </c>
      <c r="U1157" s="7">
        <f>T1157*O1157</f>
        <v>0</v>
      </c>
    </row>
    <row r="1158" spans="1:21">
      <c r="A1158" s="4" t="s">
        <v>1711</v>
      </c>
      <c r="B1158" s="4" t="s">
        <v>39</v>
      </c>
      <c r="C1158" s="5">
        <v>45937.25966435186</v>
      </c>
      <c r="D1158" s="5">
        <v>45937</v>
      </c>
      <c r="E1158" s="6">
        <f>IF(AND(C1158&lt;&gt;"",D1158&lt;&gt;""),D1158-C1158,"")</f>
        <v>0</v>
      </c>
      <c r="F1158" s="4" t="s">
        <v>1367</v>
      </c>
      <c r="G1158" s="4" t="s">
        <v>1368</v>
      </c>
      <c r="H1158" s="4" t="s">
        <v>32</v>
      </c>
      <c r="I1158" s="4" t="s">
        <v>33</v>
      </c>
      <c r="J1158" s="4">
        <v>0</v>
      </c>
      <c r="K1158" s="4">
        <v>0</v>
      </c>
      <c r="L1158" s="4">
        <f>J1158+K1158</f>
        <v>0</v>
      </c>
      <c r="M1158" s="4" t="s">
        <v>370</v>
      </c>
      <c r="N1158" s="4"/>
      <c r="O1158" s="4">
        <v>1</v>
      </c>
      <c r="P1158" s="4" t="s">
        <v>43</v>
      </c>
      <c r="Q1158" s="4" t="s">
        <v>44</v>
      </c>
      <c r="R1158" s="7">
        <v>2000000</v>
      </c>
      <c r="S1158" s="7">
        <v>0</v>
      </c>
      <c r="T1158" s="7">
        <f>R1158-S1158</f>
        <v>0</v>
      </c>
      <c r="U1158" s="7">
        <f>T1158*O1158</f>
        <v>0</v>
      </c>
    </row>
    <row r="1159" spans="1:21">
      <c r="A1159" s="4" t="s">
        <v>1712</v>
      </c>
      <c r="B1159" s="4" t="s">
        <v>39</v>
      </c>
      <c r="C1159" s="5">
        <v>45937.29104166666</v>
      </c>
      <c r="D1159" s="5">
        <v>45937</v>
      </c>
      <c r="E1159" s="6">
        <f>IF(AND(C1159&lt;&gt;"",D1159&lt;&gt;""),D1159-C1159,"")</f>
        <v>0</v>
      </c>
      <c r="F1159" s="4" t="s">
        <v>162</v>
      </c>
      <c r="G1159" s="4" t="s">
        <v>163</v>
      </c>
      <c r="H1159" s="4" t="s">
        <v>32</v>
      </c>
      <c r="I1159" s="4" t="s">
        <v>33</v>
      </c>
      <c r="J1159" s="4">
        <v>0</v>
      </c>
      <c r="K1159" s="4">
        <v>0</v>
      </c>
      <c r="L1159" s="4">
        <f>J1159+K1159</f>
        <v>0</v>
      </c>
      <c r="M1159" s="4" t="s">
        <v>1420</v>
      </c>
      <c r="N1159" s="4"/>
      <c r="O1159" s="4">
        <v>1</v>
      </c>
      <c r="P1159" s="4" t="s">
        <v>135</v>
      </c>
      <c r="Q1159" s="4"/>
      <c r="R1159" s="7">
        <v>108000</v>
      </c>
      <c r="S1159" s="7">
        <v>108000</v>
      </c>
      <c r="T1159" s="7">
        <f>R1159-S1159</f>
        <v>0</v>
      </c>
      <c r="U1159" s="7">
        <f>T1159*O1159</f>
        <v>0</v>
      </c>
    </row>
    <row r="1160" spans="1:21">
      <c r="A1160" s="4" t="s">
        <v>1713</v>
      </c>
      <c r="B1160" s="4" t="s">
        <v>39</v>
      </c>
      <c r="C1160" s="5">
        <v>45937.31900462963</v>
      </c>
      <c r="D1160" s="5">
        <v>45961</v>
      </c>
      <c r="E1160" s="6">
        <f>IF(AND(C1160&lt;&gt;"",D1160&lt;&gt;""),D1160-C1160,"")</f>
        <v>0</v>
      </c>
      <c r="F1160" s="4" t="s">
        <v>1714</v>
      </c>
      <c r="G1160" s="4" t="s">
        <v>1715</v>
      </c>
      <c r="H1160" s="4" t="s">
        <v>32</v>
      </c>
      <c r="I1160" s="4" t="s">
        <v>33</v>
      </c>
      <c r="J1160" s="4">
        <v>3</v>
      </c>
      <c r="K1160" s="4">
        <v>0</v>
      </c>
      <c r="L1160" s="4">
        <f>J1160+K1160</f>
        <v>0</v>
      </c>
      <c r="M1160" s="4"/>
      <c r="N1160" s="4"/>
      <c r="O1160" s="4">
        <v>0</v>
      </c>
      <c r="P1160" s="4"/>
      <c r="Q1160" s="4"/>
      <c r="R1160" s="7">
        <v>0</v>
      </c>
      <c r="S1160" s="7">
        <v>0</v>
      </c>
      <c r="T1160" s="7">
        <f>R1160-S1160</f>
        <v>0</v>
      </c>
      <c r="U1160" s="7">
        <f>T1160*O1160</f>
        <v>0</v>
      </c>
    </row>
    <row r="1161" spans="1:21">
      <c r="A1161" s="4" t="s">
        <v>1716</v>
      </c>
      <c r="B1161" s="4" t="s">
        <v>39</v>
      </c>
      <c r="C1161" s="5">
        <v>45937.32417824074</v>
      </c>
      <c r="D1161" s="5">
        <v>45961</v>
      </c>
      <c r="E1161" s="6">
        <f>IF(AND(C1161&lt;&gt;"",D1161&lt;&gt;""),D1161-C1161,"")</f>
        <v>0</v>
      </c>
      <c r="F1161" s="4" t="s">
        <v>1717</v>
      </c>
      <c r="G1161" s="4" t="s">
        <v>1718</v>
      </c>
      <c r="H1161" s="4" t="s">
        <v>190</v>
      </c>
      <c r="I1161" s="4" t="s">
        <v>56</v>
      </c>
      <c r="J1161" s="4">
        <v>3</v>
      </c>
      <c r="K1161" s="4">
        <v>0</v>
      </c>
      <c r="L1161" s="4">
        <f>J1161+K1161</f>
        <v>0</v>
      </c>
      <c r="M1161" s="4"/>
      <c r="N1161" s="4"/>
      <c r="O1161" s="4">
        <v>0</v>
      </c>
      <c r="P1161" s="4"/>
      <c r="Q1161" s="4"/>
      <c r="R1161" s="7">
        <v>0</v>
      </c>
      <c r="S1161" s="7">
        <v>0</v>
      </c>
      <c r="T1161" s="7">
        <f>R1161-S1161</f>
        <v>0</v>
      </c>
      <c r="U1161" s="7">
        <f>T1161*O1161</f>
        <v>0</v>
      </c>
    </row>
    <row r="1162" spans="1:21">
      <c r="A1162" s="4" t="s">
        <v>1719</v>
      </c>
      <c r="B1162" s="4" t="s">
        <v>39</v>
      </c>
      <c r="C1162" s="5">
        <v>45937.33344907407</v>
      </c>
      <c r="D1162" s="5">
        <v>45937</v>
      </c>
      <c r="E1162" s="6">
        <f>IF(AND(C1162&lt;&gt;"",D1162&lt;&gt;""),D1162-C1162,"")</f>
        <v>0</v>
      </c>
      <c r="F1162" s="4" t="s">
        <v>1720</v>
      </c>
      <c r="G1162" s="4" t="s">
        <v>1721</v>
      </c>
      <c r="H1162" s="4" t="s">
        <v>32</v>
      </c>
      <c r="I1162" s="4" t="s">
        <v>33</v>
      </c>
      <c r="J1162" s="4">
        <v>1</v>
      </c>
      <c r="K1162" s="4">
        <v>0</v>
      </c>
      <c r="L1162" s="4">
        <f>J1162+K1162</f>
        <v>0</v>
      </c>
      <c r="M1162" s="4" t="s">
        <v>968</v>
      </c>
      <c r="N1162" s="4"/>
      <c r="O1162" s="4">
        <v>1</v>
      </c>
      <c r="P1162" s="4" t="s">
        <v>135</v>
      </c>
      <c r="Q1162" s="4" t="s">
        <v>44</v>
      </c>
      <c r="R1162" s="7">
        <v>1050000</v>
      </c>
      <c r="S1162" s="7">
        <v>0</v>
      </c>
      <c r="T1162" s="7">
        <f>R1162-S1162</f>
        <v>0</v>
      </c>
      <c r="U1162" s="7">
        <f>T1162*O1162</f>
        <v>0</v>
      </c>
    </row>
    <row r="1163" spans="1:21">
      <c r="A1163" s="4" t="s">
        <v>1722</v>
      </c>
      <c r="B1163" s="4" t="s">
        <v>48</v>
      </c>
      <c r="C1163" s="5">
        <v>45937.33700231482</v>
      </c>
      <c r="D1163" s="5">
        <v>45961</v>
      </c>
      <c r="E1163" s="6">
        <f>IF(AND(C1163&lt;&gt;"",D1163&lt;&gt;""),D1163-C1163,"")</f>
        <v>0</v>
      </c>
      <c r="F1163" s="4" t="s">
        <v>1723</v>
      </c>
      <c r="G1163" s="4" t="s">
        <v>1724</v>
      </c>
      <c r="H1163" s="4" t="s">
        <v>32</v>
      </c>
      <c r="I1163" s="4" t="s">
        <v>33</v>
      </c>
      <c r="J1163" s="4">
        <v>3</v>
      </c>
      <c r="K1163" s="4">
        <v>0</v>
      </c>
      <c r="L1163" s="4">
        <f>J1163+K1163</f>
        <v>0</v>
      </c>
      <c r="M1163" s="4"/>
      <c r="N1163" s="4"/>
      <c r="O1163" s="4">
        <v>0</v>
      </c>
      <c r="P1163" s="4"/>
      <c r="Q1163" s="4"/>
      <c r="R1163" s="7">
        <v>0</v>
      </c>
      <c r="S1163" s="7">
        <v>0</v>
      </c>
      <c r="T1163" s="7">
        <f>R1163-S1163</f>
        <v>0</v>
      </c>
      <c r="U1163" s="7">
        <f>T1163*O1163</f>
        <v>0</v>
      </c>
    </row>
    <row r="1164" spans="1:21">
      <c r="A1164" s="4" t="s">
        <v>1725</v>
      </c>
      <c r="B1164" s="4" t="s">
        <v>39</v>
      </c>
      <c r="C1164" s="5">
        <v>45937.34038194444</v>
      </c>
      <c r="D1164" s="5">
        <v>45937</v>
      </c>
      <c r="E1164" s="6">
        <f>IF(AND(C1164&lt;&gt;"",D1164&lt;&gt;""),D1164-C1164,"")</f>
        <v>0</v>
      </c>
      <c r="F1164" s="4" t="s">
        <v>1229</v>
      </c>
      <c r="G1164" s="4"/>
      <c r="H1164" s="4"/>
      <c r="I1164" s="4" t="s">
        <v>56</v>
      </c>
      <c r="J1164" s="4">
        <v>0</v>
      </c>
      <c r="K1164" s="4">
        <v>0</v>
      </c>
      <c r="L1164" s="4">
        <f>J1164+K1164</f>
        <v>0</v>
      </c>
      <c r="M1164" s="4" t="s">
        <v>1726</v>
      </c>
      <c r="N1164" s="4"/>
      <c r="O1164" s="4">
        <v>1</v>
      </c>
      <c r="P1164" s="4" t="s">
        <v>43</v>
      </c>
      <c r="Q1164" s="4"/>
      <c r="R1164" s="7">
        <v>64000</v>
      </c>
      <c r="S1164" s="7">
        <v>0</v>
      </c>
      <c r="T1164" s="7">
        <f>R1164-S1164</f>
        <v>0</v>
      </c>
      <c r="U1164" s="7">
        <f>T1164*O1164</f>
        <v>0</v>
      </c>
    </row>
    <row r="1165" spans="1:21">
      <c r="A1165" s="4" t="s">
        <v>1725</v>
      </c>
      <c r="B1165" s="4" t="s">
        <v>39</v>
      </c>
      <c r="C1165" s="5">
        <v>45937.34038194444</v>
      </c>
      <c r="D1165" s="5">
        <v>45937</v>
      </c>
      <c r="E1165" s="6">
        <f>IF(AND(C1165&lt;&gt;"",D1165&lt;&gt;""),D1165-C1165,"")</f>
        <v>0</v>
      </c>
      <c r="F1165" s="4" t="s">
        <v>1229</v>
      </c>
      <c r="G1165" s="4"/>
      <c r="H1165" s="4"/>
      <c r="I1165" s="4" t="s">
        <v>56</v>
      </c>
      <c r="J1165" s="4">
        <v>0</v>
      </c>
      <c r="K1165" s="4">
        <v>0</v>
      </c>
      <c r="L1165" s="4">
        <f>J1165+K1165</f>
        <v>0</v>
      </c>
      <c r="M1165" s="4" t="s">
        <v>1727</v>
      </c>
      <c r="N1165" s="4"/>
      <c r="O1165" s="4">
        <v>1</v>
      </c>
      <c r="P1165" s="4" t="s">
        <v>43</v>
      </c>
      <c r="Q1165" s="4"/>
      <c r="R1165" s="7">
        <v>64000</v>
      </c>
      <c r="S1165" s="7">
        <v>0</v>
      </c>
      <c r="T1165" s="7">
        <f>R1165-S1165</f>
        <v>0</v>
      </c>
      <c r="U1165" s="7">
        <f>T1165*O1165</f>
        <v>0</v>
      </c>
    </row>
    <row r="1166" spans="1:21">
      <c r="A1166" s="4" t="s">
        <v>1728</v>
      </c>
      <c r="B1166" s="4" t="s">
        <v>48</v>
      </c>
      <c r="C1166" s="5">
        <v>45937.34393518518</v>
      </c>
      <c r="D1166" s="5">
        <v>45961</v>
      </c>
      <c r="E1166" s="6">
        <f>IF(AND(C1166&lt;&gt;"",D1166&lt;&gt;""),D1166-C1166,"")</f>
        <v>0</v>
      </c>
      <c r="F1166" s="4" t="s">
        <v>718</v>
      </c>
      <c r="G1166" s="4" t="s">
        <v>716</v>
      </c>
      <c r="H1166" s="4" t="s">
        <v>190</v>
      </c>
      <c r="I1166" s="4" t="s">
        <v>56</v>
      </c>
      <c r="J1166" s="4">
        <v>2</v>
      </c>
      <c r="K1166" s="4">
        <v>1</v>
      </c>
      <c r="L1166" s="4">
        <f>J1166+K1166</f>
        <v>0</v>
      </c>
      <c r="M1166" s="4"/>
      <c r="N1166" s="4"/>
      <c r="O1166" s="4">
        <v>0</v>
      </c>
      <c r="P1166" s="4"/>
      <c r="Q1166" s="4"/>
      <c r="R1166" s="7">
        <v>0</v>
      </c>
      <c r="S1166" s="7">
        <v>0</v>
      </c>
      <c r="T1166" s="7">
        <f>R1166-S1166</f>
        <v>0</v>
      </c>
      <c r="U1166" s="7">
        <f>T1166*O1166</f>
        <v>0</v>
      </c>
    </row>
    <row r="1167" spans="1:21">
      <c r="A1167" s="4" t="s">
        <v>1729</v>
      </c>
      <c r="B1167" s="4" t="s">
        <v>39</v>
      </c>
      <c r="C1167" s="5">
        <v>45937.36560185185</v>
      </c>
      <c r="D1167" s="5">
        <v>45937</v>
      </c>
      <c r="E1167" s="6">
        <f>IF(AND(C1167&lt;&gt;"",D1167&lt;&gt;""),D1167-C1167,"")</f>
        <v>0</v>
      </c>
      <c r="F1167" s="4" t="s">
        <v>718</v>
      </c>
      <c r="G1167" s="4" t="s">
        <v>716</v>
      </c>
      <c r="H1167" s="4" t="s">
        <v>190</v>
      </c>
      <c r="I1167" s="4" t="s">
        <v>56</v>
      </c>
      <c r="J1167" s="4">
        <v>0</v>
      </c>
      <c r="K1167" s="4">
        <v>0</v>
      </c>
      <c r="L1167" s="4">
        <f>J1167+K1167</f>
        <v>0</v>
      </c>
      <c r="M1167" s="4" t="s">
        <v>1730</v>
      </c>
      <c r="N1167" s="4"/>
      <c r="O1167" s="4">
        <v>1</v>
      </c>
      <c r="P1167" s="4" t="s">
        <v>135</v>
      </c>
      <c r="Q1167" s="4" t="s">
        <v>44</v>
      </c>
      <c r="R1167" s="7">
        <v>266250</v>
      </c>
      <c r="S1167" s="7">
        <v>0</v>
      </c>
      <c r="T1167" s="7">
        <f>R1167-S1167</f>
        <v>0</v>
      </c>
      <c r="U1167" s="7">
        <f>T1167*O1167</f>
        <v>0</v>
      </c>
    </row>
    <row r="1168" spans="1:21">
      <c r="A1168" s="4" t="s">
        <v>1729</v>
      </c>
      <c r="B1168" s="4" t="s">
        <v>39</v>
      </c>
      <c r="C1168" s="5">
        <v>45937.36560185185</v>
      </c>
      <c r="D1168" s="5">
        <v>45937</v>
      </c>
      <c r="E1168" s="6">
        <f>IF(AND(C1168&lt;&gt;"",D1168&lt;&gt;""),D1168-C1168,"")</f>
        <v>0</v>
      </c>
      <c r="F1168" s="4" t="s">
        <v>718</v>
      </c>
      <c r="G1168" s="4" t="s">
        <v>716</v>
      </c>
      <c r="H1168" s="4" t="s">
        <v>190</v>
      </c>
      <c r="I1168" s="4" t="s">
        <v>56</v>
      </c>
      <c r="J1168" s="4">
        <v>0</v>
      </c>
      <c r="K1168" s="4">
        <v>1</v>
      </c>
      <c r="L1168" s="4">
        <f>J1168+K1168</f>
        <v>0</v>
      </c>
      <c r="M1168" s="4" t="s">
        <v>81</v>
      </c>
      <c r="N1168" s="4"/>
      <c r="O1168" s="4">
        <v>1</v>
      </c>
      <c r="P1168" s="4" t="s">
        <v>135</v>
      </c>
      <c r="Q1168" s="4" t="s">
        <v>44</v>
      </c>
      <c r="R1168" s="7">
        <v>495000</v>
      </c>
      <c r="S1168" s="7">
        <v>123750</v>
      </c>
      <c r="T1168" s="7">
        <f>R1168-S1168</f>
        <v>0</v>
      </c>
      <c r="U1168" s="7">
        <f>T1168*O1168</f>
        <v>0</v>
      </c>
    </row>
    <row r="1169" spans="1:21">
      <c r="A1169" s="4" t="s">
        <v>1729</v>
      </c>
      <c r="B1169" s="4" t="s">
        <v>39</v>
      </c>
      <c r="C1169" s="5">
        <v>45937.36560185185</v>
      </c>
      <c r="D1169" s="5">
        <v>45937</v>
      </c>
      <c r="E1169" s="6">
        <f>IF(AND(C1169&lt;&gt;"",D1169&lt;&gt;""),D1169-C1169,"")</f>
        <v>0</v>
      </c>
      <c r="F1169" s="4" t="s">
        <v>718</v>
      </c>
      <c r="G1169" s="4" t="s">
        <v>716</v>
      </c>
      <c r="H1169" s="4" t="s">
        <v>190</v>
      </c>
      <c r="I1169" s="4" t="s">
        <v>56</v>
      </c>
      <c r="J1169" s="4">
        <v>2</v>
      </c>
      <c r="K1169" s="4">
        <v>0</v>
      </c>
      <c r="L1169" s="4">
        <f>J1169+K1169</f>
        <v>0</v>
      </c>
      <c r="M1169" s="4" t="s">
        <v>80</v>
      </c>
      <c r="N1169" s="4"/>
      <c r="O1169" s="4">
        <v>2</v>
      </c>
      <c r="P1169" s="4" t="s">
        <v>135</v>
      </c>
      <c r="Q1169" s="4" t="s">
        <v>44</v>
      </c>
      <c r="R1169" s="7">
        <v>610000</v>
      </c>
      <c r="S1169" s="7">
        <v>152500</v>
      </c>
      <c r="T1169" s="7">
        <f>R1169-S1169</f>
        <v>0</v>
      </c>
      <c r="U1169" s="7">
        <f>T1169*O1169</f>
        <v>0</v>
      </c>
    </row>
    <row r="1170" spans="1:21">
      <c r="A1170" s="4" t="s">
        <v>1729</v>
      </c>
      <c r="B1170" s="4" t="s">
        <v>39</v>
      </c>
      <c r="C1170" s="5">
        <v>45937.36560185185</v>
      </c>
      <c r="D1170" s="5">
        <v>45937</v>
      </c>
      <c r="E1170" s="6">
        <f>IF(AND(C1170&lt;&gt;"",D1170&lt;&gt;""),D1170-C1170,"")</f>
        <v>0</v>
      </c>
      <c r="F1170" s="4" t="s">
        <v>718</v>
      </c>
      <c r="G1170" s="4" t="s">
        <v>716</v>
      </c>
      <c r="H1170" s="4" t="s">
        <v>190</v>
      </c>
      <c r="I1170" s="4" t="s">
        <v>56</v>
      </c>
      <c r="J1170" s="4">
        <v>2</v>
      </c>
      <c r="K1170" s="4">
        <v>0</v>
      </c>
      <c r="L1170" s="4">
        <f>J1170+K1170</f>
        <v>0</v>
      </c>
      <c r="M1170" s="4" t="s">
        <v>42</v>
      </c>
      <c r="N1170" s="4"/>
      <c r="O1170" s="4">
        <v>2</v>
      </c>
      <c r="P1170" s="4" t="s">
        <v>135</v>
      </c>
      <c r="Q1170" s="4" t="s">
        <v>44</v>
      </c>
      <c r="R1170" s="7">
        <v>-370000</v>
      </c>
      <c r="S1170" s="7">
        <v>0</v>
      </c>
      <c r="T1170" s="7">
        <f>R1170-S1170</f>
        <v>0</v>
      </c>
      <c r="U1170" s="7">
        <f>T1170*O1170</f>
        <v>0</v>
      </c>
    </row>
    <row r="1171" spans="1:21">
      <c r="A1171" s="4" t="s">
        <v>1729</v>
      </c>
      <c r="B1171" s="4" t="s">
        <v>39</v>
      </c>
      <c r="C1171" s="5">
        <v>45937.36560185185</v>
      </c>
      <c r="D1171" s="5">
        <v>45937</v>
      </c>
      <c r="E1171" s="6">
        <f>IF(AND(C1171&lt;&gt;"",D1171&lt;&gt;""),D1171-C1171,"")</f>
        <v>0</v>
      </c>
      <c r="F1171" s="4" t="s">
        <v>718</v>
      </c>
      <c r="G1171" s="4" t="s">
        <v>716</v>
      </c>
      <c r="H1171" s="4" t="s">
        <v>190</v>
      </c>
      <c r="I1171" s="4" t="s">
        <v>56</v>
      </c>
      <c r="J1171" s="4">
        <v>0</v>
      </c>
      <c r="K1171" s="4">
        <v>1</v>
      </c>
      <c r="L1171" s="4">
        <f>J1171+K1171</f>
        <v>0</v>
      </c>
      <c r="M1171" s="4" t="s">
        <v>46</v>
      </c>
      <c r="N1171" s="4"/>
      <c r="O1171" s="4">
        <v>1</v>
      </c>
      <c r="P1171" s="4" t="s">
        <v>135</v>
      </c>
      <c r="Q1171" s="4" t="s">
        <v>44</v>
      </c>
      <c r="R1171" s="7">
        <v>-325000</v>
      </c>
      <c r="S1171" s="7">
        <v>0</v>
      </c>
      <c r="T1171" s="7">
        <f>R1171-S1171</f>
        <v>0</v>
      </c>
      <c r="U1171" s="7">
        <f>T1171*O1171</f>
        <v>0</v>
      </c>
    </row>
    <row r="1172" spans="1:21">
      <c r="A1172" s="4" t="s">
        <v>1731</v>
      </c>
      <c r="B1172" s="4" t="s">
        <v>39</v>
      </c>
      <c r="C1172" s="5">
        <v>45937.36680555555</v>
      </c>
      <c r="D1172" s="5">
        <v>45937</v>
      </c>
      <c r="E1172" s="6">
        <f>IF(AND(C1172&lt;&gt;"",D1172&lt;&gt;""),D1172-C1172,"")</f>
        <v>0</v>
      </c>
      <c r="F1172" s="4" t="s">
        <v>1663</v>
      </c>
      <c r="G1172" s="4" t="s">
        <v>1664</v>
      </c>
      <c r="H1172" s="4" t="s">
        <v>190</v>
      </c>
      <c r="I1172" s="4" t="s">
        <v>56</v>
      </c>
      <c r="J1172" s="4">
        <v>1</v>
      </c>
      <c r="K1172" s="4">
        <v>0</v>
      </c>
      <c r="L1172" s="4">
        <f>J1172+K1172</f>
        <v>0</v>
      </c>
      <c r="M1172" s="4" t="s">
        <v>42</v>
      </c>
      <c r="N1172" s="4"/>
      <c r="O1172" s="4">
        <v>1</v>
      </c>
      <c r="P1172" s="4" t="s">
        <v>135</v>
      </c>
      <c r="Q1172" s="4" t="s">
        <v>44</v>
      </c>
      <c r="R1172" s="7">
        <v>370000</v>
      </c>
      <c r="S1172" s="7">
        <v>0</v>
      </c>
      <c r="T1172" s="7">
        <f>R1172-S1172</f>
        <v>0</v>
      </c>
      <c r="U1172" s="7">
        <f>T1172*O1172</f>
        <v>0</v>
      </c>
    </row>
    <row r="1173" spans="1:21">
      <c r="A1173" s="4" t="s">
        <v>1731</v>
      </c>
      <c r="B1173" s="4" t="s">
        <v>39</v>
      </c>
      <c r="C1173" s="5">
        <v>45937.36680555555</v>
      </c>
      <c r="D1173" s="5">
        <v>45937</v>
      </c>
      <c r="E1173" s="6">
        <f>IF(AND(C1173&lt;&gt;"",D1173&lt;&gt;""),D1173-C1173,"")</f>
        <v>0</v>
      </c>
      <c r="F1173" s="4" t="s">
        <v>1663</v>
      </c>
      <c r="G1173" s="4" t="s">
        <v>1664</v>
      </c>
      <c r="H1173" s="4" t="s">
        <v>190</v>
      </c>
      <c r="I1173" s="4" t="s">
        <v>56</v>
      </c>
      <c r="J1173" s="4">
        <v>0</v>
      </c>
      <c r="K1173" s="4">
        <v>0</v>
      </c>
      <c r="L1173" s="4">
        <f>J1173+K1173</f>
        <v>0</v>
      </c>
      <c r="M1173" s="4" t="s">
        <v>370</v>
      </c>
      <c r="N1173" s="4"/>
      <c r="O1173" s="4">
        <v>1</v>
      </c>
      <c r="P1173" s="4" t="s">
        <v>135</v>
      </c>
      <c r="Q1173" s="4" t="s">
        <v>44</v>
      </c>
      <c r="R1173" s="7">
        <v>240000</v>
      </c>
      <c r="S1173" s="7">
        <v>0</v>
      </c>
      <c r="T1173" s="7">
        <f>R1173-S1173</f>
        <v>0</v>
      </c>
      <c r="U1173" s="7">
        <f>T1173*O1173</f>
        <v>0</v>
      </c>
    </row>
    <row r="1174" spans="1:21">
      <c r="A1174" s="4" t="s">
        <v>1731</v>
      </c>
      <c r="B1174" s="4" t="s">
        <v>39</v>
      </c>
      <c r="C1174" s="5">
        <v>45937.36680555555</v>
      </c>
      <c r="D1174" s="5">
        <v>45937</v>
      </c>
      <c r="E1174" s="6">
        <f>IF(AND(C1174&lt;&gt;"",D1174&lt;&gt;""),D1174-C1174,"")</f>
        <v>0</v>
      </c>
      <c r="F1174" s="4" t="s">
        <v>1663</v>
      </c>
      <c r="G1174" s="4" t="s">
        <v>1664</v>
      </c>
      <c r="H1174" s="4" t="s">
        <v>190</v>
      </c>
      <c r="I1174" s="4" t="s">
        <v>56</v>
      </c>
      <c r="J1174" s="4">
        <v>-1</v>
      </c>
      <c r="K1174" s="4">
        <v>0</v>
      </c>
      <c r="L1174" s="4">
        <f>J1174+K1174</f>
        <v>0</v>
      </c>
      <c r="M1174" s="4" t="s">
        <v>80</v>
      </c>
      <c r="N1174" s="4"/>
      <c r="O1174" s="4">
        <v>-1</v>
      </c>
      <c r="P1174" s="4" t="s">
        <v>135</v>
      </c>
      <c r="Q1174" s="4" t="s">
        <v>44</v>
      </c>
      <c r="R1174" s="7">
        <v>610000</v>
      </c>
      <c r="S1174" s="7">
        <v>0</v>
      </c>
      <c r="T1174" s="7">
        <f>R1174-S1174</f>
        <v>0</v>
      </c>
      <c r="U1174" s="7">
        <f>T1174*O1174</f>
        <v>0</v>
      </c>
    </row>
    <row r="1175" spans="1:21">
      <c r="A1175" s="4" t="s">
        <v>1732</v>
      </c>
      <c r="B1175" s="4" t="s">
        <v>48</v>
      </c>
      <c r="C1175" s="5">
        <v>45937.39202546296</v>
      </c>
      <c r="D1175" s="5">
        <v>45961</v>
      </c>
      <c r="E1175" s="6">
        <f>IF(AND(C1175&lt;&gt;"",D1175&lt;&gt;""),D1175-C1175,"")</f>
        <v>0</v>
      </c>
      <c r="F1175" s="4" t="s">
        <v>1733</v>
      </c>
      <c r="G1175" s="4" t="s">
        <v>1734</v>
      </c>
      <c r="H1175" s="4" t="s">
        <v>32</v>
      </c>
      <c r="I1175" s="4" t="s">
        <v>33</v>
      </c>
      <c r="J1175" s="4">
        <v>2</v>
      </c>
      <c r="K1175" s="4">
        <v>0</v>
      </c>
      <c r="L1175" s="4">
        <f>J1175+K1175</f>
        <v>0</v>
      </c>
      <c r="M1175" s="4"/>
      <c r="N1175" s="4"/>
      <c r="O1175" s="4">
        <v>0</v>
      </c>
      <c r="P1175" s="4"/>
      <c r="Q1175" s="4"/>
      <c r="R1175" s="7">
        <v>0</v>
      </c>
      <c r="S1175" s="7">
        <v>0</v>
      </c>
      <c r="T1175" s="7">
        <f>R1175-S1175</f>
        <v>0</v>
      </c>
      <c r="U1175" s="7">
        <f>T1175*O1175</f>
        <v>0</v>
      </c>
    </row>
    <row r="1176" spans="1:21">
      <c r="A1176" s="4" t="s">
        <v>1735</v>
      </c>
      <c r="B1176" s="4" t="s">
        <v>48</v>
      </c>
      <c r="C1176" s="5">
        <v>45937.39248842592</v>
      </c>
      <c r="D1176" s="5">
        <v>45961</v>
      </c>
      <c r="E1176" s="6">
        <f>IF(AND(C1176&lt;&gt;"",D1176&lt;&gt;""),D1176-C1176,"")</f>
        <v>0</v>
      </c>
      <c r="F1176" s="4" t="s">
        <v>1733</v>
      </c>
      <c r="G1176" s="4" t="s">
        <v>1736</v>
      </c>
      <c r="H1176" s="4" t="s">
        <v>32</v>
      </c>
      <c r="I1176" s="4" t="s">
        <v>33</v>
      </c>
      <c r="J1176" s="4">
        <v>2</v>
      </c>
      <c r="K1176" s="4">
        <v>0</v>
      </c>
      <c r="L1176" s="4">
        <f>J1176+K1176</f>
        <v>0</v>
      </c>
      <c r="M1176" s="4"/>
      <c r="N1176" s="4"/>
      <c r="O1176" s="4">
        <v>0</v>
      </c>
      <c r="P1176" s="4"/>
      <c r="Q1176" s="4"/>
      <c r="R1176" s="7">
        <v>0</v>
      </c>
      <c r="S1176" s="7">
        <v>0</v>
      </c>
      <c r="T1176" s="7">
        <f>R1176-S1176</f>
        <v>0</v>
      </c>
      <c r="U1176" s="7">
        <f>T1176*O1176</f>
        <v>0</v>
      </c>
    </row>
    <row r="1177" spans="1:21">
      <c r="A1177" s="4" t="s">
        <v>1737</v>
      </c>
      <c r="B1177" s="4" t="s">
        <v>48</v>
      </c>
      <c r="C1177" s="5">
        <v>45937.39271990741</v>
      </c>
      <c r="D1177" s="5">
        <v>45961</v>
      </c>
      <c r="E1177" s="6">
        <f>IF(AND(C1177&lt;&gt;"",D1177&lt;&gt;""),D1177-C1177,"")</f>
        <v>0</v>
      </c>
      <c r="F1177" s="4" t="s">
        <v>1733</v>
      </c>
      <c r="G1177" s="4" t="s">
        <v>1738</v>
      </c>
      <c r="H1177" s="4" t="s">
        <v>32</v>
      </c>
      <c r="I1177" s="4" t="s">
        <v>33</v>
      </c>
      <c r="J1177" s="4">
        <v>6</v>
      </c>
      <c r="K1177" s="4">
        <v>0</v>
      </c>
      <c r="L1177" s="4">
        <f>J1177+K1177</f>
        <v>0</v>
      </c>
      <c r="M1177" s="4"/>
      <c r="N1177" s="4"/>
      <c r="O1177" s="4">
        <v>0</v>
      </c>
      <c r="P1177" s="4"/>
      <c r="Q1177" s="4"/>
      <c r="R1177" s="7">
        <v>0</v>
      </c>
      <c r="S1177" s="7">
        <v>0</v>
      </c>
      <c r="T1177" s="7">
        <f>R1177-S1177</f>
        <v>0</v>
      </c>
      <c r="U1177" s="7">
        <f>T1177*O1177</f>
        <v>0</v>
      </c>
    </row>
    <row r="1178" spans="1:21">
      <c r="A1178" s="4" t="s">
        <v>1739</v>
      </c>
      <c r="B1178" s="4" t="s">
        <v>39</v>
      </c>
      <c r="C1178" s="5">
        <v>45937.39540509259</v>
      </c>
      <c r="D1178" s="5">
        <v>45937</v>
      </c>
      <c r="E1178" s="6">
        <f>IF(AND(C1178&lt;&gt;"",D1178&lt;&gt;""),D1178-C1178,"")</f>
        <v>0</v>
      </c>
      <c r="F1178" s="4" t="s">
        <v>1229</v>
      </c>
      <c r="G1178" s="4"/>
      <c r="H1178" s="4"/>
      <c r="I1178" s="4" t="s">
        <v>56</v>
      </c>
      <c r="J1178" s="4">
        <v>0</v>
      </c>
      <c r="K1178" s="4">
        <v>1</v>
      </c>
      <c r="L1178" s="4">
        <f>J1178+K1178</f>
        <v>0</v>
      </c>
      <c r="M1178" s="4" t="s">
        <v>46</v>
      </c>
      <c r="N1178" s="4"/>
      <c r="O1178" s="4">
        <v>1</v>
      </c>
      <c r="P1178" s="4" t="s">
        <v>135</v>
      </c>
      <c r="Q1178" s="4" t="s">
        <v>44</v>
      </c>
      <c r="R1178" s="7">
        <v>325000</v>
      </c>
      <c r="S1178" s="7">
        <v>0</v>
      </c>
      <c r="T1178" s="7">
        <f>R1178-S1178</f>
        <v>0</v>
      </c>
      <c r="U1178" s="7">
        <f>T1178*O1178</f>
        <v>0</v>
      </c>
    </row>
    <row r="1179" spans="1:21">
      <c r="A1179" s="4" t="s">
        <v>1740</v>
      </c>
      <c r="B1179" s="4" t="s">
        <v>39</v>
      </c>
      <c r="C1179" s="5">
        <v>45937.39930555555</v>
      </c>
      <c r="D1179" s="5">
        <v>45937</v>
      </c>
      <c r="E1179" s="6">
        <f>IF(AND(C1179&lt;&gt;"",D1179&lt;&gt;""),D1179-C1179,"")</f>
        <v>0</v>
      </c>
      <c r="F1179" s="4" t="s">
        <v>399</v>
      </c>
      <c r="G1179" s="4" t="s">
        <v>400</v>
      </c>
      <c r="H1179" s="4" t="s">
        <v>32</v>
      </c>
      <c r="I1179" s="4" t="s">
        <v>33</v>
      </c>
      <c r="J1179" s="4">
        <v>0</v>
      </c>
      <c r="K1179" s="4">
        <v>0</v>
      </c>
      <c r="L1179" s="4">
        <f>J1179+K1179</f>
        <v>0</v>
      </c>
      <c r="M1179" s="4" t="s">
        <v>1741</v>
      </c>
      <c r="N1179" s="4"/>
      <c r="O1179" s="4">
        <v>2</v>
      </c>
      <c r="P1179" s="4" t="s">
        <v>43</v>
      </c>
      <c r="Q1179" s="4"/>
      <c r="R1179" s="7">
        <v>48000</v>
      </c>
      <c r="S1179" s="7">
        <v>0</v>
      </c>
      <c r="T1179" s="7">
        <f>R1179-S1179</f>
        <v>0</v>
      </c>
      <c r="U1179" s="7">
        <f>T1179*O1179</f>
        <v>0</v>
      </c>
    </row>
    <row r="1180" spans="1:21">
      <c r="A1180" s="4" t="s">
        <v>1742</v>
      </c>
      <c r="B1180" s="4" t="s">
        <v>48</v>
      </c>
      <c r="C1180" s="5">
        <v>45937.4168287037</v>
      </c>
      <c r="D1180" s="5">
        <v>45961</v>
      </c>
      <c r="E1180" s="6">
        <f>IF(AND(C1180&lt;&gt;"",D1180&lt;&gt;""),D1180-C1180,"")</f>
        <v>0</v>
      </c>
      <c r="F1180" s="4" t="s">
        <v>1743</v>
      </c>
      <c r="G1180" s="4" t="s">
        <v>1744</v>
      </c>
      <c r="H1180" s="4" t="s">
        <v>32</v>
      </c>
      <c r="I1180" s="4" t="s">
        <v>33</v>
      </c>
      <c r="J1180" s="4">
        <v>1</v>
      </c>
      <c r="K1180" s="4">
        <v>0</v>
      </c>
      <c r="L1180" s="4">
        <f>J1180+K1180</f>
        <v>0</v>
      </c>
      <c r="M1180" s="4"/>
      <c r="N1180" s="4"/>
      <c r="O1180" s="4">
        <v>0</v>
      </c>
      <c r="P1180" s="4"/>
      <c r="Q1180" s="4"/>
      <c r="R1180" s="7">
        <v>0</v>
      </c>
      <c r="S1180" s="7">
        <v>0</v>
      </c>
      <c r="T1180" s="7">
        <f>R1180-S1180</f>
        <v>0</v>
      </c>
      <c r="U1180" s="7">
        <f>T1180*O1180</f>
        <v>0</v>
      </c>
    </row>
    <row r="1181" spans="1:21">
      <c r="A1181" s="4" t="s">
        <v>1745</v>
      </c>
      <c r="B1181" s="4" t="s">
        <v>48</v>
      </c>
      <c r="C1181" s="5">
        <v>45937.41782407407</v>
      </c>
      <c r="D1181" s="5">
        <v>45961</v>
      </c>
      <c r="E1181" s="6">
        <f>IF(AND(C1181&lt;&gt;"",D1181&lt;&gt;""),D1181-C1181,"")</f>
        <v>0</v>
      </c>
      <c r="F1181" s="4" t="s">
        <v>1743</v>
      </c>
      <c r="G1181" s="4" t="s">
        <v>1746</v>
      </c>
      <c r="H1181" s="4" t="s">
        <v>32</v>
      </c>
      <c r="I1181" s="4" t="s">
        <v>33</v>
      </c>
      <c r="J1181" s="4">
        <v>1</v>
      </c>
      <c r="K1181" s="4">
        <v>0</v>
      </c>
      <c r="L1181" s="4">
        <f>J1181+K1181</f>
        <v>0</v>
      </c>
      <c r="M1181" s="4"/>
      <c r="N1181" s="4"/>
      <c r="O1181" s="4">
        <v>0</v>
      </c>
      <c r="P1181" s="4"/>
      <c r="Q1181" s="4"/>
      <c r="R1181" s="7">
        <v>0</v>
      </c>
      <c r="S1181" s="7">
        <v>0</v>
      </c>
      <c r="T1181" s="7">
        <f>R1181-S1181</f>
        <v>0</v>
      </c>
      <c r="U1181" s="7">
        <f>T1181*O1181</f>
        <v>0</v>
      </c>
    </row>
    <row r="1182" spans="1:21">
      <c r="A1182" s="4" t="s">
        <v>1747</v>
      </c>
      <c r="B1182" s="4" t="s">
        <v>48</v>
      </c>
      <c r="C1182" s="5">
        <v>45937.48868055556</v>
      </c>
      <c r="D1182" s="5">
        <v>45961</v>
      </c>
      <c r="E1182" s="6">
        <f>IF(AND(C1182&lt;&gt;"",D1182&lt;&gt;""),D1182-C1182,"")</f>
        <v>0</v>
      </c>
      <c r="F1182" s="4" t="s">
        <v>1748</v>
      </c>
      <c r="G1182" s="4" t="s">
        <v>1749</v>
      </c>
      <c r="H1182" s="4" t="s">
        <v>32</v>
      </c>
      <c r="I1182" s="4" t="s">
        <v>33</v>
      </c>
      <c r="J1182" s="4">
        <v>1</v>
      </c>
      <c r="K1182" s="4">
        <v>0</v>
      </c>
      <c r="L1182" s="4">
        <f>J1182+K1182</f>
        <v>0</v>
      </c>
      <c r="M1182" s="4"/>
      <c r="N1182" s="4"/>
      <c r="O1182" s="4">
        <v>0</v>
      </c>
      <c r="P1182" s="4"/>
      <c r="Q1182" s="4"/>
      <c r="R1182" s="7">
        <v>0</v>
      </c>
      <c r="S1182" s="7">
        <v>0</v>
      </c>
      <c r="T1182" s="7">
        <f>R1182-S1182</f>
        <v>0</v>
      </c>
      <c r="U1182" s="7">
        <f>T1182*O1182</f>
        <v>0</v>
      </c>
    </row>
    <row r="1183" spans="1:21">
      <c r="A1183" s="4" t="s">
        <v>1750</v>
      </c>
      <c r="B1183" s="4" t="s">
        <v>29</v>
      </c>
      <c r="C1183" s="5">
        <v>45937.54840277778</v>
      </c>
      <c r="D1183" s="5">
        <v>45961</v>
      </c>
      <c r="E1183" s="6">
        <f>IF(AND(C1183&lt;&gt;"",D1183&lt;&gt;""),D1183-C1183,"")</f>
        <v>0</v>
      </c>
      <c r="F1183" s="4" t="s">
        <v>307</v>
      </c>
      <c r="G1183" s="4" t="s">
        <v>308</v>
      </c>
      <c r="H1183" s="4" t="s">
        <v>190</v>
      </c>
      <c r="I1183" s="4" t="s">
        <v>56</v>
      </c>
      <c r="J1183" s="4">
        <v>1</v>
      </c>
      <c r="K1183" s="4">
        <v>0</v>
      </c>
      <c r="L1183" s="4">
        <f>J1183+K1183</f>
        <v>0</v>
      </c>
      <c r="M1183" s="4"/>
      <c r="N1183" s="4"/>
      <c r="O1183" s="4">
        <v>0</v>
      </c>
      <c r="P1183" s="4"/>
      <c r="Q1183" s="4"/>
      <c r="R1183" s="7">
        <v>0</v>
      </c>
      <c r="S1183" s="7">
        <v>0</v>
      </c>
      <c r="T1183" s="7">
        <f>R1183-S1183</f>
        <v>0</v>
      </c>
      <c r="U1183" s="7">
        <f>T1183*O1183</f>
        <v>0</v>
      </c>
    </row>
    <row r="1184" spans="1:21">
      <c r="A1184" s="4" t="s">
        <v>1751</v>
      </c>
      <c r="B1184" s="4" t="s">
        <v>29</v>
      </c>
      <c r="C1184" s="5">
        <v>45937.54842592592</v>
      </c>
      <c r="D1184" s="5">
        <v>45961</v>
      </c>
      <c r="E1184" s="6">
        <f>IF(AND(C1184&lt;&gt;"",D1184&lt;&gt;""),D1184-C1184,"")</f>
        <v>0</v>
      </c>
      <c r="F1184" s="4" t="s">
        <v>307</v>
      </c>
      <c r="G1184" s="4" t="s">
        <v>308</v>
      </c>
      <c r="H1184" s="4" t="s">
        <v>190</v>
      </c>
      <c r="I1184" s="4" t="s">
        <v>56</v>
      </c>
      <c r="J1184" s="4">
        <v>1</v>
      </c>
      <c r="K1184" s="4">
        <v>0</v>
      </c>
      <c r="L1184" s="4">
        <f>J1184+K1184</f>
        <v>0</v>
      </c>
      <c r="M1184" s="4"/>
      <c r="N1184" s="4"/>
      <c r="O1184" s="4">
        <v>0</v>
      </c>
      <c r="P1184" s="4"/>
      <c r="Q1184" s="4"/>
      <c r="R1184" s="7">
        <v>0</v>
      </c>
      <c r="S1184" s="7">
        <v>0</v>
      </c>
      <c r="T1184" s="7">
        <f>R1184-S1184</f>
        <v>0</v>
      </c>
      <c r="U1184" s="7">
        <f>T1184*O1184</f>
        <v>0</v>
      </c>
    </row>
    <row r="1185" spans="1:21">
      <c r="A1185" s="4" t="s">
        <v>1752</v>
      </c>
      <c r="B1185" s="4" t="s">
        <v>39</v>
      </c>
      <c r="C1185" s="5">
        <v>45937.55018518519</v>
      </c>
      <c r="D1185" s="5">
        <v>45937</v>
      </c>
      <c r="E1185" s="6">
        <f>IF(AND(C1185&lt;&gt;"",D1185&lt;&gt;""),D1185-C1185,"")</f>
        <v>0</v>
      </c>
      <c r="F1185" s="4" t="s">
        <v>1753</v>
      </c>
      <c r="G1185" s="4" t="s">
        <v>1754</v>
      </c>
      <c r="H1185" s="4" t="s">
        <v>177</v>
      </c>
      <c r="I1185" s="4" t="s">
        <v>56</v>
      </c>
      <c r="J1185" s="4">
        <v>0</v>
      </c>
      <c r="K1185" s="4">
        <v>0</v>
      </c>
      <c r="L1185" s="4">
        <f>J1185+K1185</f>
        <v>0</v>
      </c>
      <c r="M1185" s="4" t="s">
        <v>370</v>
      </c>
      <c r="N1185" s="4"/>
      <c r="O1185" s="4">
        <v>1</v>
      </c>
      <c r="P1185" s="4" t="s">
        <v>135</v>
      </c>
      <c r="Q1185" s="4"/>
      <c r="R1185" s="7">
        <v>500000</v>
      </c>
      <c r="S1185" s="7">
        <v>0</v>
      </c>
      <c r="T1185" s="7">
        <f>R1185-S1185</f>
        <v>0</v>
      </c>
      <c r="U1185" s="7">
        <f>T1185*O1185</f>
        <v>0</v>
      </c>
    </row>
    <row r="1186" spans="1:21">
      <c r="A1186" s="4" t="s">
        <v>1755</v>
      </c>
      <c r="B1186" s="4" t="s">
        <v>39</v>
      </c>
      <c r="C1186" s="5">
        <v>45937.55409722222</v>
      </c>
      <c r="D1186" s="5">
        <v>45937</v>
      </c>
      <c r="E1186" s="6">
        <f>IF(AND(C1186&lt;&gt;"",D1186&lt;&gt;""),D1186-C1186,"")</f>
        <v>0</v>
      </c>
      <c r="F1186" s="4" t="s">
        <v>1756</v>
      </c>
      <c r="G1186" s="4" t="s">
        <v>1757</v>
      </c>
      <c r="H1186" s="4" t="s">
        <v>32</v>
      </c>
      <c r="I1186" s="4" t="s">
        <v>33</v>
      </c>
      <c r="J1186" s="4">
        <v>0</v>
      </c>
      <c r="K1186" s="4">
        <v>0</v>
      </c>
      <c r="L1186" s="4">
        <f>J1186+K1186</f>
        <v>0</v>
      </c>
      <c r="M1186" s="4" t="s">
        <v>370</v>
      </c>
      <c r="N1186" s="4"/>
      <c r="O1186" s="4">
        <v>1</v>
      </c>
      <c r="P1186" s="4" t="s">
        <v>135</v>
      </c>
      <c r="Q1186" s="4"/>
      <c r="R1186" s="7">
        <v>500000</v>
      </c>
      <c r="S1186" s="7">
        <v>0</v>
      </c>
      <c r="T1186" s="7">
        <f>R1186-S1186</f>
        <v>0</v>
      </c>
      <c r="U1186" s="7">
        <f>T1186*O1186</f>
        <v>0</v>
      </c>
    </row>
    <row r="1187" spans="1:21">
      <c r="A1187" s="4" t="s">
        <v>1758</v>
      </c>
      <c r="B1187" s="4" t="s">
        <v>39</v>
      </c>
      <c r="C1187" s="5">
        <v>45937.56927083333</v>
      </c>
      <c r="D1187" s="5">
        <v>45937</v>
      </c>
      <c r="E1187" s="6">
        <f>IF(AND(C1187&lt;&gt;"",D1187&lt;&gt;""),D1187-C1187,"")</f>
        <v>0</v>
      </c>
      <c r="F1187" s="4" t="s">
        <v>1759</v>
      </c>
      <c r="G1187" s="4" t="s">
        <v>1760</v>
      </c>
      <c r="H1187" s="4" t="s">
        <v>177</v>
      </c>
      <c r="I1187" s="4" t="s">
        <v>56</v>
      </c>
      <c r="J1187" s="4">
        <v>0</v>
      </c>
      <c r="K1187" s="4">
        <v>0</v>
      </c>
      <c r="L1187" s="4">
        <f>J1187+K1187</f>
        <v>0</v>
      </c>
      <c r="M1187" s="4" t="s">
        <v>370</v>
      </c>
      <c r="N1187" s="4"/>
      <c r="O1187" s="4">
        <v>1</v>
      </c>
      <c r="P1187" s="4" t="s">
        <v>135</v>
      </c>
      <c r="Q1187" s="4"/>
      <c r="R1187" s="7">
        <v>500000</v>
      </c>
      <c r="S1187" s="7">
        <v>0</v>
      </c>
      <c r="T1187" s="7">
        <f>R1187-S1187</f>
        <v>0</v>
      </c>
      <c r="U1187" s="7">
        <f>T1187*O1187</f>
        <v>0</v>
      </c>
    </row>
    <row r="1188" spans="1:21">
      <c r="A1188" s="4" t="s">
        <v>1761</v>
      </c>
      <c r="B1188" s="4" t="s">
        <v>39</v>
      </c>
      <c r="C1188" s="5">
        <v>45937.63677083333</v>
      </c>
      <c r="D1188" s="5">
        <v>45937</v>
      </c>
      <c r="E1188" s="6">
        <f>IF(AND(C1188&lt;&gt;"",D1188&lt;&gt;""),D1188-C1188,"")</f>
        <v>0</v>
      </c>
      <c r="F1188" s="4" t="s">
        <v>30</v>
      </c>
      <c r="G1188" s="4" t="s">
        <v>31</v>
      </c>
      <c r="H1188" s="4" t="s">
        <v>32</v>
      </c>
      <c r="I1188" s="4" t="s">
        <v>33</v>
      </c>
      <c r="J1188" s="4">
        <v>1</v>
      </c>
      <c r="K1188" s="4">
        <v>0</v>
      </c>
      <c r="L1188" s="4">
        <f>J1188+K1188</f>
        <v>0</v>
      </c>
      <c r="M1188" s="4" t="s">
        <v>80</v>
      </c>
      <c r="N1188" s="4"/>
      <c r="O1188" s="4">
        <v>1</v>
      </c>
      <c r="P1188" s="4" t="s">
        <v>135</v>
      </c>
      <c r="Q1188" s="4"/>
      <c r="R1188" s="7">
        <v>610000</v>
      </c>
      <c r="S1188" s="7">
        <v>0</v>
      </c>
      <c r="T1188" s="7">
        <f>R1188-S1188</f>
        <v>0</v>
      </c>
      <c r="U1188" s="7">
        <f>T1188*O1188</f>
        <v>0</v>
      </c>
    </row>
    <row r="1189" spans="1:21">
      <c r="A1189" s="4" t="s">
        <v>1762</v>
      </c>
      <c r="B1189" s="4" t="s">
        <v>39</v>
      </c>
      <c r="C1189" s="5">
        <v>45938.0315625</v>
      </c>
      <c r="D1189" s="5">
        <v>45938</v>
      </c>
      <c r="E1189" s="6">
        <f>IF(AND(C1189&lt;&gt;"",D1189&lt;&gt;""),D1189-C1189,"")</f>
        <v>0</v>
      </c>
      <c r="F1189" s="4" t="s">
        <v>1355</v>
      </c>
      <c r="G1189" s="4" t="s">
        <v>1356</v>
      </c>
      <c r="H1189" s="4" t="s">
        <v>177</v>
      </c>
      <c r="I1189" s="4" t="s">
        <v>56</v>
      </c>
      <c r="J1189" s="4">
        <v>0</v>
      </c>
      <c r="K1189" s="4">
        <v>0</v>
      </c>
      <c r="L1189" s="4">
        <f>J1189+K1189</f>
        <v>0</v>
      </c>
      <c r="M1189" s="4" t="s">
        <v>370</v>
      </c>
      <c r="N1189" s="4"/>
      <c r="O1189" s="4">
        <v>1</v>
      </c>
      <c r="P1189" s="4" t="s">
        <v>135</v>
      </c>
      <c r="Q1189" s="4" t="s">
        <v>44</v>
      </c>
      <c r="R1189" s="7">
        <v>2000000</v>
      </c>
      <c r="S1189" s="7">
        <v>0</v>
      </c>
      <c r="T1189" s="7">
        <f>R1189-S1189</f>
        <v>0</v>
      </c>
      <c r="U1189" s="7">
        <f>T1189*O1189</f>
        <v>0</v>
      </c>
    </row>
    <row r="1190" spans="1:21">
      <c r="A1190" s="4" t="s">
        <v>1763</v>
      </c>
      <c r="B1190" s="4" t="s">
        <v>39</v>
      </c>
      <c r="C1190" s="5">
        <v>45938.03207175926</v>
      </c>
      <c r="D1190" s="5">
        <v>45938</v>
      </c>
      <c r="E1190" s="6">
        <f>IF(AND(C1190&lt;&gt;"",D1190&lt;&gt;""),D1190-C1190,"")</f>
        <v>0</v>
      </c>
      <c r="F1190" s="4" t="s">
        <v>1358</v>
      </c>
      <c r="G1190" s="4" t="s">
        <v>1359</v>
      </c>
      <c r="H1190" s="4" t="s">
        <v>32</v>
      </c>
      <c r="I1190" s="4" t="s">
        <v>33</v>
      </c>
      <c r="J1190" s="4">
        <v>0</v>
      </c>
      <c r="K1190" s="4">
        <v>0</v>
      </c>
      <c r="L1190" s="4">
        <f>J1190+K1190</f>
        <v>0</v>
      </c>
      <c r="M1190" s="4" t="s">
        <v>370</v>
      </c>
      <c r="N1190" s="4"/>
      <c r="O1190" s="4">
        <v>1</v>
      </c>
      <c r="P1190" s="4" t="s">
        <v>135</v>
      </c>
      <c r="Q1190" s="4" t="s">
        <v>44</v>
      </c>
      <c r="R1190" s="7">
        <v>2000000</v>
      </c>
      <c r="S1190" s="7">
        <v>0</v>
      </c>
      <c r="T1190" s="7">
        <f>R1190-S1190</f>
        <v>0</v>
      </c>
      <c r="U1190" s="7">
        <f>T1190*O1190</f>
        <v>0</v>
      </c>
    </row>
    <row r="1191" spans="1:21">
      <c r="A1191" s="4" t="s">
        <v>1764</v>
      </c>
      <c r="B1191" s="4" t="s">
        <v>39</v>
      </c>
      <c r="C1191" s="5">
        <v>45938.03248842592</v>
      </c>
      <c r="D1191" s="5">
        <v>45938</v>
      </c>
      <c r="E1191" s="6">
        <f>IF(AND(C1191&lt;&gt;"",D1191&lt;&gt;""),D1191-C1191,"")</f>
        <v>0</v>
      </c>
      <c r="F1191" s="4" t="s">
        <v>1361</v>
      </c>
      <c r="G1191" s="4" t="s">
        <v>1362</v>
      </c>
      <c r="H1191" s="4" t="s">
        <v>32</v>
      </c>
      <c r="I1191" s="4" t="s">
        <v>33</v>
      </c>
      <c r="J1191" s="4">
        <v>0</v>
      </c>
      <c r="K1191" s="4">
        <v>0</v>
      </c>
      <c r="L1191" s="4">
        <f>J1191+K1191</f>
        <v>0</v>
      </c>
      <c r="M1191" s="4" t="s">
        <v>370</v>
      </c>
      <c r="N1191" s="4"/>
      <c r="O1191" s="4">
        <v>1</v>
      </c>
      <c r="P1191" s="4" t="s">
        <v>135</v>
      </c>
      <c r="Q1191" s="4" t="s">
        <v>44</v>
      </c>
      <c r="R1191" s="7">
        <v>2000000</v>
      </c>
      <c r="S1191" s="7">
        <v>0</v>
      </c>
      <c r="T1191" s="7">
        <f>R1191-S1191</f>
        <v>0</v>
      </c>
      <c r="U1191" s="7">
        <f>T1191*O1191</f>
        <v>0</v>
      </c>
    </row>
    <row r="1192" spans="1:21">
      <c r="A1192" s="4" t="s">
        <v>1765</v>
      </c>
      <c r="B1192" s="4" t="s">
        <v>39</v>
      </c>
      <c r="C1192" s="5">
        <v>45938.03395833333</v>
      </c>
      <c r="D1192" s="5">
        <v>45938</v>
      </c>
      <c r="E1192" s="6">
        <f>IF(AND(C1192&lt;&gt;"",D1192&lt;&gt;""),D1192-C1192,"")</f>
        <v>0</v>
      </c>
      <c r="F1192" s="4" t="s">
        <v>1367</v>
      </c>
      <c r="G1192" s="4" t="s">
        <v>1368</v>
      </c>
      <c r="H1192" s="4" t="s">
        <v>32</v>
      </c>
      <c r="I1192" s="4" t="s">
        <v>33</v>
      </c>
      <c r="J1192" s="4">
        <v>0</v>
      </c>
      <c r="K1192" s="4">
        <v>0</v>
      </c>
      <c r="L1192" s="4">
        <f>J1192+K1192</f>
        <v>0</v>
      </c>
      <c r="M1192" s="4" t="s">
        <v>370</v>
      </c>
      <c r="N1192" s="4"/>
      <c r="O1192" s="4">
        <v>1</v>
      </c>
      <c r="P1192" s="4" t="s">
        <v>43</v>
      </c>
      <c r="Q1192" s="4" t="s">
        <v>44</v>
      </c>
      <c r="R1192" s="7">
        <v>2000000</v>
      </c>
      <c r="S1192" s="7">
        <v>0</v>
      </c>
      <c r="T1192" s="7">
        <f>R1192-S1192</f>
        <v>0</v>
      </c>
      <c r="U1192" s="7">
        <f>T1192*O1192</f>
        <v>0</v>
      </c>
    </row>
    <row r="1193" spans="1:21">
      <c r="A1193" s="4" t="s">
        <v>1766</v>
      </c>
      <c r="B1193" s="4" t="s">
        <v>39</v>
      </c>
      <c r="C1193" s="5">
        <v>45938.03450231482</v>
      </c>
      <c r="D1193" s="5">
        <v>45938</v>
      </c>
      <c r="E1193" s="6">
        <f>IF(AND(C1193&lt;&gt;"",D1193&lt;&gt;""),D1193-C1193,"")</f>
        <v>0</v>
      </c>
      <c r="F1193" s="4" t="s">
        <v>1767</v>
      </c>
      <c r="G1193" s="4" t="s">
        <v>1768</v>
      </c>
      <c r="H1193" s="4" t="s">
        <v>1769</v>
      </c>
      <c r="I1193" s="4" t="s">
        <v>56</v>
      </c>
      <c r="J1193" s="4">
        <v>0</v>
      </c>
      <c r="K1193" s="4">
        <v>0</v>
      </c>
      <c r="L1193" s="4">
        <f>J1193+K1193</f>
        <v>0</v>
      </c>
      <c r="M1193" s="4" t="s">
        <v>370</v>
      </c>
      <c r="N1193" s="4"/>
      <c r="O1193" s="4">
        <v>1</v>
      </c>
      <c r="P1193" s="4" t="s">
        <v>135</v>
      </c>
      <c r="Q1193" s="4" t="s">
        <v>44</v>
      </c>
      <c r="R1193" s="7">
        <v>2000000</v>
      </c>
      <c r="S1193" s="7">
        <v>0</v>
      </c>
      <c r="T1193" s="7">
        <f>R1193-S1193</f>
        <v>0</v>
      </c>
      <c r="U1193" s="7">
        <f>T1193*O1193</f>
        <v>0</v>
      </c>
    </row>
    <row r="1194" spans="1:21">
      <c r="A1194" s="4" t="s">
        <v>1770</v>
      </c>
      <c r="B1194" s="4" t="s">
        <v>39</v>
      </c>
      <c r="C1194" s="5">
        <v>45938.03506944444</v>
      </c>
      <c r="D1194" s="5">
        <v>45938</v>
      </c>
      <c r="E1194" s="6">
        <f>IF(AND(C1194&lt;&gt;"",D1194&lt;&gt;""),D1194-C1194,"")</f>
        <v>0</v>
      </c>
      <c r="F1194" s="4" t="s">
        <v>1771</v>
      </c>
      <c r="G1194" s="4" t="s">
        <v>1772</v>
      </c>
      <c r="H1194" s="4" t="s">
        <v>32</v>
      </c>
      <c r="I1194" s="4" t="s">
        <v>33</v>
      </c>
      <c r="J1194" s="4">
        <v>0</v>
      </c>
      <c r="K1194" s="4">
        <v>0</v>
      </c>
      <c r="L1194" s="4">
        <f>J1194+K1194</f>
        <v>0</v>
      </c>
      <c r="M1194" s="4" t="s">
        <v>370</v>
      </c>
      <c r="N1194" s="4"/>
      <c r="O1194" s="4">
        <v>1</v>
      </c>
      <c r="P1194" s="4" t="s">
        <v>135</v>
      </c>
      <c r="Q1194" s="4" t="s">
        <v>44</v>
      </c>
      <c r="R1194" s="7">
        <v>2000000</v>
      </c>
      <c r="S1194" s="7">
        <v>0</v>
      </c>
      <c r="T1194" s="7">
        <f>R1194-S1194</f>
        <v>0</v>
      </c>
      <c r="U1194" s="7">
        <f>T1194*O1194</f>
        <v>0</v>
      </c>
    </row>
    <row r="1195" spans="1:21">
      <c r="A1195" s="4" t="s">
        <v>1773</v>
      </c>
      <c r="B1195" s="4" t="s">
        <v>39</v>
      </c>
      <c r="C1195" s="5">
        <v>45938.05556712963</v>
      </c>
      <c r="D1195" s="5">
        <v>45938</v>
      </c>
      <c r="E1195" s="6">
        <f>IF(AND(C1195&lt;&gt;"",D1195&lt;&gt;""),D1195-C1195,"")</f>
        <v>0</v>
      </c>
      <c r="F1195" s="4" t="s">
        <v>1358</v>
      </c>
      <c r="G1195" s="4" t="s">
        <v>1359</v>
      </c>
      <c r="H1195" s="4" t="s">
        <v>32</v>
      </c>
      <c r="I1195" s="4" t="s">
        <v>33</v>
      </c>
      <c r="J1195" s="4">
        <v>0</v>
      </c>
      <c r="K1195" s="4">
        <v>0</v>
      </c>
      <c r="L1195" s="4">
        <f>J1195+K1195</f>
        <v>0</v>
      </c>
      <c r="M1195" s="4" t="s">
        <v>1774</v>
      </c>
      <c r="N1195" s="4"/>
      <c r="O1195" s="4">
        <v>2</v>
      </c>
      <c r="P1195" s="4" t="s">
        <v>135</v>
      </c>
      <c r="Q1195" s="4"/>
      <c r="R1195" s="7">
        <v>163000</v>
      </c>
      <c r="S1195" s="7">
        <v>0</v>
      </c>
      <c r="T1195" s="7">
        <f>R1195-S1195</f>
        <v>0</v>
      </c>
      <c r="U1195" s="7">
        <f>T1195*O1195</f>
        <v>0</v>
      </c>
    </row>
    <row r="1196" spans="1:21">
      <c r="A1196" s="4" t="s">
        <v>1773</v>
      </c>
      <c r="B1196" s="4" t="s">
        <v>39</v>
      </c>
      <c r="C1196" s="5">
        <v>45938.05556712963</v>
      </c>
      <c r="D1196" s="5">
        <v>45938</v>
      </c>
      <c r="E1196" s="6">
        <f>IF(AND(C1196&lt;&gt;"",D1196&lt;&gt;""),D1196-C1196,"")</f>
        <v>0</v>
      </c>
      <c r="F1196" s="4" t="s">
        <v>1358</v>
      </c>
      <c r="G1196" s="4" t="s">
        <v>1359</v>
      </c>
      <c r="H1196" s="4" t="s">
        <v>32</v>
      </c>
      <c r="I1196" s="4" t="s">
        <v>33</v>
      </c>
      <c r="J1196" s="4">
        <v>0</v>
      </c>
      <c r="K1196" s="4">
        <v>0</v>
      </c>
      <c r="L1196" s="4">
        <f>J1196+K1196</f>
        <v>0</v>
      </c>
      <c r="M1196" s="4" t="s">
        <v>1775</v>
      </c>
      <c r="N1196" s="4"/>
      <c r="O1196" s="4">
        <v>3</v>
      </c>
      <c r="P1196" s="4" t="s">
        <v>135</v>
      </c>
      <c r="Q1196" s="4"/>
      <c r="R1196" s="7">
        <v>32000</v>
      </c>
      <c r="S1196" s="7">
        <v>0</v>
      </c>
      <c r="T1196" s="7">
        <f>R1196-S1196</f>
        <v>0</v>
      </c>
      <c r="U1196" s="7">
        <f>T1196*O1196</f>
        <v>0</v>
      </c>
    </row>
    <row r="1197" spans="1:21">
      <c r="A1197" s="4" t="s">
        <v>1773</v>
      </c>
      <c r="B1197" s="4" t="s">
        <v>39</v>
      </c>
      <c r="C1197" s="5">
        <v>45938.05556712963</v>
      </c>
      <c r="D1197" s="5">
        <v>45938</v>
      </c>
      <c r="E1197" s="6">
        <f>IF(AND(C1197&lt;&gt;"",D1197&lt;&gt;""),D1197-C1197,"")</f>
        <v>0</v>
      </c>
      <c r="F1197" s="4" t="s">
        <v>1358</v>
      </c>
      <c r="G1197" s="4" t="s">
        <v>1359</v>
      </c>
      <c r="H1197" s="4" t="s">
        <v>32</v>
      </c>
      <c r="I1197" s="4" t="s">
        <v>33</v>
      </c>
      <c r="J1197" s="4">
        <v>0</v>
      </c>
      <c r="K1197" s="4">
        <v>0</v>
      </c>
      <c r="L1197" s="4">
        <f>J1197+K1197</f>
        <v>0</v>
      </c>
      <c r="M1197" s="4" t="s">
        <v>1607</v>
      </c>
      <c r="N1197" s="4"/>
      <c r="O1197" s="4">
        <v>1</v>
      </c>
      <c r="P1197" s="4" t="s">
        <v>135</v>
      </c>
      <c r="Q1197" s="4"/>
      <c r="R1197" s="7">
        <v>122000</v>
      </c>
      <c r="S1197" s="7">
        <v>0</v>
      </c>
      <c r="T1197" s="7">
        <f>R1197-S1197</f>
        <v>0</v>
      </c>
      <c r="U1197" s="7">
        <f>T1197*O1197</f>
        <v>0</v>
      </c>
    </row>
    <row r="1198" spans="1:21">
      <c r="A1198" s="4" t="s">
        <v>1776</v>
      </c>
      <c r="B1198" s="4" t="s">
        <v>39</v>
      </c>
      <c r="C1198" s="5">
        <v>45938.07511574074</v>
      </c>
      <c r="D1198" s="5">
        <v>45938</v>
      </c>
      <c r="E1198" s="6">
        <f>IF(AND(C1198&lt;&gt;"",D1198&lt;&gt;""),D1198-C1198,"")</f>
        <v>0</v>
      </c>
      <c r="F1198" s="4" t="s">
        <v>918</v>
      </c>
      <c r="G1198" s="4" t="s">
        <v>919</v>
      </c>
      <c r="H1198" s="4"/>
      <c r="I1198" s="4" t="s">
        <v>56</v>
      </c>
      <c r="J1198" s="4">
        <v>0</v>
      </c>
      <c r="K1198" s="4">
        <v>0</v>
      </c>
      <c r="L1198" s="4">
        <f>J1198+K1198</f>
        <v>0</v>
      </c>
      <c r="M1198" s="4" t="s">
        <v>1777</v>
      </c>
      <c r="N1198" s="4"/>
      <c r="O1198" s="4">
        <v>1</v>
      </c>
      <c r="P1198" s="4" t="s">
        <v>43</v>
      </c>
      <c r="Q1198" s="4"/>
      <c r="R1198" s="7">
        <v>122000</v>
      </c>
      <c r="S1198" s="7">
        <v>0</v>
      </c>
      <c r="T1198" s="7">
        <f>R1198-S1198</f>
        <v>0</v>
      </c>
      <c r="U1198" s="7">
        <f>T1198*O1198</f>
        <v>0</v>
      </c>
    </row>
    <row r="1199" spans="1:21">
      <c r="A1199" s="4" t="s">
        <v>1776</v>
      </c>
      <c r="B1199" s="4" t="s">
        <v>39</v>
      </c>
      <c r="C1199" s="5">
        <v>45938.07511574074</v>
      </c>
      <c r="D1199" s="5">
        <v>45938</v>
      </c>
      <c r="E1199" s="6">
        <f>IF(AND(C1199&lt;&gt;"",D1199&lt;&gt;""),D1199-C1199,"")</f>
        <v>0</v>
      </c>
      <c r="F1199" s="4" t="s">
        <v>918</v>
      </c>
      <c r="G1199" s="4" t="s">
        <v>919</v>
      </c>
      <c r="H1199" s="4"/>
      <c r="I1199" s="4" t="s">
        <v>56</v>
      </c>
      <c r="J1199" s="4">
        <v>1</v>
      </c>
      <c r="K1199" s="4">
        <v>0</v>
      </c>
      <c r="L1199" s="4">
        <f>J1199+K1199</f>
        <v>0</v>
      </c>
      <c r="M1199" s="4" t="s">
        <v>921</v>
      </c>
      <c r="N1199" s="4" t="s">
        <v>1421</v>
      </c>
      <c r="O1199" s="4">
        <v>1</v>
      </c>
      <c r="P1199" s="4" t="s">
        <v>43</v>
      </c>
      <c r="Q1199" s="4"/>
      <c r="R1199" s="7">
        <v>-61000</v>
      </c>
      <c r="S1199" s="7">
        <v>0</v>
      </c>
      <c r="T1199" s="7">
        <f>R1199-S1199</f>
        <v>0</v>
      </c>
      <c r="U1199" s="7">
        <f>T1199*O1199</f>
        <v>0</v>
      </c>
    </row>
    <row r="1200" spans="1:21">
      <c r="A1200" s="4" t="s">
        <v>1778</v>
      </c>
      <c r="B1200" s="4" t="s">
        <v>48</v>
      </c>
      <c r="C1200" s="5">
        <v>45938.11059027778</v>
      </c>
      <c r="D1200" s="5">
        <v>45961</v>
      </c>
      <c r="E1200" s="6">
        <f>IF(AND(C1200&lt;&gt;"",D1200&lt;&gt;""),D1200-C1200,"")</f>
        <v>0</v>
      </c>
      <c r="F1200" s="4" t="s">
        <v>372</v>
      </c>
      <c r="G1200" s="4" t="s">
        <v>373</v>
      </c>
      <c r="H1200" s="4" t="s">
        <v>32</v>
      </c>
      <c r="I1200" s="4" t="s">
        <v>33</v>
      </c>
      <c r="J1200" s="4">
        <v>3</v>
      </c>
      <c r="K1200" s="4">
        <v>0</v>
      </c>
      <c r="L1200" s="4">
        <f>J1200+K1200</f>
        <v>0</v>
      </c>
      <c r="M1200" s="4"/>
      <c r="N1200" s="4"/>
      <c r="O1200" s="4">
        <v>0</v>
      </c>
      <c r="P1200" s="4"/>
      <c r="Q1200" s="4"/>
      <c r="R1200" s="7">
        <v>0</v>
      </c>
      <c r="S1200" s="7">
        <v>0</v>
      </c>
      <c r="T1200" s="7">
        <f>R1200-S1200</f>
        <v>0</v>
      </c>
      <c r="U1200" s="7">
        <f>T1200*O1200</f>
        <v>0</v>
      </c>
    </row>
    <row r="1201" spans="1:21">
      <c r="A1201" s="4" t="s">
        <v>1779</v>
      </c>
      <c r="B1201" s="4" t="s">
        <v>39</v>
      </c>
      <c r="C1201" s="5">
        <v>45938.13265046296</v>
      </c>
      <c r="D1201" s="5">
        <v>45938</v>
      </c>
      <c r="E1201" s="6">
        <f>IF(AND(C1201&lt;&gt;"",D1201&lt;&gt;""),D1201-C1201,"")</f>
        <v>0</v>
      </c>
      <c r="F1201" s="4" t="s">
        <v>1780</v>
      </c>
      <c r="G1201" s="4" t="s">
        <v>1781</v>
      </c>
      <c r="H1201" s="4" t="s">
        <v>190</v>
      </c>
      <c r="I1201" s="4" t="s">
        <v>56</v>
      </c>
      <c r="J1201" s="4">
        <v>2</v>
      </c>
      <c r="K1201" s="4">
        <v>0</v>
      </c>
      <c r="L1201" s="4">
        <f>J1201+K1201</f>
        <v>0</v>
      </c>
      <c r="M1201" s="4" t="s">
        <v>80</v>
      </c>
      <c r="N1201" s="4"/>
      <c r="O1201" s="4">
        <v>2</v>
      </c>
      <c r="P1201" s="4" t="s">
        <v>135</v>
      </c>
      <c r="Q1201" s="4"/>
      <c r="R1201" s="7">
        <v>610000</v>
      </c>
      <c r="S1201" s="7">
        <v>0</v>
      </c>
      <c r="T1201" s="7">
        <f>R1201-S1201</f>
        <v>0</v>
      </c>
      <c r="U1201" s="7">
        <f>T1201*O1201</f>
        <v>0</v>
      </c>
    </row>
    <row r="1202" spans="1:21">
      <c r="A1202" s="4" t="s">
        <v>1779</v>
      </c>
      <c r="B1202" s="4" t="s">
        <v>39</v>
      </c>
      <c r="C1202" s="5">
        <v>45938.13265046296</v>
      </c>
      <c r="D1202" s="5">
        <v>45938</v>
      </c>
      <c r="E1202" s="6">
        <f>IF(AND(C1202&lt;&gt;"",D1202&lt;&gt;""),D1202-C1202,"")</f>
        <v>0</v>
      </c>
      <c r="F1202" s="4" t="s">
        <v>1780</v>
      </c>
      <c r="G1202" s="4" t="s">
        <v>1781</v>
      </c>
      <c r="H1202" s="4" t="s">
        <v>190</v>
      </c>
      <c r="I1202" s="4" t="s">
        <v>56</v>
      </c>
      <c r="J1202" s="4">
        <v>0</v>
      </c>
      <c r="K1202" s="4">
        <v>1</v>
      </c>
      <c r="L1202" s="4">
        <f>J1202+K1202</f>
        <v>0</v>
      </c>
      <c r="M1202" s="4" t="s">
        <v>81</v>
      </c>
      <c r="N1202" s="4"/>
      <c r="O1202" s="4">
        <v>1</v>
      </c>
      <c r="P1202" s="4" t="s">
        <v>135</v>
      </c>
      <c r="Q1202" s="4"/>
      <c r="R1202" s="7">
        <v>495000</v>
      </c>
      <c r="S1202" s="7">
        <v>0</v>
      </c>
      <c r="T1202" s="7">
        <f>R1202-S1202</f>
        <v>0</v>
      </c>
      <c r="U1202" s="7">
        <f>T1202*O1202</f>
        <v>0</v>
      </c>
    </row>
    <row r="1203" spans="1:21">
      <c r="A1203" s="4" t="s">
        <v>1779</v>
      </c>
      <c r="B1203" s="4" t="s">
        <v>39</v>
      </c>
      <c r="C1203" s="5">
        <v>45938.13265046296</v>
      </c>
      <c r="D1203" s="5">
        <v>45938</v>
      </c>
      <c r="E1203" s="6">
        <f>IF(AND(C1203&lt;&gt;"",D1203&lt;&gt;""),D1203-C1203,"")</f>
        <v>0</v>
      </c>
      <c r="F1203" s="4" t="s">
        <v>1780</v>
      </c>
      <c r="G1203" s="4" t="s">
        <v>1781</v>
      </c>
      <c r="H1203" s="4" t="s">
        <v>190</v>
      </c>
      <c r="I1203" s="4" t="s">
        <v>56</v>
      </c>
      <c r="J1203" s="4">
        <v>0</v>
      </c>
      <c r="K1203" s="4">
        <v>1</v>
      </c>
      <c r="L1203" s="4">
        <f>J1203+K1203</f>
        <v>0</v>
      </c>
      <c r="M1203" s="4" t="s">
        <v>81</v>
      </c>
      <c r="N1203" s="4"/>
      <c r="O1203" s="4">
        <v>1</v>
      </c>
      <c r="P1203" s="4" t="s">
        <v>135</v>
      </c>
      <c r="Q1203" s="4"/>
      <c r="R1203" s="7">
        <v>495000</v>
      </c>
      <c r="S1203" s="7">
        <v>0</v>
      </c>
      <c r="T1203" s="7">
        <f>R1203-S1203</f>
        <v>0</v>
      </c>
      <c r="U1203" s="7">
        <f>T1203*O1203</f>
        <v>0</v>
      </c>
    </row>
    <row r="1204" spans="1:21">
      <c r="A1204" s="4" t="s">
        <v>1779</v>
      </c>
      <c r="B1204" s="4" t="s">
        <v>39</v>
      </c>
      <c r="C1204" s="5">
        <v>45938.13265046296</v>
      </c>
      <c r="D1204" s="5">
        <v>45938</v>
      </c>
      <c r="E1204" s="6">
        <f>IF(AND(C1204&lt;&gt;"",D1204&lt;&gt;""),D1204-C1204,"")</f>
        <v>0</v>
      </c>
      <c r="F1204" s="4" t="s">
        <v>1780</v>
      </c>
      <c r="G1204" s="4" t="s">
        <v>1781</v>
      </c>
      <c r="H1204" s="4" t="s">
        <v>190</v>
      </c>
      <c r="I1204" s="4" t="s">
        <v>56</v>
      </c>
      <c r="J1204" s="4">
        <v>0</v>
      </c>
      <c r="K1204" s="4">
        <v>1</v>
      </c>
      <c r="L1204" s="4">
        <f>J1204+K1204</f>
        <v>0</v>
      </c>
      <c r="M1204" s="4" t="s">
        <v>81</v>
      </c>
      <c r="N1204" s="4"/>
      <c r="O1204" s="4">
        <v>1</v>
      </c>
      <c r="P1204" s="4" t="s">
        <v>135</v>
      </c>
      <c r="Q1204" s="4"/>
      <c r="R1204" s="7">
        <v>495000</v>
      </c>
      <c r="S1204" s="7">
        <v>0</v>
      </c>
      <c r="T1204" s="7">
        <f>R1204-S1204</f>
        <v>0</v>
      </c>
      <c r="U1204" s="7">
        <f>T1204*O1204</f>
        <v>0</v>
      </c>
    </row>
    <row r="1205" spans="1:21">
      <c r="A1205" s="4" t="s">
        <v>1782</v>
      </c>
      <c r="B1205" s="4" t="s">
        <v>39</v>
      </c>
      <c r="C1205" s="5">
        <v>45938.14037037037</v>
      </c>
      <c r="D1205" s="5">
        <v>45938</v>
      </c>
      <c r="E1205" s="6">
        <f>IF(AND(C1205&lt;&gt;"",D1205&lt;&gt;""),D1205-C1205,"")</f>
        <v>0</v>
      </c>
      <c r="F1205" s="4" t="s">
        <v>1783</v>
      </c>
      <c r="G1205" s="4" t="s">
        <v>1784</v>
      </c>
      <c r="H1205" s="4" t="s">
        <v>787</v>
      </c>
      <c r="I1205" s="4" t="s">
        <v>56</v>
      </c>
      <c r="J1205" s="4">
        <v>1</v>
      </c>
      <c r="K1205" s="4">
        <v>0</v>
      </c>
      <c r="L1205" s="4">
        <f>J1205+K1205</f>
        <v>0</v>
      </c>
      <c r="M1205" s="4" t="s">
        <v>80</v>
      </c>
      <c r="N1205" s="4"/>
      <c r="O1205" s="4">
        <v>1</v>
      </c>
      <c r="P1205" s="4" t="s">
        <v>135</v>
      </c>
      <c r="Q1205" s="4"/>
      <c r="R1205" s="7">
        <v>610000</v>
      </c>
      <c r="S1205" s="7">
        <v>0</v>
      </c>
      <c r="T1205" s="7">
        <f>R1205-S1205</f>
        <v>0</v>
      </c>
      <c r="U1205" s="7">
        <f>T1205*O1205</f>
        <v>0</v>
      </c>
    </row>
    <row r="1206" spans="1:21">
      <c r="A1206" s="4" t="s">
        <v>1782</v>
      </c>
      <c r="B1206" s="4" t="s">
        <v>39</v>
      </c>
      <c r="C1206" s="5">
        <v>45938.14037037037</v>
      </c>
      <c r="D1206" s="5">
        <v>45938</v>
      </c>
      <c r="E1206" s="6">
        <f>IF(AND(C1206&lt;&gt;"",D1206&lt;&gt;""),D1206-C1206,"")</f>
        <v>0</v>
      </c>
      <c r="F1206" s="4" t="s">
        <v>1783</v>
      </c>
      <c r="G1206" s="4" t="s">
        <v>1784</v>
      </c>
      <c r="H1206" s="4" t="s">
        <v>787</v>
      </c>
      <c r="I1206" s="4" t="s">
        <v>56</v>
      </c>
      <c r="J1206" s="4">
        <v>1</v>
      </c>
      <c r="K1206" s="4">
        <v>0</v>
      </c>
      <c r="L1206" s="4">
        <f>J1206+K1206</f>
        <v>0</v>
      </c>
      <c r="M1206" s="4" t="s">
        <v>80</v>
      </c>
      <c r="N1206" s="4"/>
      <c r="O1206" s="4">
        <v>1</v>
      </c>
      <c r="P1206" s="4" t="s">
        <v>135</v>
      </c>
      <c r="Q1206" s="4"/>
      <c r="R1206" s="7">
        <v>610000</v>
      </c>
      <c r="S1206" s="7">
        <v>0</v>
      </c>
      <c r="T1206" s="7">
        <f>R1206-S1206</f>
        <v>0</v>
      </c>
      <c r="U1206" s="7">
        <f>T1206*O1206</f>
        <v>0</v>
      </c>
    </row>
    <row r="1207" spans="1:21">
      <c r="A1207" s="4" t="s">
        <v>1782</v>
      </c>
      <c r="B1207" s="4" t="s">
        <v>39</v>
      </c>
      <c r="C1207" s="5">
        <v>45938.14037037037</v>
      </c>
      <c r="D1207" s="5">
        <v>45938</v>
      </c>
      <c r="E1207" s="6">
        <f>IF(AND(C1207&lt;&gt;"",D1207&lt;&gt;""),D1207-C1207,"")</f>
        <v>0</v>
      </c>
      <c r="F1207" s="4" t="s">
        <v>1783</v>
      </c>
      <c r="G1207" s="4" t="s">
        <v>1784</v>
      </c>
      <c r="H1207" s="4" t="s">
        <v>787</v>
      </c>
      <c r="I1207" s="4" t="s">
        <v>56</v>
      </c>
      <c r="J1207" s="4">
        <v>0</v>
      </c>
      <c r="K1207" s="4">
        <v>2</v>
      </c>
      <c r="L1207" s="4">
        <f>J1207+K1207</f>
        <v>0</v>
      </c>
      <c r="M1207" s="4" t="s">
        <v>81</v>
      </c>
      <c r="N1207" s="4"/>
      <c r="O1207" s="4">
        <v>2</v>
      </c>
      <c r="P1207" s="4" t="s">
        <v>135</v>
      </c>
      <c r="Q1207" s="4"/>
      <c r="R1207" s="7">
        <v>495000</v>
      </c>
      <c r="S1207" s="7">
        <v>0</v>
      </c>
      <c r="T1207" s="7">
        <f>R1207-S1207</f>
        <v>0</v>
      </c>
      <c r="U1207" s="7">
        <f>T1207*O1207</f>
        <v>0</v>
      </c>
    </row>
    <row r="1208" spans="1:21">
      <c r="A1208" s="4" t="s">
        <v>1782</v>
      </c>
      <c r="B1208" s="4" t="s">
        <v>39</v>
      </c>
      <c r="C1208" s="5">
        <v>45938.14037037037</v>
      </c>
      <c r="D1208" s="5">
        <v>45938</v>
      </c>
      <c r="E1208" s="6">
        <f>IF(AND(C1208&lt;&gt;"",D1208&lt;&gt;""),D1208-C1208,"")</f>
        <v>0</v>
      </c>
      <c r="F1208" s="4" t="s">
        <v>1783</v>
      </c>
      <c r="G1208" s="4" t="s">
        <v>1784</v>
      </c>
      <c r="H1208" s="4" t="s">
        <v>787</v>
      </c>
      <c r="I1208" s="4" t="s">
        <v>56</v>
      </c>
      <c r="J1208" s="4">
        <v>0</v>
      </c>
      <c r="K1208" s="4">
        <v>2</v>
      </c>
      <c r="L1208" s="4">
        <f>J1208+K1208</f>
        <v>0</v>
      </c>
      <c r="M1208" s="4" t="s">
        <v>46</v>
      </c>
      <c r="N1208" s="4"/>
      <c r="O1208" s="4">
        <v>2</v>
      </c>
      <c r="P1208" s="4" t="s">
        <v>135</v>
      </c>
      <c r="Q1208" s="4"/>
      <c r="R1208" s="7">
        <v>325000</v>
      </c>
      <c r="S1208" s="7">
        <v>0</v>
      </c>
      <c r="T1208" s="7">
        <f>R1208-S1208</f>
        <v>0</v>
      </c>
      <c r="U1208" s="7">
        <f>T1208*O1208</f>
        <v>0</v>
      </c>
    </row>
    <row r="1209" spans="1:21">
      <c r="A1209" s="4" t="s">
        <v>1785</v>
      </c>
      <c r="B1209" s="4" t="s">
        <v>39</v>
      </c>
      <c r="C1209" s="5">
        <v>45938.14539351852</v>
      </c>
      <c r="D1209" s="5">
        <v>45938</v>
      </c>
      <c r="E1209" s="6">
        <f>IF(AND(C1209&lt;&gt;"",D1209&lt;&gt;""),D1209-C1209,"")</f>
        <v>0</v>
      </c>
      <c r="F1209" s="4" t="s">
        <v>1786</v>
      </c>
      <c r="G1209" s="4" t="s">
        <v>1787</v>
      </c>
      <c r="H1209" s="4" t="s">
        <v>190</v>
      </c>
      <c r="I1209" s="4" t="s">
        <v>56</v>
      </c>
      <c r="J1209" s="4">
        <v>1</v>
      </c>
      <c r="K1209" s="4">
        <v>0</v>
      </c>
      <c r="L1209" s="4">
        <f>J1209+K1209</f>
        <v>0</v>
      </c>
      <c r="M1209" s="4" t="s">
        <v>42</v>
      </c>
      <c r="N1209" s="4"/>
      <c r="O1209" s="4">
        <v>1</v>
      </c>
      <c r="P1209" s="4" t="s">
        <v>135</v>
      </c>
      <c r="Q1209" s="4"/>
      <c r="R1209" s="7">
        <v>370000</v>
      </c>
      <c r="S1209" s="7">
        <v>0</v>
      </c>
      <c r="T1209" s="7">
        <f>R1209-S1209</f>
        <v>0</v>
      </c>
      <c r="U1209" s="7">
        <f>T1209*O1209</f>
        <v>0</v>
      </c>
    </row>
    <row r="1210" spans="1:21">
      <c r="A1210" s="4" t="s">
        <v>1785</v>
      </c>
      <c r="B1210" s="4" t="s">
        <v>39</v>
      </c>
      <c r="C1210" s="5">
        <v>45938.14539351852</v>
      </c>
      <c r="D1210" s="5">
        <v>45938</v>
      </c>
      <c r="E1210" s="6">
        <f>IF(AND(C1210&lt;&gt;"",D1210&lt;&gt;""),D1210-C1210,"")</f>
        <v>0</v>
      </c>
      <c r="F1210" s="4" t="s">
        <v>1786</v>
      </c>
      <c r="G1210" s="4" t="s">
        <v>1787</v>
      </c>
      <c r="H1210" s="4" t="s">
        <v>190</v>
      </c>
      <c r="I1210" s="4" t="s">
        <v>56</v>
      </c>
      <c r="J1210" s="4">
        <v>0</v>
      </c>
      <c r="K1210" s="4">
        <v>2</v>
      </c>
      <c r="L1210" s="4">
        <f>J1210+K1210</f>
        <v>0</v>
      </c>
      <c r="M1210" s="4" t="s">
        <v>46</v>
      </c>
      <c r="N1210" s="4"/>
      <c r="O1210" s="4">
        <v>2</v>
      </c>
      <c r="P1210" s="4" t="s">
        <v>135</v>
      </c>
      <c r="Q1210" s="4"/>
      <c r="R1210" s="7">
        <v>325000</v>
      </c>
      <c r="S1210" s="7">
        <v>0</v>
      </c>
      <c r="T1210" s="7">
        <f>R1210-S1210</f>
        <v>0</v>
      </c>
      <c r="U1210" s="7">
        <f>T1210*O1210</f>
        <v>0</v>
      </c>
    </row>
    <row r="1211" spans="1:21">
      <c r="A1211" s="4" t="s">
        <v>1788</v>
      </c>
      <c r="B1211" s="4" t="s">
        <v>39</v>
      </c>
      <c r="C1211" s="5">
        <v>45938.15012731482</v>
      </c>
      <c r="D1211" s="5">
        <v>45938</v>
      </c>
      <c r="E1211" s="6">
        <f>IF(AND(C1211&lt;&gt;"",D1211&lt;&gt;""),D1211-C1211,"")</f>
        <v>0</v>
      </c>
      <c r="F1211" s="4" t="s">
        <v>1789</v>
      </c>
      <c r="G1211" s="4" t="s">
        <v>1790</v>
      </c>
      <c r="H1211" s="4" t="s">
        <v>305</v>
      </c>
      <c r="I1211" s="4" t="s">
        <v>56</v>
      </c>
      <c r="J1211" s="4">
        <v>1</v>
      </c>
      <c r="K1211" s="4">
        <v>0</v>
      </c>
      <c r="L1211" s="4">
        <f>J1211+K1211</f>
        <v>0</v>
      </c>
      <c r="M1211" s="4" t="s">
        <v>42</v>
      </c>
      <c r="N1211" s="4"/>
      <c r="O1211" s="4">
        <v>1</v>
      </c>
      <c r="P1211" s="4" t="s">
        <v>135</v>
      </c>
      <c r="Q1211" s="4"/>
      <c r="R1211" s="7">
        <v>370000</v>
      </c>
      <c r="S1211" s="7">
        <v>0</v>
      </c>
      <c r="T1211" s="7">
        <f>R1211-S1211</f>
        <v>0</v>
      </c>
      <c r="U1211" s="7">
        <f>T1211*O1211</f>
        <v>0</v>
      </c>
    </row>
    <row r="1212" spans="1:21">
      <c r="A1212" s="4" t="s">
        <v>1788</v>
      </c>
      <c r="B1212" s="4" t="s">
        <v>39</v>
      </c>
      <c r="C1212" s="5">
        <v>45938.15012731482</v>
      </c>
      <c r="D1212" s="5">
        <v>45938</v>
      </c>
      <c r="E1212" s="6">
        <f>IF(AND(C1212&lt;&gt;"",D1212&lt;&gt;""),D1212-C1212,"")</f>
        <v>0</v>
      </c>
      <c r="F1212" s="4" t="s">
        <v>1789</v>
      </c>
      <c r="G1212" s="4" t="s">
        <v>1790</v>
      </c>
      <c r="H1212" s="4" t="s">
        <v>305</v>
      </c>
      <c r="I1212" s="4" t="s">
        <v>56</v>
      </c>
      <c r="J1212" s="4">
        <v>0</v>
      </c>
      <c r="K1212" s="4">
        <v>0</v>
      </c>
      <c r="L1212" s="4">
        <f>J1212+K1212</f>
        <v>0</v>
      </c>
      <c r="M1212" s="4" t="s">
        <v>370</v>
      </c>
      <c r="N1212" s="4"/>
      <c r="O1212" s="4">
        <v>1</v>
      </c>
      <c r="P1212" s="4" t="s">
        <v>135</v>
      </c>
      <c r="Q1212" s="4"/>
      <c r="R1212" s="7">
        <v>4250000</v>
      </c>
      <c r="S1212" s="7">
        <v>0</v>
      </c>
      <c r="T1212" s="7">
        <f>R1212-S1212</f>
        <v>0</v>
      </c>
      <c r="U1212" s="7">
        <f>T1212*O1212</f>
        <v>0</v>
      </c>
    </row>
    <row r="1213" spans="1:21">
      <c r="A1213" s="4" t="s">
        <v>1791</v>
      </c>
      <c r="B1213" s="4" t="s">
        <v>39</v>
      </c>
      <c r="C1213" s="5">
        <v>45938.17380787037</v>
      </c>
      <c r="D1213" s="5">
        <v>45938</v>
      </c>
      <c r="E1213" s="6">
        <f>IF(AND(C1213&lt;&gt;"",D1213&lt;&gt;""),D1213-C1213,"")</f>
        <v>0</v>
      </c>
      <c r="F1213" s="4" t="s">
        <v>1792</v>
      </c>
      <c r="G1213" s="4" t="s">
        <v>1793</v>
      </c>
      <c r="H1213" s="4" t="s">
        <v>305</v>
      </c>
      <c r="I1213" s="4" t="s">
        <v>56</v>
      </c>
      <c r="J1213" s="4">
        <v>0</v>
      </c>
      <c r="K1213" s="4">
        <v>0</v>
      </c>
      <c r="L1213" s="4">
        <f>J1213+K1213</f>
        <v>0</v>
      </c>
      <c r="M1213" s="4" t="s">
        <v>370</v>
      </c>
      <c r="N1213" s="4"/>
      <c r="O1213" s="4">
        <v>1</v>
      </c>
      <c r="P1213" s="4" t="s">
        <v>135</v>
      </c>
      <c r="Q1213" s="4"/>
      <c r="R1213" s="7">
        <v>2000000</v>
      </c>
      <c r="S1213" s="7">
        <v>0</v>
      </c>
      <c r="T1213" s="7">
        <f>R1213-S1213</f>
        <v>0</v>
      </c>
      <c r="U1213" s="7">
        <f>T1213*O1213</f>
        <v>0</v>
      </c>
    </row>
    <row r="1214" spans="1:21">
      <c r="A1214" s="4" t="s">
        <v>1791</v>
      </c>
      <c r="B1214" s="4" t="s">
        <v>39</v>
      </c>
      <c r="C1214" s="5">
        <v>45938.17380787037</v>
      </c>
      <c r="D1214" s="5">
        <v>45938</v>
      </c>
      <c r="E1214" s="6">
        <f>IF(AND(C1214&lt;&gt;"",D1214&lt;&gt;""),D1214-C1214,"")</f>
        <v>0</v>
      </c>
      <c r="F1214" s="4" t="s">
        <v>1792</v>
      </c>
      <c r="G1214" s="4" t="s">
        <v>1793</v>
      </c>
      <c r="H1214" s="4" t="s">
        <v>305</v>
      </c>
      <c r="I1214" s="4" t="s">
        <v>56</v>
      </c>
      <c r="J1214" s="4">
        <v>1</v>
      </c>
      <c r="K1214" s="4">
        <v>0</v>
      </c>
      <c r="L1214" s="4">
        <f>J1214+K1214</f>
        <v>0</v>
      </c>
      <c r="M1214" s="4" t="s">
        <v>42</v>
      </c>
      <c r="N1214" s="4"/>
      <c r="O1214" s="4">
        <v>1</v>
      </c>
      <c r="P1214" s="4" t="s">
        <v>135</v>
      </c>
      <c r="Q1214" s="4"/>
      <c r="R1214" s="7">
        <v>370000</v>
      </c>
      <c r="S1214" s="7">
        <v>0</v>
      </c>
      <c r="T1214" s="7">
        <f>R1214-S1214</f>
        <v>0</v>
      </c>
      <c r="U1214" s="7">
        <f>T1214*O1214</f>
        <v>0</v>
      </c>
    </row>
    <row r="1215" spans="1:21">
      <c r="A1215" s="4" t="s">
        <v>1794</v>
      </c>
      <c r="B1215" s="4" t="s">
        <v>39</v>
      </c>
      <c r="C1215" s="5">
        <v>45938.18204861111</v>
      </c>
      <c r="D1215" s="5">
        <v>45938</v>
      </c>
      <c r="E1215" s="6">
        <f>IF(AND(C1215&lt;&gt;"",D1215&lt;&gt;""),D1215-C1215,"")</f>
        <v>0</v>
      </c>
      <c r="F1215" s="4" t="s">
        <v>1795</v>
      </c>
      <c r="G1215" s="4" t="s">
        <v>1796</v>
      </c>
      <c r="H1215" s="4" t="s">
        <v>190</v>
      </c>
      <c r="I1215" s="4" t="s">
        <v>56</v>
      </c>
      <c r="J1215" s="4">
        <v>1</v>
      </c>
      <c r="K1215" s="4">
        <v>0</v>
      </c>
      <c r="L1215" s="4">
        <f>J1215+K1215</f>
        <v>0</v>
      </c>
      <c r="M1215" s="4" t="s">
        <v>42</v>
      </c>
      <c r="N1215" s="4"/>
      <c r="O1215" s="4">
        <v>1</v>
      </c>
      <c r="P1215" s="4" t="s">
        <v>135</v>
      </c>
      <c r="Q1215" s="4"/>
      <c r="R1215" s="7">
        <v>370000</v>
      </c>
      <c r="S1215" s="7">
        <v>0</v>
      </c>
      <c r="T1215" s="7">
        <f>R1215-S1215</f>
        <v>0</v>
      </c>
      <c r="U1215" s="7">
        <f>T1215*O1215</f>
        <v>0</v>
      </c>
    </row>
    <row r="1216" spans="1:21">
      <c r="A1216" s="4" t="s">
        <v>1794</v>
      </c>
      <c r="B1216" s="4" t="s">
        <v>39</v>
      </c>
      <c r="C1216" s="5">
        <v>45938.18204861111</v>
      </c>
      <c r="D1216" s="5">
        <v>45938</v>
      </c>
      <c r="E1216" s="6">
        <f>IF(AND(C1216&lt;&gt;"",D1216&lt;&gt;""),D1216-C1216,"")</f>
        <v>0</v>
      </c>
      <c r="F1216" s="4" t="s">
        <v>1795</v>
      </c>
      <c r="G1216" s="4" t="s">
        <v>1796</v>
      </c>
      <c r="H1216" s="4" t="s">
        <v>190</v>
      </c>
      <c r="I1216" s="4" t="s">
        <v>56</v>
      </c>
      <c r="J1216" s="4">
        <v>0</v>
      </c>
      <c r="K1216" s="4">
        <v>0</v>
      </c>
      <c r="L1216" s="4">
        <f>J1216+K1216</f>
        <v>0</v>
      </c>
      <c r="M1216" s="4" t="s">
        <v>370</v>
      </c>
      <c r="N1216" s="4"/>
      <c r="O1216" s="4">
        <v>1</v>
      </c>
      <c r="P1216" s="4" t="s">
        <v>135</v>
      </c>
      <c r="Q1216" s="4"/>
      <c r="R1216" s="7">
        <v>3000000</v>
      </c>
      <c r="S1216" s="7">
        <v>0</v>
      </c>
      <c r="T1216" s="7">
        <f>R1216-S1216</f>
        <v>0</v>
      </c>
      <c r="U1216" s="7">
        <f>T1216*O1216</f>
        <v>0</v>
      </c>
    </row>
    <row r="1217" spans="1:21">
      <c r="A1217" s="4" t="s">
        <v>1797</v>
      </c>
      <c r="B1217" s="4" t="s">
        <v>39</v>
      </c>
      <c r="C1217" s="5">
        <v>45938.18653935185</v>
      </c>
      <c r="D1217" s="5">
        <v>45938</v>
      </c>
      <c r="E1217" s="6">
        <f>IF(AND(C1217&lt;&gt;"",D1217&lt;&gt;""),D1217-C1217,"")</f>
        <v>0</v>
      </c>
      <c r="F1217" s="4" t="s">
        <v>1795</v>
      </c>
      <c r="G1217" s="4" t="s">
        <v>1796</v>
      </c>
      <c r="H1217" s="4" t="s">
        <v>190</v>
      </c>
      <c r="I1217" s="4" t="s">
        <v>56</v>
      </c>
      <c r="J1217" s="4">
        <v>1</v>
      </c>
      <c r="K1217" s="4">
        <v>0</v>
      </c>
      <c r="L1217" s="4">
        <f>J1217+K1217</f>
        <v>0</v>
      </c>
      <c r="M1217" s="4" t="s">
        <v>42</v>
      </c>
      <c r="N1217" s="4"/>
      <c r="O1217" s="4">
        <v>1</v>
      </c>
      <c r="P1217" s="4" t="s">
        <v>135</v>
      </c>
      <c r="Q1217" s="4"/>
      <c r="R1217" s="7">
        <v>370000</v>
      </c>
      <c r="S1217" s="7">
        <v>0</v>
      </c>
      <c r="T1217" s="7">
        <f>R1217-S1217</f>
        <v>0</v>
      </c>
      <c r="U1217" s="7">
        <f>T1217*O1217</f>
        <v>0</v>
      </c>
    </row>
    <row r="1218" spans="1:21">
      <c r="A1218" s="4" t="s">
        <v>1798</v>
      </c>
      <c r="B1218" s="4" t="s">
        <v>48</v>
      </c>
      <c r="C1218" s="5">
        <v>45938.22585648148</v>
      </c>
      <c r="D1218" s="5">
        <v>45961</v>
      </c>
      <c r="E1218" s="6">
        <f>IF(AND(C1218&lt;&gt;"",D1218&lt;&gt;""),D1218-C1218,"")</f>
        <v>0</v>
      </c>
      <c r="F1218" s="4" t="s">
        <v>162</v>
      </c>
      <c r="G1218" s="4" t="s">
        <v>202</v>
      </c>
      <c r="H1218" s="4" t="s">
        <v>32</v>
      </c>
      <c r="I1218" s="4" t="s">
        <v>33</v>
      </c>
      <c r="J1218" s="4">
        <v>1</v>
      </c>
      <c r="K1218" s="4">
        <v>0</v>
      </c>
      <c r="L1218" s="4">
        <f>J1218+K1218</f>
        <v>0</v>
      </c>
      <c r="M1218" s="4"/>
      <c r="N1218" s="4"/>
      <c r="O1218" s="4">
        <v>0</v>
      </c>
      <c r="P1218" s="4"/>
      <c r="Q1218" s="4"/>
      <c r="R1218" s="7">
        <v>0</v>
      </c>
      <c r="S1218" s="7">
        <v>0</v>
      </c>
      <c r="T1218" s="7">
        <f>R1218-S1218</f>
        <v>0</v>
      </c>
      <c r="U1218" s="7">
        <f>T1218*O1218</f>
        <v>0</v>
      </c>
    </row>
    <row r="1219" spans="1:21">
      <c r="A1219" s="4" t="s">
        <v>1799</v>
      </c>
      <c r="B1219" s="4" t="s">
        <v>48</v>
      </c>
      <c r="C1219" s="5">
        <v>45938.23649305556</v>
      </c>
      <c r="D1219" s="5">
        <v>45961</v>
      </c>
      <c r="E1219" s="6">
        <f>IF(AND(C1219&lt;&gt;"",D1219&lt;&gt;""),D1219-C1219,"")</f>
        <v>0</v>
      </c>
      <c r="F1219" s="4" t="s">
        <v>1800</v>
      </c>
      <c r="G1219" s="4" t="s">
        <v>1801</v>
      </c>
      <c r="H1219" s="4" t="s">
        <v>32</v>
      </c>
      <c r="I1219" s="4" t="s">
        <v>33</v>
      </c>
      <c r="J1219" s="4">
        <v>2</v>
      </c>
      <c r="K1219" s="4">
        <v>0</v>
      </c>
      <c r="L1219" s="4">
        <f>J1219+K1219</f>
        <v>0</v>
      </c>
      <c r="M1219" s="4"/>
      <c r="N1219" s="4"/>
      <c r="O1219" s="4">
        <v>0</v>
      </c>
      <c r="P1219" s="4"/>
      <c r="Q1219" s="4"/>
      <c r="R1219" s="7">
        <v>0</v>
      </c>
      <c r="S1219" s="7">
        <v>0</v>
      </c>
      <c r="T1219" s="7">
        <f>R1219-S1219</f>
        <v>0</v>
      </c>
      <c r="U1219" s="7">
        <f>T1219*O1219</f>
        <v>0</v>
      </c>
    </row>
    <row r="1220" spans="1:21">
      <c r="A1220" s="4" t="s">
        <v>1802</v>
      </c>
      <c r="B1220" s="4" t="s">
        <v>48</v>
      </c>
      <c r="C1220" s="5">
        <v>45938.23761574074</v>
      </c>
      <c r="D1220" s="5">
        <v>45961</v>
      </c>
      <c r="E1220" s="6">
        <f>IF(AND(C1220&lt;&gt;"",D1220&lt;&gt;""),D1220-C1220,"")</f>
        <v>0</v>
      </c>
      <c r="F1220" s="4" t="s">
        <v>1803</v>
      </c>
      <c r="G1220" s="4" t="s">
        <v>1804</v>
      </c>
      <c r="H1220" s="4" t="s">
        <v>32</v>
      </c>
      <c r="I1220" s="4" t="s">
        <v>33</v>
      </c>
      <c r="J1220" s="4">
        <v>2</v>
      </c>
      <c r="K1220" s="4">
        <v>0</v>
      </c>
      <c r="L1220" s="4">
        <f>J1220+K1220</f>
        <v>0</v>
      </c>
      <c r="M1220" s="4"/>
      <c r="N1220" s="4"/>
      <c r="O1220" s="4">
        <v>0</v>
      </c>
      <c r="P1220" s="4"/>
      <c r="Q1220" s="4"/>
      <c r="R1220" s="7">
        <v>0</v>
      </c>
      <c r="S1220" s="7">
        <v>0</v>
      </c>
      <c r="T1220" s="7">
        <f>R1220-S1220</f>
        <v>0</v>
      </c>
      <c r="U1220" s="7">
        <f>T1220*O1220</f>
        <v>0</v>
      </c>
    </row>
    <row r="1221" spans="1:21">
      <c r="A1221" s="4" t="s">
        <v>1805</v>
      </c>
      <c r="B1221" s="4" t="s">
        <v>48</v>
      </c>
      <c r="C1221" s="5">
        <v>45938.23907407407</v>
      </c>
      <c r="D1221" s="5">
        <v>45961</v>
      </c>
      <c r="E1221" s="6">
        <f>IF(AND(C1221&lt;&gt;"",D1221&lt;&gt;""),D1221-C1221,"")</f>
        <v>0</v>
      </c>
      <c r="F1221" s="4" t="s">
        <v>1806</v>
      </c>
      <c r="G1221" s="4" t="s">
        <v>1807</v>
      </c>
      <c r="H1221" s="4" t="s">
        <v>32</v>
      </c>
      <c r="I1221" s="4" t="s">
        <v>33</v>
      </c>
      <c r="J1221" s="4">
        <v>3</v>
      </c>
      <c r="K1221" s="4">
        <v>0</v>
      </c>
      <c r="L1221" s="4">
        <f>J1221+K1221</f>
        <v>0</v>
      </c>
      <c r="M1221" s="4"/>
      <c r="N1221" s="4"/>
      <c r="O1221" s="4">
        <v>0</v>
      </c>
      <c r="P1221" s="4"/>
      <c r="Q1221" s="4"/>
      <c r="R1221" s="7">
        <v>0</v>
      </c>
      <c r="S1221" s="7">
        <v>0</v>
      </c>
      <c r="T1221" s="7">
        <f>R1221-S1221</f>
        <v>0</v>
      </c>
      <c r="U1221" s="7">
        <f>T1221*O1221</f>
        <v>0</v>
      </c>
    </row>
    <row r="1222" spans="1:21">
      <c r="A1222" s="4" t="s">
        <v>1808</v>
      </c>
      <c r="B1222" s="4" t="s">
        <v>39</v>
      </c>
      <c r="C1222" s="5">
        <v>45938.24460648148</v>
      </c>
      <c r="D1222" s="5">
        <v>45938</v>
      </c>
      <c r="E1222" s="6">
        <f>IF(AND(C1222&lt;&gt;"",D1222&lt;&gt;""),D1222-C1222,"")</f>
        <v>0</v>
      </c>
      <c r="F1222" s="4" t="s">
        <v>175</v>
      </c>
      <c r="G1222" s="4" t="s">
        <v>176</v>
      </c>
      <c r="H1222" s="4" t="s">
        <v>177</v>
      </c>
      <c r="I1222" s="4" t="s">
        <v>56</v>
      </c>
      <c r="J1222" s="4">
        <v>0</v>
      </c>
      <c r="K1222" s="4">
        <v>0</v>
      </c>
      <c r="L1222" s="4">
        <f>J1222+K1222</f>
        <v>0</v>
      </c>
      <c r="M1222" s="4" t="s">
        <v>370</v>
      </c>
      <c r="N1222" s="4"/>
      <c r="O1222" s="4">
        <v>1</v>
      </c>
      <c r="P1222" s="4" t="s">
        <v>135</v>
      </c>
      <c r="Q1222" s="4" t="s">
        <v>44</v>
      </c>
      <c r="R1222" s="7">
        <v>200000</v>
      </c>
      <c r="S1222" s="7">
        <v>0</v>
      </c>
      <c r="T1222" s="7">
        <f>R1222-S1222</f>
        <v>0</v>
      </c>
      <c r="U1222" s="7">
        <f>T1222*O1222</f>
        <v>0</v>
      </c>
    </row>
    <row r="1223" spans="1:21">
      <c r="A1223" s="4" t="s">
        <v>1809</v>
      </c>
      <c r="B1223" s="4" t="s">
        <v>39</v>
      </c>
      <c r="C1223" s="5">
        <v>45938.26059027778</v>
      </c>
      <c r="D1223" s="5">
        <v>45938</v>
      </c>
      <c r="E1223" s="6">
        <f>IF(AND(C1223&lt;&gt;"",D1223&lt;&gt;""),D1223-C1223,"")</f>
        <v>0</v>
      </c>
      <c r="F1223" s="4" t="s">
        <v>453</v>
      </c>
      <c r="G1223" s="4" t="s">
        <v>454</v>
      </c>
      <c r="H1223" s="4"/>
      <c r="I1223" s="4" t="s">
        <v>56</v>
      </c>
      <c r="J1223" s="4">
        <v>2</v>
      </c>
      <c r="K1223" s="4">
        <v>0</v>
      </c>
      <c r="L1223" s="4">
        <f>J1223+K1223</f>
        <v>0</v>
      </c>
      <c r="M1223" s="4" t="s">
        <v>80</v>
      </c>
      <c r="N1223" s="4"/>
      <c r="O1223" s="4">
        <v>2</v>
      </c>
      <c r="P1223" s="4" t="s">
        <v>135</v>
      </c>
      <c r="Q1223" s="4" t="s">
        <v>44</v>
      </c>
      <c r="R1223" s="7">
        <v>610000</v>
      </c>
      <c r="S1223" s="7">
        <v>0</v>
      </c>
      <c r="T1223" s="7">
        <f>R1223-S1223</f>
        <v>0</v>
      </c>
      <c r="U1223" s="7">
        <f>T1223*O1223</f>
        <v>0</v>
      </c>
    </row>
    <row r="1224" spans="1:21">
      <c r="A1224" s="4" t="s">
        <v>1809</v>
      </c>
      <c r="B1224" s="4" t="s">
        <v>39</v>
      </c>
      <c r="C1224" s="5">
        <v>45938.26059027778</v>
      </c>
      <c r="D1224" s="5">
        <v>45938</v>
      </c>
      <c r="E1224" s="6">
        <f>IF(AND(C1224&lt;&gt;"",D1224&lt;&gt;""),D1224-C1224,"")</f>
        <v>0</v>
      </c>
      <c r="F1224" s="4" t="s">
        <v>453</v>
      </c>
      <c r="G1224" s="4" t="s">
        <v>454</v>
      </c>
      <c r="H1224" s="4"/>
      <c r="I1224" s="4" t="s">
        <v>56</v>
      </c>
      <c r="J1224" s="4">
        <v>0</v>
      </c>
      <c r="K1224" s="4">
        <v>0</v>
      </c>
      <c r="L1224" s="4">
        <f>J1224+K1224</f>
        <v>0</v>
      </c>
      <c r="M1224" s="4" t="s">
        <v>370</v>
      </c>
      <c r="N1224" s="4"/>
      <c r="O1224" s="4">
        <v>1</v>
      </c>
      <c r="P1224" s="4" t="s">
        <v>135</v>
      </c>
      <c r="Q1224" s="4" t="s">
        <v>44</v>
      </c>
      <c r="R1224" s="7">
        <v>2000000</v>
      </c>
      <c r="S1224" s="7">
        <v>0</v>
      </c>
      <c r="T1224" s="7">
        <f>R1224-S1224</f>
        <v>0</v>
      </c>
      <c r="U1224" s="7">
        <f>T1224*O1224</f>
        <v>0</v>
      </c>
    </row>
    <row r="1225" spans="1:21">
      <c r="A1225" s="4" t="s">
        <v>1810</v>
      </c>
      <c r="B1225" s="4" t="s">
        <v>39</v>
      </c>
      <c r="C1225" s="5">
        <v>45938.26579861111</v>
      </c>
      <c r="D1225" s="5">
        <v>45938</v>
      </c>
      <c r="E1225" s="6">
        <f>IF(AND(C1225&lt;&gt;"",D1225&lt;&gt;""),D1225-C1225,"")</f>
        <v>0</v>
      </c>
      <c r="F1225" s="4" t="s">
        <v>1811</v>
      </c>
      <c r="G1225" s="4" t="s">
        <v>1812</v>
      </c>
      <c r="H1225" s="4" t="s">
        <v>190</v>
      </c>
      <c r="I1225" s="4" t="s">
        <v>56</v>
      </c>
      <c r="J1225" s="4">
        <v>2</v>
      </c>
      <c r="K1225" s="4">
        <v>0</v>
      </c>
      <c r="L1225" s="4">
        <f>J1225+K1225</f>
        <v>0</v>
      </c>
      <c r="M1225" s="4" t="s">
        <v>80</v>
      </c>
      <c r="N1225" s="4"/>
      <c r="O1225" s="4">
        <v>2</v>
      </c>
      <c r="P1225" s="4" t="s">
        <v>135</v>
      </c>
      <c r="Q1225" s="4" t="s">
        <v>44</v>
      </c>
      <c r="R1225" s="7">
        <v>610000</v>
      </c>
      <c r="S1225" s="7">
        <v>61000</v>
      </c>
      <c r="T1225" s="7">
        <f>R1225-S1225</f>
        <v>0</v>
      </c>
      <c r="U1225" s="7">
        <f>T1225*O1225</f>
        <v>0</v>
      </c>
    </row>
    <row r="1226" spans="1:21">
      <c r="A1226" s="4" t="s">
        <v>1810</v>
      </c>
      <c r="B1226" s="4" t="s">
        <v>39</v>
      </c>
      <c r="C1226" s="5">
        <v>45938.26579861111</v>
      </c>
      <c r="D1226" s="5">
        <v>45938</v>
      </c>
      <c r="E1226" s="6">
        <f>IF(AND(C1226&lt;&gt;"",D1226&lt;&gt;""),D1226-C1226,"")</f>
        <v>0</v>
      </c>
      <c r="F1226" s="4" t="s">
        <v>1811</v>
      </c>
      <c r="G1226" s="4" t="s">
        <v>1812</v>
      </c>
      <c r="H1226" s="4" t="s">
        <v>190</v>
      </c>
      <c r="I1226" s="4" t="s">
        <v>56</v>
      </c>
      <c r="J1226" s="4">
        <v>0</v>
      </c>
      <c r="K1226" s="4">
        <v>0</v>
      </c>
      <c r="L1226" s="4">
        <f>J1226+K1226</f>
        <v>0</v>
      </c>
      <c r="M1226" s="4" t="s">
        <v>370</v>
      </c>
      <c r="N1226" s="4"/>
      <c r="O1226" s="4">
        <v>1</v>
      </c>
      <c r="P1226" s="4" t="s">
        <v>135</v>
      </c>
      <c r="Q1226" s="4" t="s">
        <v>44</v>
      </c>
      <c r="R1226" s="7">
        <v>1000000</v>
      </c>
      <c r="S1226" s="7">
        <v>0</v>
      </c>
      <c r="T1226" s="7">
        <f>R1226-S1226</f>
        <v>0</v>
      </c>
      <c r="U1226" s="7">
        <f>T1226*O1226</f>
        <v>0</v>
      </c>
    </row>
    <row r="1227" spans="1:21">
      <c r="A1227" s="4" t="s">
        <v>1813</v>
      </c>
      <c r="B1227" s="4" t="s">
        <v>39</v>
      </c>
      <c r="C1227" s="5">
        <v>45938.28983796296</v>
      </c>
      <c r="D1227" s="5">
        <v>45938</v>
      </c>
      <c r="E1227" s="6">
        <f>IF(AND(C1227&lt;&gt;"",D1227&lt;&gt;""),D1227-C1227,"")</f>
        <v>0</v>
      </c>
      <c r="F1227" s="4" t="s">
        <v>1304</v>
      </c>
      <c r="G1227" s="4" t="s">
        <v>1814</v>
      </c>
      <c r="H1227" s="4"/>
      <c r="I1227" s="4" t="s">
        <v>56</v>
      </c>
      <c r="J1227" s="4">
        <v>0</v>
      </c>
      <c r="K1227" s="4">
        <v>0</v>
      </c>
      <c r="L1227" s="4">
        <f>J1227+K1227</f>
        <v>0</v>
      </c>
      <c r="M1227" s="4" t="s">
        <v>370</v>
      </c>
      <c r="N1227" s="4"/>
      <c r="O1227" s="4">
        <v>1</v>
      </c>
      <c r="P1227" s="4" t="s">
        <v>135</v>
      </c>
      <c r="Q1227" s="4" t="s">
        <v>44</v>
      </c>
      <c r="R1227" s="7">
        <v>1000000</v>
      </c>
      <c r="S1227" s="7">
        <v>0</v>
      </c>
      <c r="T1227" s="7">
        <f>R1227-S1227</f>
        <v>0</v>
      </c>
      <c r="U1227" s="7">
        <f>T1227*O1227</f>
        <v>0</v>
      </c>
    </row>
    <row r="1228" spans="1:21">
      <c r="A1228" s="4" t="s">
        <v>1813</v>
      </c>
      <c r="B1228" s="4" t="s">
        <v>39</v>
      </c>
      <c r="C1228" s="5">
        <v>45938.28983796296</v>
      </c>
      <c r="D1228" s="5">
        <v>45938</v>
      </c>
      <c r="E1228" s="6">
        <f>IF(AND(C1228&lt;&gt;"",D1228&lt;&gt;""),D1228-C1228,"")</f>
        <v>0</v>
      </c>
      <c r="F1228" s="4" t="s">
        <v>1304</v>
      </c>
      <c r="G1228" s="4" t="s">
        <v>1814</v>
      </c>
      <c r="H1228" s="4"/>
      <c r="I1228" s="4" t="s">
        <v>56</v>
      </c>
      <c r="J1228" s="4">
        <v>1</v>
      </c>
      <c r="K1228" s="4">
        <v>0</v>
      </c>
      <c r="L1228" s="4">
        <f>J1228+K1228</f>
        <v>0</v>
      </c>
      <c r="M1228" s="4" t="s">
        <v>1645</v>
      </c>
      <c r="N1228" s="4"/>
      <c r="O1228" s="4">
        <v>1</v>
      </c>
      <c r="P1228" s="4" t="s">
        <v>135</v>
      </c>
      <c r="Q1228" s="4" t="s">
        <v>44</v>
      </c>
      <c r="R1228" s="7">
        <v>2100000</v>
      </c>
      <c r="S1228" s="7">
        <v>0</v>
      </c>
      <c r="T1228" s="7">
        <f>R1228-S1228</f>
        <v>0</v>
      </c>
      <c r="U1228" s="7">
        <f>T1228*O1228</f>
        <v>0</v>
      </c>
    </row>
    <row r="1229" spans="1:21">
      <c r="A1229" s="4" t="s">
        <v>1815</v>
      </c>
      <c r="B1229" s="4" t="s">
        <v>39</v>
      </c>
      <c r="C1229" s="5">
        <v>45938.30261574074</v>
      </c>
      <c r="D1229" s="5">
        <v>45938</v>
      </c>
      <c r="E1229" s="6">
        <f>IF(AND(C1229&lt;&gt;"",D1229&lt;&gt;""),D1229-C1229,"")</f>
        <v>0</v>
      </c>
      <c r="F1229" s="4" t="s">
        <v>1816</v>
      </c>
      <c r="G1229" s="4" t="s">
        <v>1817</v>
      </c>
      <c r="H1229" s="4" t="s">
        <v>787</v>
      </c>
      <c r="I1229" s="4" t="s">
        <v>56</v>
      </c>
      <c r="J1229" s="4">
        <v>0</v>
      </c>
      <c r="K1229" s="4">
        <v>0</v>
      </c>
      <c r="L1229" s="4">
        <f>J1229+K1229</f>
        <v>0</v>
      </c>
      <c r="M1229" s="4" t="s">
        <v>370</v>
      </c>
      <c r="N1229" s="4"/>
      <c r="O1229" s="4">
        <v>1</v>
      </c>
      <c r="P1229" s="4" t="s">
        <v>43</v>
      </c>
      <c r="Q1229" s="4" t="s">
        <v>44</v>
      </c>
      <c r="R1229" s="7">
        <v>500000</v>
      </c>
      <c r="S1229" s="7">
        <v>0</v>
      </c>
      <c r="T1229" s="7">
        <f>R1229-S1229</f>
        <v>0</v>
      </c>
      <c r="U1229" s="7">
        <f>T1229*O1229</f>
        <v>0</v>
      </c>
    </row>
    <row r="1230" spans="1:21">
      <c r="A1230" s="4" t="s">
        <v>1815</v>
      </c>
      <c r="B1230" s="4" t="s">
        <v>39</v>
      </c>
      <c r="C1230" s="5">
        <v>45938.30261574074</v>
      </c>
      <c r="D1230" s="5">
        <v>45938</v>
      </c>
      <c r="E1230" s="6">
        <f>IF(AND(C1230&lt;&gt;"",D1230&lt;&gt;""),D1230-C1230,"")</f>
        <v>0</v>
      </c>
      <c r="F1230" s="4" t="s">
        <v>1816</v>
      </c>
      <c r="G1230" s="4" t="s">
        <v>1817</v>
      </c>
      <c r="H1230" s="4" t="s">
        <v>787</v>
      </c>
      <c r="I1230" s="4" t="s">
        <v>56</v>
      </c>
      <c r="J1230" s="4">
        <v>1</v>
      </c>
      <c r="K1230" s="4">
        <v>0</v>
      </c>
      <c r="L1230" s="4">
        <f>J1230+K1230</f>
        <v>0</v>
      </c>
      <c r="M1230" s="4" t="s">
        <v>80</v>
      </c>
      <c r="N1230" s="4"/>
      <c r="O1230" s="4">
        <v>1</v>
      </c>
      <c r="P1230" s="4" t="s">
        <v>43</v>
      </c>
      <c r="Q1230" s="4" t="s">
        <v>44</v>
      </c>
      <c r="R1230" s="7">
        <v>610000</v>
      </c>
      <c r="S1230" s="7">
        <v>0</v>
      </c>
      <c r="T1230" s="7">
        <f>R1230-S1230</f>
        <v>0</v>
      </c>
      <c r="U1230" s="7">
        <f>T1230*O1230</f>
        <v>0</v>
      </c>
    </row>
    <row r="1231" spans="1:21">
      <c r="A1231" s="4" t="s">
        <v>1818</v>
      </c>
      <c r="B1231" s="4" t="s">
        <v>29</v>
      </c>
      <c r="C1231" s="5">
        <v>45938.30324074074</v>
      </c>
      <c r="D1231" s="5">
        <v>45961</v>
      </c>
      <c r="E1231" s="6">
        <f>IF(AND(C1231&lt;&gt;"",D1231&lt;&gt;""),D1231-C1231,"")</f>
        <v>0</v>
      </c>
      <c r="F1231" s="4" t="s">
        <v>1819</v>
      </c>
      <c r="G1231" s="4" t="s">
        <v>1820</v>
      </c>
      <c r="H1231" s="4"/>
      <c r="I1231" s="4" t="s">
        <v>56</v>
      </c>
      <c r="J1231" s="4">
        <v>2</v>
      </c>
      <c r="K1231" s="4">
        <v>0</v>
      </c>
      <c r="L1231" s="4">
        <f>J1231+K1231</f>
        <v>0</v>
      </c>
      <c r="M1231" s="4"/>
      <c r="N1231" s="4"/>
      <c r="O1231" s="4">
        <v>0</v>
      </c>
      <c r="P1231" s="4"/>
      <c r="Q1231" s="4"/>
      <c r="R1231" s="7">
        <v>0</v>
      </c>
      <c r="S1231" s="7">
        <v>0</v>
      </c>
      <c r="T1231" s="7">
        <f>R1231-S1231</f>
        <v>0</v>
      </c>
      <c r="U1231" s="7">
        <f>T1231*O1231</f>
        <v>0</v>
      </c>
    </row>
    <row r="1232" spans="1:21">
      <c r="A1232" s="4" t="s">
        <v>1821</v>
      </c>
      <c r="B1232" s="4" t="s">
        <v>39</v>
      </c>
      <c r="C1232" s="5">
        <v>45938.31733796297</v>
      </c>
      <c r="D1232" s="5">
        <v>45938</v>
      </c>
      <c r="E1232" s="6">
        <f>IF(AND(C1232&lt;&gt;"",D1232&lt;&gt;""),D1232-C1232,"")</f>
        <v>0</v>
      </c>
      <c r="F1232" s="4" t="s">
        <v>1367</v>
      </c>
      <c r="G1232" s="4" t="s">
        <v>1368</v>
      </c>
      <c r="H1232" s="4" t="s">
        <v>32</v>
      </c>
      <c r="I1232" s="4" t="s">
        <v>33</v>
      </c>
      <c r="J1232" s="4">
        <v>0</v>
      </c>
      <c r="K1232" s="4">
        <v>0</v>
      </c>
      <c r="L1232" s="4">
        <f>J1232+K1232</f>
        <v>0</v>
      </c>
      <c r="M1232" s="4" t="s">
        <v>915</v>
      </c>
      <c r="N1232" s="4"/>
      <c r="O1232" s="4">
        <v>-1</v>
      </c>
      <c r="P1232" s="4" t="s">
        <v>135</v>
      </c>
      <c r="Q1232" s="4"/>
      <c r="R1232" s="7">
        <v>50000</v>
      </c>
      <c r="S1232" s="7">
        <v>0</v>
      </c>
      <c r="T1232" s="7">
        <f>R1232-S1232</f>
        <v>0</v>
      </c>
      <c r="U1232" s="7">
        <f>T1232*O1232</f>
        <v>0</v>
      </c>
    </row>
    <row r="1233" spans="1:21">
      <c r="A1233" s="4" t="s">
        <v>1821</v>
      </c>
      <c r="B1233" s="4" t="s">
        <v>39</v>
      </c>
      <c r="C1233" s="5">
        <v>45938.31733796297</v>
      </c>
      <c r="D1233" s="5">
        <v>45938</v>
      </c>
      <c r="E1233" s="6">
        <f>IF(AND(C1233&lt;&gt;"",D1233&lt;&gt;""),D1233-C1233,"")</f>
        <v>0</v>
      </c>
      <c r="F1233" s="4" t="s">
        <v>1367</v>
      </c>
      <c r="G1233" s="4" t="s">
        <v>1368</v>
      </c>
      <c r="H1233" s="4" t="s">
        <v>32</v>
      </c>
      <c r="I1233" s="4" t="s">
        <v>33</v>
      </c>
      <c r="J1233" s="4">
        <v>0</v>
      </c>
      <c r="K1233" s="4">
        <v>0</v>
      </c>
      <c r="L1233" s="4">
        <f>J1233+K1233</f>
        <v>0</v>
      </c>
      <c r="M1233" s="4" t="s">
        <v>370</v>
      </c>
      <c r="N1233" s="4"/>
      <c r="O1233" s="4">
        <v>1</v>
      </c>
      <c r="P1233" s="4" t="s">
        <v>135</v>
      </c>
      <c r="Q1233" s="4"/>
      <c r="R1233" s="7">
        <v>50000</v>
      </c>
      <c r="S1233" s="7">
        <v>0</v>
      </c>
      <c r="T1233" s="7">
        <f>R1233-S1233</f>
        <v>0</v>
      </c>
      <c r="U1233" s="7">
        <f>T1233*O1233</f>
        <v>0</v>
      </c>
    </row>
    <row r="1234" spans="1:21">
      <c r="A1234" s="4" t="s">
        <v>1822</v>
      </c>
      <c r="B1234" s="4" t="s">
        <v>29</v>
      </c>
      <c r="C1234" s="5">
        <v>45938.328125</v>
      </c>
      <c r="D1234" s="5">
        <v>45961</v>
      </c>
      <c r="E1234" s="6">
        <f>IF(AND(C1234&lt;&gt;"",D1234&lt;&gt;""),D1234-C1234,"")</f>
        <v>0</v>
      </c>
      <c r="F1234" s="4" t="s">
        <v>1823</v>
      </c>
      <c r="G1234" s="4" t="s">
        <v>1824</v>
      </c>
      <c r="H1234" s="4"/>
      <c r="I1234" s="4" t="s">
        <v>56</v>
      </c>
      <c r="J1234" s="4">
        <v>4</v>
      </c>
      <c r="K1234" s="4">
        <v>0</v>
      </c>
      <c r="L1234" s="4">
        <f>J1234+K1234</f>
        <v>0</v>
      </c>
      <c r="M1234" s="4"/>
      <c r="N1234" s="4"/>
      <c r="O1234" s="4">
        <v>0</v>
      </c>
      <c r="P1234" s="4"/>
      <c r="Q1234" s="4"/>
      <c r="R1234" s="7">
        <v>0</v>
      </c>
      <c r="S1234" s="7">
        <v>0</v>
      </c>
      <c r="T1234" s="7">
        <f>R1234-S1234</f>
        <v>0</v>
      </c>
      <c r="U1234" s="7">
        <f>T1234*O1234</f>
        <v>0</v>
      </c>
    </row>
    <row r="1235" spans="1:21">
      <c r="A1235" s="4" t="s">
        <v>1825</v>
      </c>
      <c r="B1235" s="4" t="s">
        <v>39</v>
      </c>
      <c r="C1235" s="5">
        <v>45938.32929398148</v>
      </c>
      <c r="D1235" s="5">
        <v>45938</v>
      </c>
      <c r="E1235" s="6">
        <f>IF(AND(C1235&lt;&gt;"",D1235&lt;&gt;""),D1235-C1235,"")</f>
        <v>0</v>
      </c>
      <c r="F1235" s="4" t="s">
        <v>1361</v>
      </c>
      <c r="G1235" s="4" t="s">
        <v>1362</v>
      </c>
      <c r="H1235" s="4" t="s">
        <v>32</v>
      </c>
      <c r="I1235" s="4" t="s">
        <v>33</v>
      </c>
      <c r="J1235" s="4">
        <v>0</v>
      </c>
      <c r="K1235" s="4">
        <v>0</v>
      </c>
      <c r="L1235" s="4">
        <f>J1235+K1235</f>
        <v>0</v>
      </c>
      <c r="M1235" s="4" t="s">
        <v>370</v>
      </c>
      <c r="N1235" s="4"/>
      <c r="O1235" s="4">
        <v>1</v>
      </c>
      <c r="P1235" s="4" t="s">
        <v>135</v>
      </c>
      <c r="Q1235" s="4"/>
      <c r="R1235" s="7">
        <v>50000</v>
      </c>
      <c r="S1235" s="7">
        <v>0</v>
      </c>
      <c r="T1235" s="7">
        <f>R1235-S1235</f>
        <v>0</v>
      </c>
      <c r="U1235" s="7">
        <f>T1235*O1235</f>
        <v>0</v>
      </c>
    </row>
    <row r="1236" spans="1:21">
      <c r="A1236" s="4" t="s">
        <v>1825</v>
      </c>
      <c r="B1236" s="4" t="s">
        <v>39</v>
      </c>
      <c r="C1236" s="5">
        <v>45938.32929398148</v>
      </c>
      <c r="D1236" s="5">
        <v>45938</v>
      </c>
      <c r="E1236" s="6">
        <f>IF(AND(C1236&lt;&gt;"",D1236&lt;&gt;""),D1236-C1236,"")</f>
        <v>0</v>
      </c>
      <c r="F1236" s="4" t="s">
        <v>1361</v>
      </c>
      <c r="G1236" s="4" t="s">
        <v>1362</v>
      </c>
      <c r="H1236" s="4" t="s">
        <v>32</v>
      </c>
      <c r="I1236" s="4" t="s">
        <v>33</v>
      </c>
      <c r="J1236" s="4">
        <v>0</v>
      </c>
      <c r="K1236" s="4">
        <v>0</v>
      </c>
      <c r="L1236" s="4">
        <f>J1236+K1236</f>
        <v>0</v>
      </c>
      <c r="M1236" s="4" t="s">
        <v>1826</v>
      </c>
      <c r="N1236" s="4"/>
      <c r="O1236" s="4">
        <v>-1</v>
      </c>
      <c r="P1236" s="4" t="s">
        <v>135</v>
      </c>
      <c r="Q1236" s="4"/>
      <c r="R1236" s="7">
        <v>50000</v>
      </c>
      <c r="S1236" s="7">
        <v>0</v>
      </c>
      <c r="T1236" s="7">
        <f>R1236-S1236</f>
        <v>0</v>
      </c>
      <c r="U1236" s="7">
        <f>T1236*O1236</f>
        <v>0</v>
      </c>
    </row>
    <row r="1237" spans="1:21">
      <c r="A1237" s="4" t="s">
        <v>1827</v>
      </c>
      <c r="B1237" s="4" t="s">
        <v>39</v>
      </c>
      <c r="C1237" s="5">
        <v>45938.33671296296</v>
      </c>
      <c r="D1237" s="5">
        <v>45938</v>
      </c>
      <c r="E1237" s="6">
        <f>IF(AND(C1237&lt;&gt;"",D1237&lt;&gt;""),D1237-C1237,"")</f>
        <v>0</v>
      </c>
      <c r="F1237" s="4" t="s">
        <v>1355</v>
      </c>
      <c r="G1237" s="4" t="s">
        <v>1356</v>
      </c>
      <c r="H1237" s="4" t="s">
        <v>177</v>
      </c>
      <c r="I1237" s="4" t="s">
        <v>56</v>
      </c>
      <c r="J1237" s="4">
        <v>0</v>
      </c>
      <c r="K1237" s="4">
        <v>0</v>
      </c>
      <c r="L1237" s="4">
        <f>J1237+K1237</f>
        <v>0</v>
      </c>
      <c r="M1237" s="4" t="s">
        <v>1828</v>
      </c>
      <c r="N1237" s="4"/>
      <c r="O1237" s="4">
        <v>-1</v>
      </c>
      <c r="P1237" s="4" t="s">
        <v>135</v>
      </c>
      <c r="Q1237" s="4"/>
      <c r="R1237" s="7">
        <v>121000</v>
      </c>
      <c r="S1237" s="7">
        <v>0</v>
      </c>
      <c r="T1237" s="7">
        <f>R1237-S1237</f>
        <v>0</v>
      </c>
      <c r="U1237" s="7">
        <f>T1237*O1237</f>
        <v>0</v>
      </c>
    </row>
    <row r="1238" spans="1:21">
      <c r="A1238" s="4" t="s">
        <v>1827</v>
      </c>
      <c r="B1238" s="4" t="s">
        <v>39</v>
      </c>
      <c r="C1238" s="5">
        <v>45938.33671296296</v>
      </c>
      <c r="D1238" s="5">
        <v>45938</v>
      </c>
      <c r="E1238" s="6">
        <f>IF(AND(C1238&lt;&gt;"",D1238&lt;&gt;""),D1238-C1238,"")</f>
        <v>0</v>
      </c>
      <c r="F1238" s="4" t="s">
        <v>1355</v>
      </c>
      <c r="G1238" s="4" t="s">
        <v>1356</v>
      </c>
      <c r="H1238" s="4" t="s">
        <v>177</v>
      </c>
      <c r="I1238" s="4" t="s">
        <v>56</v>
      </c>
      <c r="J1238" s="4">
        <v>0</v>
      </c>
      <c r="K1238" s="4">
        <v>0</v>
      </c>
      <c r="L1238" s="4">
        <f>J1238+K1238</f>
        <v>0</v>
      </c>
      <c r="M1238" s="4" t="s">
        <v>370</v>
      </c>
      <c r="N1238" s="4"/>
      <c r="O1238" s="4">
        <v>1</v>
      </c>
      <c r="P1238" s="4" t="s">
        <v>135</v>
      </c>
      <c r="Q1238" s="4"/>
      <c r="R1238" s="7">
        <v>121000</v>
      </c>
      <c r="S1238" s="7">
        <v>0</v>
      </c>
      <c r="T1238" s="7">
        <f>R1238-S1238</f>
        <v>0</v>
      </c>
      <c r="U1238" s="7">
        <f>T1238*O1238</f>
        <v>0</v>
      </c>
    </row>
    <row r="1239" spans="1:21">
      <c r="A1239" s="4" t="s">
        <v>1829</v>
      </c>
      <c r="B1239" s="4" t="s">
        <v>48</v>
      </c>
      <c r="C1239" s="5">
        <v>45938.37336805555</v>
      </c>
      <c r="D1239" s="5">
        <v>45961</v>
      </c>
      <c r="E1239" s="6">
        <f>IF(AND(C1239&lt;&gt;"",D1239&lt;&gt;""),D1239-C1239,"")</f>
        <v>0</v>
      </c>
      <c r="F1239" s="4" t="s">
        <v>1733</v>
      </c>
      <c r="G1239" s="4" t="s">
        <v>1830</v>
      </c>
      <c r="H1239" s="4" t="s">
        <v>32</v>
      </c>
      <c r="I1239" s="4" t="s">
        <v>33</v>
      </c>
      <c r="J1239" s="4">
        <v>3</v>
      </c>
      <c r="K1239" s="4">
        <v>0</v>
      </c>
      <c r="L1239" s="4">
        <f>J1239+K1239</f>
        <v>0</v>
      </c>
      <c r="M1239" s="4"/>
      <c r="N1239" s="4"/>
      <c r="O1239" s="4">
        <v>0</v>
      </c>
      <c r="P1239" s="4"/>
      <c r="Q1239" s="4"/>
      <c r="R1239" s="7">
        <v>0</v>
      </c>
      <c r="S1239" s="7">
        <v>0</v>
      </c>
      <c r="T1239" s="7">
        <f>R1239-S1239</f>
        <v>0</v>
      </c>
      <c r="U1239" s="7">
        <f>T1239*O1239</f>
        <v>0</v>
      </c>
    </row>
    <row r="1240" spans="1:21">
      <c r="A1240" s="4" t="s">
        <v>1831</v>
      </c>
      <c r="B1240" s="4" t="s">
        <v>103</v>
      </c>
      <c r="C1240" s="5">
        <v>45938.37706018519</v>
      </c>
      <c r="D1240" s="5">
        <v>45961</v>
      </c>
      <c r="E1240" s="6">
        <f>IF(AND(C1240&lt;&gt;"",D1240&lt;&gt;""),D1240-C1240,"")</f>
        <v>0</v>
      </c>
      <c r="F1240" s="4" t="s">
        <v>162</v>
      </c>
      <c r="G1240" s="4" t="s">
        <v>202</v>
      </c>
      <c r="H1240" s="4" t="s">
        <v>32</v>
      </c>
      <c r="I1240" s="4" t="s">
        <v>33</v>
      </c>
      <c r="J1240" s="4">
        <v>3</v>
      </c>
      <c r="K1240" s="4">
        <v>2</v>
      </c>
      <c r="L1240" s="4">
        <f>J1240+K1240</f>
        <v>0</v>
      </c>
      <c r="M1240" s="4"/>
      <c r="N1240" s="4"/>
      <c r="O1240" s="4">
        <v>0</v>
      </c>
      <c r="P1240" s="4"/>
      <c r="Q1240" s="4"/>
      <c r="R1240" s="7">
        <v>0</v>
      </c>
      <c r="S1240" s="7">
        <v>0</v>
      </c>
      <c r="T1240" s="7">
        <f>R1240-S1240</f>
        <v>0</v>
      </c>
      <c r="U1240" s="7">
        <f>T1240*O1240</f>
        <v>0</v>
      </c>
    </row>
    <row r="1241" spans="1:21">
      <c r="A1241" s="4" t="s">
        <v>1832</v>
      </c>
      <c r="B1241" s="4" t="s">
        <v>103</v>
      </c>
      <c r="C1241" s="5">
        <v>45938.37711805556</v>
      </c>
      <c r="D1241" s="5">
        <v>45961</v>
      </c>
      <c r="E1241" s="6">
        <f>IF(AND(C1241&lt;&gt;"",D1241&lt;&gt;""),D1241-C1241,"")</f>
        <v>0</v>
      </c>
      <c r="F1241" s="4" t="s">
        <v>1833</v>
      </c>
      <c r="G1241" s="4"/>
      <c r="H1241" s="4"/>
      <c r="I1241" s="4" t="s">
        <v>56</v>
      </c>
      <c r="J1241" s="4">
        <v>1</v>
      </c>
      <c r="K1241" s="4">
        <v>1</v>
      </c>
      <c r="L1241" s="4">
        <f>J1241+K1241</f>
        <v>0</v>
      </c>
      <c r="M1241" s="4"/>
      <c r="N1241" s="4"/>
      <c r="O1241" s="4">
        <v>0</v>
      </c>
      <c r="P1241" s="4"/>
      <c r="Q1241" s="4"/>
      <c r="R1241" s="7">
        <v>0</v>
      </c>
      <c r="S1241" s="7">
        <v>0</v>
      </c>
      <c r="T1241" s="7">
        <f>R1241-S1241</f>
        <v>0</v>
      </c>
      <c r="U1241" s="7">
        <f>T1241*O1241</f>
        <v>0</v>
      </c>
    </row>
    <row r="1242" spans="1:21">
      <c r="A1242" s="4" t="s">
        <v>1834</v>
      </c>
      <c r="B1242" s="4" t="s">
        <v>103</v>
      </c>
      <c r="C1242" s="5">
        <v>45938.37759259259</v>
      </c>
      <c r="D1242" s="5">
        <v>45961</v>
      </c>
      <c r="E1242" s="6">
        <f>IF(AND(C1242&lt;&gt;"",D1242&lt;&gt;""),D1242-C1242,"")</f>
        <v>0</v>
      </c>
      <c r="F1242" s="4" t="s">
        <v>812</v>
      </c>
      <c r="G1242" s="4"/>
      <c r="H1242" s="4"/>
      <c r="I1242" s="4" t="s">
        <v>56</v>
      </c>
      <c r="J1242" s="4">
        <v>1</v>
      </c>
      <c r="K1242" s="4">
        <v>0</v>
      </c>
      <c r="L1242" s="4">
        <f>J1242+K1242</f>
        <v>0</v>
      </c>
      <c r="M1242" s="4"/>
      <c r="N1242" s="4"/>
      <c r="O1242" s="4">
        <v>0</v>
      </c>
      <c r="P1242" s="4"/>
      <c r="Q1242" s="4"/>
      <c r="R1242" s="7">
        <v>0</v>
      </c>
      <c r="S1242" s="7">
        <v>0</v>
      </c>
      <c r="T1242" s="7">
        <f>R1242-S1242</f>
        <v>0</v>
      </c>
      <c r="U1242" s="7">
        <f>T1242*O1242</f>
        <v>0</v>
      </c>
    </row>
    <row r="1243" spans="1:21">
      <c r="A1243" s="4" t="s">
        <v>1835</v>
      </c>
      <c r="B1243" s="4" t="s">
        <v>103</v>
      </c>
      <c r="C1243" s="5">
        <v>45938.37989583334</v>
      </c>
      <c r="D1243" s="5">
        <v>45961</v>
      </c>
      <c r="E1243" s="6">
        <f>IF(AND(C1243&lt;&gt;"",D1243&lt;&gt;""),D1243-C1243,"")</f>
        <v>0</v>
      </c>
      <c r="F1243" s="4" t="s">
        <v>1836</v>
      </c>
      <c r="G1243" s="4"/>
      <c r="H1243" s="4"/>
      <c r="I1243" s="4" t="s">
        <v>56</v>
      </c>
      <c r="J1243" s="4">
        <v>1</v>
      </c>
      <c r="K1243" s="4">
        <v>1</v>
      </c>
      <c r="L1243" s="4">
        <f>J1243+K1243</f>
        <v>0</v>
      </c>
      <c r="M1243" s="4"/>
      <c r="N1243" s="4"/>
      <c r="O1243" s="4">
        <v>0</v>
      </c>
      <c r="P1243" s="4"/>
      <c r="Q1243" s="4"/>
      <c r="R1243" s="7">
        <v>0</v>
      </c>
      <c r="S1243" s="7">
        <v>0</v>
      </c>
      <c r="T1243" s="7">
        <f>R1243-S1243</f>
        <v>0</v>
      </c>
      <c r="U1243" s="7">
        <f>T1243*O1243</f>
        <v>0</v>
      </c>
    </row>
    <row r="1244" spans="1:21">
      <c r="A1244" s="4" t="s">
        <v>1837</v>
      </c>
      <c r="B1244" s="4" t="s">
        <v>39</v>
      </c>
      <c r="C1244" s="5">
        <v>45938.38582175926</v>
      </c>
      <c r="D1244" s="5">
        <v>45938</v>
      </c>
      <c r="E1244" s="6">
        <f>IF(AND(C1244&lt;&gt;"",D1244&lt;&gt;""),D1244-C1244,"")</f>
        <v>0</v>
      </c>
      <c r="F1244" s="4" t="s">
        <v>271</v>
      </c>
      <c r="G1244" s="4" t="s">
        <v>272</v>
      </c>
      <c r="H1244" s="4" t="s">
        <v>32</v>
      </c>
      <c r="I1244" s="4" t="s">
        <v>33</v>
      </c>
      <c r="J1244" s="4">
        <v>0</v>
      </c>
      <c r="K1244" s="4">
        <v>0</v>
      </c>
      <c r="L1244" s="4">
        <f>J1244+K1244</f>
        <v>0</v>
      </c>
      <c r="M1244" s="4" t="s">
        <v>1838</v>
      </c>
      <c r="N1244" s="4"/>
      <c r="O1244" s="4">
        <v>1</v>
      </c>
      <c r="P1244" s="4" t="s">
        <v>135</v>
      </c>
      <c r="Q1244" s="4"/>
      <c r="R1244" s="7">
        <v>173000</v>
      </c>
      <c r="S1244" s="7">
        <v>0</v>
      </c>
      <c r="T1244" s="7">
        <f>R1244-S1244</f>
        <v>0</v>
      </c>
      <c r="U1244" s="7">
        <f>T1244*O1244</f>
        <v>0</v>
      </c>
    </row>
    <row r="1245" spans="1:21">
      <c r="A1245" s="4" t="s">
        <v>1839</v>
      </c>
      <c r="B1245" s="4" t="s">
        <v>39</v>
      </c>
      <c r="C1245" s="5">
        <v>45938.38618055556</v>
      </c>
      <c r="D1245" s="5">
        <v>45938</v>
      </c>
      <c r="E1245" s="6">
        <f>IF(AND(C1245&lt;&gt;"",D1245&lt;&gt;""),D1245-C1245,"")</f>
        <v>0</v>
      </c>
      <c r="F1245" s="4" t="s">
        <v>114</v>
      </c>
      <c r="G1245" s="4"/>
      <c r="H1245" s="4"/>
      <c r="I1245" s="4" t="s">
        <v>56</v>
      </c>
      <c r="J1245" s="4">
        <v>0</v>
      </c>
      <c r="K1245" s="4">
        <v>0</v>
      </c>
      <c r="L1245" s="4">
        <f>J1245+K1245</f>
        <v>0</v>
      </c>
      <c r="M1245" s="4" t="s">
        <v>1840</v>
      </c>
      <c r="N1245" s="4"/>
      <c r="O1245" s="4">
        <v>1</v>
      </c>
      <c r="P1245" s="4" t="s">
        <v>135</v>
      </c>
      <c r="Q1245" s="4"/>
      <c r="R1245" s="7">
        <v>153000</v>
      </c>
      <c r="S1245" s="7">
        <v>0</v>
      </c>
      <c r="T1245" s="7">
        <f>R1245-S1245</f>
        <v>0</v>
      </c>
      <c r="U1245" s="7">
        <f>T1245*O1245</f>
        <v>0</v>
      </c>
    </row>
    <row r="1246" spans="1:21">
      <c r="A1246" s="4" t="s">
        <v>1841</v>
      </c>
      <c r="B1246" s="4" t="s">
        <v>39</v>
      </c>
      <c r="C1246" s="5">
        <v>45938.40068287037</v>
      </c>
      <c r="D1246" s="5">
        <v>45938</v>
      </c>
      <c r="E1246" s="6">
        <f>IF(AND(C1246&lt;&gt;"",D1246&lt;&gt;""),D1246-C1246,"")</f>
        <v>0</v>
      </c>
      <c r="F1246" s="4" t="s">
        <v>92</v>
      </c>
      <c r="G1246" s="4"/>
      <c r="H1246" s="4"/>
      <c r="I1246" s="4" t="s">
        <v>56</v>
      </c>
      <c r="J1246" s="4">
        <v>1</v>
      </c>
      <c r="K1246" s="4">
        <v>0</v>
      </c>
      <c r="L1246" s="4">
        <f>J1246+K1246</f>
        <v>0</v>
      </c>
      <c r="M1246" s="4" t="s">
        <v>80</v>
      </c>
      <c r="N1246" s="4"/>
      <c r="O1246" s="4">
        <v>1</v>
      </c>
      <c r="P1246" s="4" t="s">
        <v>135</v>
      </c>
      <c r="Q1246" s="4"/>
      <c r="R1246" s="7">
        <v>610000</v>
      </c>
      <c r="S1246" s="7">
        <v>0</v>
      </c>
      <c r="T1246" s="7">
        <f>R1246-S1246</f>
        <v>0</v>
      </c>
      <c r="U1246" s="7">
        <f>T1246*O1246</f>
        <v>0</v>
      </c>
    </row>
    <row r="1247" spans="1:21">
      <c r="A1247" s="4" t="s">
        <v>1842</v>
      </c>
      <c r="B1247" s="4" t="s">
        <v>48</v>
      </c>
      <c r="C1247" s="5">
        <v>45938.43388888889</v>
      </c>
      <c r="D1247" s="5">
        <v>45961</v>
      </c>
      <c r="E1247" s="6">
        <f>IF(AND(C1247&lt;&gt;"",D1247&lt;&gt;""),D1247-C1247,"")</f>
        <v>0</v>
      </c>
      <c r="F1247" s="4" t="s">
        <v>1733</v>
      </c>
      <c r="G1247" s="4" t="s">
        <v>1843</v>
      </c>
      <c r="H1247" s="4" t="s">
        <v>32</v>
      </c>
      <c r="I1247" s="4" t="s">
        <v>33</v>
      </c>
      <c r="J1247" s="4">
        <v>3</v>
      </c>
      <c r="K1247" s="4">
        <v>0</v>
      </c>
      <c r="L1247" s="4">
        <f>J1247+K1247</f>
        <v>0</v>
      </c>
      <c r="M1247" s="4"/>
      <c r="N1247" s="4"/>
      <c r="O1247" s="4">
        <v>0</v>
      </c>
      <c r="P1247" s="4"/>
      <c r="Q1247" s="4"/>
      <c r="R1247" s="7">
        <v>0</v>
      </c>
      <c r="S1247" s="7">
        <v>0</v>
      </c>
      <c r="T1247" s="7">
        <f>R1247-S1247</f>
        <v>0</v>
      </c>
      <c r="U1247" s="7">
        <f>T1247*O1247</f>
        <v>0</v>
      </c>
    </row>
    <row r="1248" spans="1:21">
      <c r="A1248" s="4" t="s">
        <v>1844</v>
      </c>
      <c r="B1248" s="4" t="s">
        <v>48</v>
      </c>
      <c r="C1248" s="5">
        <v>45938.5280324074</v>
      </c>
      <c r="D1248" s="5">
        <v>45961</v>
      </c>
      <c r="E1248" s="6">
        <f>IF(AND(C1248&lt;&gt;"",D1248&lt;&gt;""),D1248-C1248,"")</f>
        <v>0</v>
      </c>
      <c r="F1248" s="4" t="s">
        <v>1845</v>
      </c>
      <c r="G1248" s="4" t="s">
        <v>1846</v>
      </c>
      <c r="H1248" s="4" t="s">
        <v>32</v>
      </c>
      <c r="I1248" s="4" t="s">
        <v>33</v>
      </c>
      <c r="J1248" s="4">
        <v>16</v>
      </c>
      <c r="K1248" s="4">
        <v>5</v>
      </c>
      <c r="L1248" s="4">
        <f>J1248+K1248</f>
        <v>0</v>
      </c>
      <c r="M1248" s="4"/>
      <c r="N1248" s="4"/>
      <c r="O1248" s="4">
        <v>0</v>
      </c>
      <c r="P1248" s="4"/>
      <c r="Q1248" s="4"/>
      <c r="R1248" s="7">
        <v>0</v>
      </c>
      <c r="S1248" s="7">
        <v>0</v>
      </c>
      <c r="T1248" s="7">
        <f>R1248-S1248</f>
        <v>0</v>
      </c>
      <c r="U1248" s="7">
        <f>T1248*O1248</f>
        <v>0</v>
      </c>
    </row>
    <row r="1249" spans="1:21">
      <c r="A1249" s="4" t="s">
        <v>1847</v>
      </c>
      <c r="B1249" s="4" t="s">
        <v>29</v>
      </c>
      <c r="C1249" s="5">
        <v>45938.54635416667</v>
      </c>
      <c r="D1249" s="5">
        <v>45961</v>
      </c>
      <c r="E1249" s="6">
        <f>IF(AND(C1249&lt;&gt;"",D1249&lt;&gt;""),D1249-C1249,"")</f>
        <v>0</v>
      </c>
      <c r="F1249" s="4" t="s">
        <v>307</v>
      </c>
      <c r="G1249" s="4" t="s">
        <v>308</v>
      </c>
      <c r="H1249" s="4" t="s">
        <v>190</v>
      </c>
      <c r="I1249" s="4" t="s">
        <v>56</v>
      </c>
      <c r="J1249" s="4">
        <v>1</v>
      </c>
      <c r="K1249" s="4">
        <v>0</v>
      </c>
      <c r="L1249" s="4">
        <f>J1249+K1249</f>
        <v>0</v>
      </c>
      <c r="M1249" s="4"/>
      <c r="N1249" s="4"/>
      <c r="O1249" s="4">
        <v>0</v>
      </c>
      <c r="P1249" s="4"/>
      <c r="Q1249" s="4"/>
      <c r="R1249" s="7">
        <v>0</v>
      </c>
      <c r="S1249" s="7">
        <v>0</v>
      </c>
      <c r="T1249" s="7">
        <f>R1249-S1249</f>
        <v>0</v>
      </c>
      <c r="U1249" s="7">
        <f>T1249*O1249</f>
        <v>0</v>
      </c>
    </row>
    <row r="1250" spans="1:21">
      <c r="A1250" s="4" t="s">
        <v>1848</v>
      </c>
      <c r="B1250" s="4" t="s">
        <v>29</v>
      </c>
      <c r="C1250" s="5">
        <v>45938.54672453704</v>
      </c>
      <c r="D1250" s="5">
        <v>45961</v>
      </c>
      <c r="E1250" s="6">
        <f>IF(AND(C1250&lt;&gt;"",D1250&lt;&gt;""),D1250-C1250,"")</f>
        <v>0</v>
      </c>
      <c r="F1250" s="4" t="s">
        <v>307</v>
      </c>
      <c r="G1250" s="4" t="s">
        <v>308</v>
      </c>
      <c r="H1250" s="4" t="s">
        <v>190</v>
      </c>
      <c r="I1250" s="4" t="s">
        <v>56</v>
      </c>
      <c r="J1250" s="4">
        <v>1</v>
      </c>
      <c r="K1250" s="4">
        <v>0</v>
      </c>
      <c r="L1250" s="4">
        <f>J1250+K1250</f>
        <v>0</v>
      </c>
      <c r="M1250" s="4"/>
      <c r="N1250" s="4"/>
      <c r="O1250" s="4">
        <v>0</v>
      </c>
      <c r="P1250" s="4"/>
      <c r="Q1250" s="4"/>
      <c r="R1250" s="7">
        <v>0</v>
      </c>
      <c r="S1250" s="7">
        <v>0</v>
      </c>
      <c r="T1250" s="7">
        <f>R1250-S1250</f>
        <v>0</v>
      </c>
      <c r="U1250" s="7">
        <f>T1250*O1250</f>
        <v>0</v>
      </c>
    </row>
    <row r="1251" spans="1:21">
      <c r="A1251" s="4" t="s">
        <v>1849</v>
      </c>
      <c r="B1251" s="4" t="s">
        <v>48</v>
      </c>
      <c r="C1251" s="5">
        <v>45938.61453703704</v>
      </c>
      <c r="D1251" s="5">
        <v>45961</v>
      </c>
      <c r="E1251" s="6">
        <f>IF(AND(C1251&lt;&gt;"",D1251&lt;&gt;""),D1251-C1251,"")</f>
        <v>0</v>
      </c>
      <c r="F1251" s="4" t="s">
        <v>1850</v>
      </c>
      <c r="G1251" s="4" t="s">
        <v>1851</v>
      </c>
      <c r="H1251" s="4" t="s">
        <v>32</v>
      </c>
      <c r="I1251" s="4" t="s">
        <v>33</v>
      </c>
      <c r="J1251" s="4">
        <v>3</v>
      </c>
      <c r="K1251" s="4">
        <v>0</v>
      </c>
      <c r="L1251" s="4">
        <f>J1251+K1251</f>
        <v>0</v>
      </c>
      <c r="M1251" s="4"/>
      <c r="N1251" s="4"/>
      <c r="O1251" s="4">
        <v>0</v>
      </c>
      <c r="P1251" s="4"/>
      <c r="Q1251" s="4"/>
      <c r="R1251" s="7">
        <v>0</v>
      </c>
      <c r="S1251" s="7">
        <v>0</v>
      </c>
      <c r="T1251" s="7">
        <f>R1251-S1251</f>
        <v>0</v>
      </c>
      <c r="U1251" s="7">
        <f>T1251*O1251</f>
        <v>0</v>
      </c>
    </row>
    <row r="1252" spans="1:21">
      <c r="A1252" s="4" t="s">
        <v>1852</v>
      </c>
      <c r="B1252" s="4" t="s">
        <v>48</v>
      </c>
      <c r="C1252" s="5">
        <v>45938.63853009259</v>
      </c>
      <c r="D1252" s="5">
        <v>45961</v>
      </c>
      <c r="E1252" s="6">
        <f>IF(AND(C1252&lt;&gt;"",D1252&lt;&gt;""),D1252-C1252,"")</f>
        <v>0</v>
      </c>
      <c r="F1252" s="4" t="s">
        <v>1853</v>
      </c>
      <c r="G1252" s="4" t="s">
        <v>1854</v>
      </c>
      <c r="H1252" s="4" t="s">
        <v>32</v>
      </c>
      <c r="I1252" s="4" t="s">
        <v>33</v>
      </c>
      <c r="J1252" s="4">
        <v>3</v>
      </c>
      <c r="K1252" s="4">
        <v>0</v>
      </c>
      <c r="L1252" s="4">
        <f>J1252+K1252</f>
        <v>0</v>
      </c>
      <c r="M1252" s="4"/>
      <c r="N1252" s="4"/>
      <c r="O1252" s="4">
        <v>0</v>
      </c>
      <c r="P1252" s="4"/>
      <c r="Q1252" s="4"/>
      <c r="R1252" s="7">
        <v>0</v>
      </c>
      <c r="S1252" s="7">
        <v>0</v>
      </c>
      <c r="T1252" s="7">
        <f>R1252-S1252</f>
        <v>0</v>
      </c>
      <c r="U1252" s="7">
        <f>T1252*O1252</f>
        <v>0</v>
      </c>
    </row>
    <row r="1253" spans="1:21">
      <c r="A1253" s="4" t="s">
        <v>1855</v>
      </c>
      <c r="B1253" s="4" t="s">
        <v>39</v>
      </c>
      <c r="C1253" s="5">
        <v>45938.64543981481</v>
      </c>
      <c r="D1253" s="5">
        <v>45938</v>
      </c>
      <c r="E1253" s="6">
        <f>IF(AND(C1253&lt;&gt;"",D1253&lt;&gt;""),D1253-C1253,"")</f>
        <v>0</v>
      </c>
      <c r="F1253" s="4" t="s">
        <v>1856</v>
      </c>
      <c r="G1253" s="4" t="s">
        <v>1857</v>
      </c>
      <c r="H1253" s="4" t="s">
        <v>32</v>
      </c>
      <c r="I1253" s="4" t="s">
        <v>33</v>
      </c>
      <c r="J1253" s="4">
        <v>0</v>
      </c>
      <c r="K1253" s="4">
        <v>1</v>
      </c>
      <c r="L1253" s="4">
        <f>J1253+K1253</f>
        <v>0</v>
      </c>
      <c r="M1253" s="4" t="s">
        <v>46</v>
      </c>
      <c r="N1253" s="4"/>
      <c r="O1253" s="4">
        <v>1</v>
      </c>
      <c r="P1253" s="4" t="s">
        <v>135</v>
      </c>
      <c r="Q1253" s="4"/>
      <c r="R1253" s="7">
        <v>325000</v>
      </c>
      <c r="S1253" s="7">
        <v>0</v>
      </c>
      <c r="T1253" s="7">
        <f>R1253-S1253</f>
        <v>0</v>
      </c>
      <c r="U1253" s="7">
        <f>T1253*O1253</f>
        <v>0</v>
      </c>
    </row>
    <row r="1254" spans="1:21">
      <c r="A1254" s="4" t="s">
        <v>1855</v>
      </c>
      <c r="B1254" s="4" t="s">
        <v>39</v>
      </c>
      <c r="C1254" s="5">
        <v>45938.64543981481</v>
      </c>
      <c r="D1254" s="5">
        <v>45938</v>
      </c>
      <c r="E1254" s="6">
        <f>IF(AND(C1254&lt;&gt;"",D1254&lt;&gt;""),D1254-C1254,"")</f>
        <v>0</v>
      </c>
      <c r="F1254" s="4" t="s">
        <v>1856</v>
      </c>
      <c r="G1254" s="4" t="s">
        <v>1857</v>
      </c>
      <c r="H1254" s="4" t="s">
        <v>32</v>
      </c>
      <c r="I1254" s="4" t="s">
        <v>33</v>
      </c>
      <c r="J1254" s="4">
        <v>1</v>
      </c>
      <c r="K1254" s="4">
        <v>0</v>
      </c>
      <c r="L1254" s="4">
        <f>J1254+K1254</f>
        <v>0</v>
      </c>
      <c r="M1254" s="4" t="s">
        <v>42</v>
      </c>
      <c r="N1254" s="4"/>
      <c r="O1254" s="4">
        <v>1</v>
      </c>
      <c r="P1254" s="4" t="s">
        <v>135</v>
      </c>
      <c r="Q1254" s="4"/>
      <c r="R1254" s="7">
        <v>370000</v>
      </c>
      <c r="S1254" s="7">
        <v>0</v>
      </c>
      <c r="T1254" s="7">
        <f>R1254-S1254</f>
        <v>0</v>
      </c>
      <c r="U1254" s="7">
        <f>T1254*O1254</f>
        <v>0</v>
      </c>
    </row>
    <row r="1255" spans="1:21">
      <c r="A1255" s="4" t="s">
        <v>1858</v>
      </c>
      <c r="B1255" s="4" t="s">
        <v>39</v>
      </c>
      <c r="C1255" s="5">
        <v>45938.64739583333</v>
      </c>
      <c r="D1255" s="5">
        <v>45938</v>
      </c>
      <c r="E1255" s="6">
        <f>IF(AND(C1255&lt;&gt;"",D1255&lt;&gt;""),D1255-C1255,"")</f>
        <v>0</v>
      </c>
      <c r="F1255" s="4" t="s">
        <v>1859</v>
      </c>
      <c r="G1255" s="4" t="s">
        <v>1860</v>
      </c>
      <c r="H1255" s="4" t="s">
        <v>32</v>
      </c>
      <c r="I1255" s="4" t="s">
        <v>33</v>
      </c>
      <c r="J1255" s="4">
        <v>0</v>
      </c>
      <c r="K1255" s="4">
        <v>1</v>
      </c>
      <c r="L1255" s="4">
        <f>J1255+K1255</f>
        <v>0</v>
      </c>
      <c r="M1255" s="4" t="s">
        <v>46</v>
      </c>
      <c r="N1255" s="4"/>
      <c r="O1255" s="4">
        <v>1</v>
      </c>
      <c r="P1255" s="4" t="s">
        <v>135</v>
      </c>
      <c r="Q1255" s="4"/>
      <c r="R1255" s="7">
        <v>325000</v>
      </c>
      <c r="S1255" s="7">
        <v>0</v>
      </c>
      <c r="T1255" s="7">
        <f>R1255-S1255</f>
        <v>0</v>
      </c>
      <c r="U1255" s="7">
        <f>T1255*O1255</f>
        <v>0</v>
      </c>
    </row>
    <row r="1256" spans="1:21">
      <c r="A1256" s="4" t="s">
        <v>1858</v>
      </c>
      <c r="B1256" s="4" t="s">
        <v>39</v>
      </c>
      <c r="C1256" s="5">
        <v>45938.64739583333</v>
      </c>
      <c r="D1256" s="5">
        <v>45938</v>
      </c>
      <c r="E1256" s="6">
        <f>IF(AND(C1256&lt;&gt;"",D1256&lt;&gt;""),D1256-C1256,"")</f>
        <v>0</v>
      </c>
      <c r="F1256" s="4" t="s">
        <v>1859</v>
      </c>
      <c r="G1256" s="4" t="s">
        <v>1860</v>
      </c>
      <c r="H1256" s="4" t="s">
        <v>32</v>
      </c>
      <c r="I1256" s="4" t="s">
        <v>33</v>
      </c>
      <c r="J1256" s="4">
        <v>1</v>
      </c>
      <c r="K1256" s="4">
        <v>0</v>
      </c>
      <c r="L1256" s="4">
        <f>J1256+K1256</f>
        <v>0</v>
      </c>
      <c r="M1256" s="4" t="s">
        <v>42</v>
      </c>
      <c r="N1256" s="4"/>
      <c r="O1256" s="4">
        <v>1</v>
      </c>
      <c r="P1256" s="4" t="s">
        <v>135</v>
      </c>
      <c r="Q1256" s="4"/>
      <c r="R1256" s="7">
        <v>370000</v>
      </c>
      <c r="S1256" s="7">
        <v>0</v>
      </c>
      <c r="T1256" s="7">
        <f>R1256-S1256</f>
        <v>0</v>
      </c>
      <c r="U1256" s="7">
        <f>T1256*O1256</f>
        <v>0</v>
      </c>
    </row>
    <row r="1257" spans="1:21">
      <c r="A1257" s="4" t="s">
        <v>1861</v>
      </c>
      <c r="B1257" s="4" t="s">
        <v>39</v>
      </c>
      <c r="C1257" s="5">
        <v>45938.64887731482</v>
      </c>
      <c r="D1257" s="5">
        <v>45938</v>
      </c>
      <c r="E1257" s="6">
        <f>IF(AND(C1257&lt;&gt;"",D1257&lt;&gt;""),D1257-C1257,"")</f>
        <v>0</v>
      </c>
      <c r="F1257" s="4" t="s">
        <v>1862</v>
      </c>
      <c r="G1257" s="4" t="s">
        <v>1863</v>
      </c>
      <c r="H1257" s="4" t="s">
        <v>32</v>
      </c>
      <c r="I1257" s="4" t="s">
        <v>33</v>
      </c>
      <c r="J1257" s="4">
        <v>1</v>
      </c>
      <c r="K1257" s="4">
        <v>0</v>
      </c>
      <c r="L1257" s="4">
        <f>J1257+K1257</f>
        <v>0</v>
      </c>
      <c r="M1257" s="4" t="s">
        <v>42</v>
      </c>
      <c r="N1257" s="4"/>
      <c r="O1257" s="4">
        <v>1</v>
      </c>
      <c r="P1257" s="4" t="s">
        <v>135</v>
      </c>
      <c r="Q1257" s="4"/>
      <c r="R1257" s="7">
        <v>370000</v>
      </c>
      <c r="S1257" s="7">
        <v>0</v>
      </c>
      <c r="T1257" s="7">
        <f>R1257-S1257</f>
        <v>0</v>
      </c>
      <c r="U1257" s="7">
        <f>T1257*O1257</f>
        <v>0</v>
      </c>
    </row>
    <row r="1258" spans="1:21">
      <c r="A1258" s="4" t="s">
        <v>1861</v>
      </c>
      <c r="B1258" s="4" t="s">
        <v>39</v>
      </c>
      <c r="C1258" s="5">
        <v>45938.64887731482</v>
      </c>
      <c r="D1258" s="5">
        <v>45938</v>
      </c>
      <c r="E1258" s="6">
        <f>IF(AND(C1258&lt;&gt;"",D1258&lt;&gt;""),D1258-C1258,"")</f>
        <v>0</v>
      </c>
      <c r="F1258" s="4" t="s">
        <v>1862</v>
      </c>
      <c r="G1258" s="4" t="s">
        <v>1863</v>
      </c>
      <c r="H1258" s="4" t="s">
        <v>32</v>
      </c>
      <c r="I1258" s="4" t="s">
        <v>33</v>
      </c>
      <c r="J1258" s="4">
        <v>0</v>
      </c>
      <c r="K1258" s="4">
        <v>1</v>
      </c>
      <c r="L1258" s="4">
        <f>J1258+K1258</f>
        <v>0</v>
      </c>
      <c r="M1258" s="4" t="s">
        <v>46</v>
      </c>
      <c r="N1258" s="4"/>
      <c r="O1258" s="4">
        <v>1</v>
      </c>
      <c r="P1258" s="4" t="s">
        <v>135</v>
      </c>
      <c r="Q1258" s="4"/>
      <c r="R1258" s="7">
        <v>325000</v>
      </c>
      <c r="S1258" s="7">
        <v>0</v>
      </c>
      <c r="T1258" s="7">
        <f>R1258-S1258</f>
        <v>0</v>
      </c>
      <c r="U1258" s="7">
        <f>T1258*O1258</f>
        <v>0</v>
      </c>
    </row>
    <row r="1259" spans="1:21">
      <c r="A1259" s="4" t="s">
        <v>1864</v>
      </c>
      <c r="B1259" s="4" t="s">
        <v>39</v>
      </c>
      <c r="C1259" s="5">
        <v>45938.65015046296</v>
      </c>
      <c r="D1259" s="5">
        <v>45938</v>
      </c>
      <c r="E1259" s="6">
        <f>IF(AND(C1259&lt;&gt;"",D1259&lt;&gt;""),D1259-C1259,"")</f>
        <v>0</v>
      </c>
      <c r="F1259" s="4" t="s">
        <v>1865</v>
      </c>
      <c r="G1259" s="4" t="s">
        <v>1866</v>
      </c>
      <c r="H1259" s="4" t="s">
        <v>32</v>
      </c>
      <c r="I1259" s="4" t="s">
        <v>33</v>
      </c>
      <c r="J1259" s="4">
        <v>0</v>
      </c>
      <c r="K1259" s="4">
        <v>1</v>
      </c>
      <c r="L1259" s="4">
        <f>J1259+K1259</f>
        <v>0</v>
      </c>
      <c r="M1259" s="4" t="s">
        <v>46</v>
      </c>
      <c r="N1259" s="4"/>
      <c r="O1259" s="4">
        <v>1</v>
      </c>
      <c r="P1259" s="4" t="s">
        <v>135</v>
      </c>
      <c r="Q1259" s="4"/>
      <c r="R1259" s="7">
        <v>325000</v>
      </c>
      <c r="S1259" s="7">
        <v>0</v>
      </c>
      <c r="T1259" s="7">
        <f>R1259-S1259</f>
        <v>0</v>
      </c>
      <c r="U1259" s="7">
        <f>T1259*O1259</f>
        <v>0</v>
      </c>
    </row>
    <row r="1260" spans="1:21">
      <c r="A1260" s="4" t="s">
        <v>1864</v>
      </c>
      <c r="B1260" s="4" t="s">
        <v>39</v>
      </c>
      <c r="C1260" s="5">
        <v>45938.65015046296</v>
      </c>
      <c r="D1260" s="5">
        <v>45938</v>
      </c>
      <c r="E1260" s="6">
        <f>IF(AND(C1260&lt;&gt;"",D1260&lt;&gt;""),D1260-C1260,"")</f>
        <v>0</v>
      </c>
      <c r="F1260" s="4" t="s">
        <v>1865</v>
      </c>
      <c r="G1260" s="4" t="s">
        <v>1866</v>
      </c>
      <c r="H1260" s="4" t="s">
        <v>32</v>
      </c>
      <c r="I1260" s="4" t="s">
        <v>33</v>
      </c>
      <c r="J1260" s="4">
        <v>1</v>
      </c>
      <c r="K1260" s="4">
        <v>0</v>
      </c>
      <c r="L1260" s="4">
        <f>J1260+K1260</f>
        <v>0</v>
      </c>
      <c r="M1260" s="4" t="s">
        <v>42</v>
      </c>
      <c r="N1260" s="4"/>
      <c r="O1260" s="4">
        <v>1</v>
      </c>
      <c r="P1260" s="4" t="s">
        <v>135</v>
      </c>
      <c r="Q1260" s="4"/>
      <c r="R1260" s="7">
        <v>370000</v>
      </c>
      <c r="S1260" s="7">
        <v>0</v>
      </c>
      <c r="T1260" s="7">
        <f>R1260-S1260</f>
        <v>0</v>
      </c>
      <c r="U1260" s="7">
        <f>T1260*O1260</f>
        <v>0</v>
      </c>
    </row>
    <row r="1261" spans="1:21">
      <c r="A1261" s="4" t="s">
        <v>1867</v>
      </c>
      <c r="B1261" s="4" t="s">
        <v>39</v>
      </c>
      <c r="C1261" s="5">
        <v>45938.65302083334</v>
      </c>
      <c r="D1261" s="5">
        <v>45938</v>
      </c>
      <c r="E1261" s="6">
        <f>IF(AND(C1261&lt;&gt;"",D1261&lt;&gt;""),D1261-C1261,"")</f>
        <v>0</v>
      </c>
      <c r="F1261" s="4" t="s">
        <v>1868</v>
      </c>
      <c r="G1261" s="4" t="s">
        <v>1869</v>
      </c>
      <c r="H1261" s="4" t="s">
        <v>32</v>
      </c>
      <c r="I1261" s="4" t="s">
        <v>33</v>
      </c>
      <c r="J1261" s="4">
        <v>0</v>
      </c>
      <c r="K1261" s="4">
        <v>1</v>
      </c>
      <c r="L1261" s="4">
        <f>J1261+K1261</f>
        <v>0</v>
      </c>
      <c r="M1261" s="4" t="s">
        <v>46</v>
      </c>
      <c r="N1261" s="4"/>
      <c r="O1261" s="4">
        <v>1</v>
      </c>
      <c r="P1261" s="4" t="s">
        <v>135</v>
      </c>
      <c r="Q1261" s="4"/>
      <c r="R1261" s="7">
        <v>325000</v>
      </c>
      <c r="S1261" s="7">
        <v>0</v>
      </c>
      <c r="T1261" s="7">
        <f>R1261-S1261</f>
        <v>0</v>
      </c>
      <c r="U1261" s="7">
        <f>T1261*O1261</f>
        <v>0</v>
      </c>
    </row>
    <row r="1262" spans="1:21">
      <c r="A1262" s="4" t="s">
        <v>1867</v>
      </c>
      <c r="B1262" s="4" t="s">
        <v>39</v>
      </c>
      <c r="C1262" s="5">
        <v>45938.65302083334</v>
      </c>
      <c r="D1262" s="5">
        <v>45938</v>
      </c>
      <c r="E1262" s="6">
        <f>IF(AND(C1262&lt;&gt;"",D1262&lt;&gt;""),D1262-C1262,"")</f>
        <v>0</v>
      </c>
      <c r="F1262" s="4" t="s">
        <v>1868</v>
      </c>
      <c r="G1262" s="4" t="s">
        <v>1869</v>
      </c>
      <c r="H1262" s="4" t="s">
        <v>32</v>
      </c>
      <c r="I1262" s="4" t="s">
        <v>33</v>
      </c>
      <c r="J1262" s="4">
        <v>1</v>
      </c>
      <c r="K1262" s="4">
        <v>0</v>
      </c>
      <c r="L1262" s="4">
        <f>J1262+K1262</f>
        <v>0</v>
      </c>
      <c r="M1262" s="4" t="s">
        <v>42</v>
      </c>
      <c r="N1262" s="4"/>
      <c r="O1262" s="4">
        <v>1</v>
      </c>
      <c r="P1262" s="4" t="s">
        <v>135</v>
      </c>
      <c r="Q1262" s="4"/>
      <c r="R1262" s="7">
        <v>370000</v>
      </c>
      <c r="S1262" s="7">
        <v>0</v>
      </c>
      <c r="T1262" s="7">
        <f>R1262-S1262</f>
        <v>0</v>
      </c>
      <c r="U1262" s="7">
        <f>T1262*O1262</f>
        <v>0</v>
      </c>
    </row>
    <row r="1263" spans="1:21">
      <c r="A1263" s="4" t="s">
        <v>1870</v>
      </c>
      <c r="B1263" s="4" t="s">
        <v>39</v>
      </c>
      <c r="C1263" s="5">
        <v>45939.03346064815</v>
      </c>
      <c r="D1263" s="5">
        <v>45939</v>
      </c>
      <c r="E1263" s="6">
        <f>IF(AND(C1263&lt;&gt;"",D1263&lt;&gt;""),D1263-C1263,"")</f>
        <v>0</v>
      </c>
      <c r="F1263" s="4" t="s">
        <v>1358</v>
      </c>
      <c r="G1263" s="4" t="s">
        <v>1359</v>
      </c>
      <c r="H1263" s="4" t="s">
        <v>32</v>
      </c>
      <c r="I1263" s="4" t="s">
        <v>33</v>
      </c>
      <c r="J1263" s="4">
        <v>0</v>
      </c>
      <c r="K1263" s="4">
        <v>0</v>
      </c>
      <c r="L1263" s="4">
        <f>J1263+K1263</f>
        <v>0</v>
      </c>
      <c r="M1263" s="4" t="s">
        <v>370</v>
      </c>
      <c r="N1263" s="4"/>
      <c r="O1263" s="4">
        <v>1</v>
      </c>
      <c r="P1263" s="4" t="s">
        <v>135</v>
      </c>
      <c r="Q1263" s="4" t="s">
        <v>44</v>
      </c>
      <c r="R1263" s="7">
        <v>2000000</v>
      </c>
      <c r="S1263" s="7">
        <v>0</v>
      </c>
      <c r="T1263" s="7">
        <f>R1263-S1263</f>
        <v>0</v>
      </c>
      <c r="U1263" s="7">
        <f>T1263*O1263</f>
        <v>0</v>
      </c>
    </row>
    <row r="1264" spans="1:21">
      <c r="A1264" s="4" t="s">
        <v>1871</v>
      </c>
      <c r="B1264" s="4" t="s">
        <v>39</v>
      </c>
      <c r="C1264" s="5">
        <v>45939.03461805556</v>
      </c>
      <c r="D1264" s="5">
        <v>45939</v>
      </c>
      <c r="E1264" s="6">
        <f>IF(AND(C1264&lt;&gt;"",D1264&lt;&gt;""),D1264-C1264,"")</f>
        <v>0</v>
      </c>
      <c r="F1264" s="4" t="s">
        <v>1367</v>
      </c>
      <c r="G1264" s="4" t="s">
        <v>1368</v>
      </c>
      <c r="H1264" s="4" t="s">
        <v>32</v>
      </c>
      <c r="I1264" s="4" t="s">
        <v>33</v>
      </c>
      <c r="J1264" s="4">
        <v>0</v>
      </c>
      <c r="K1264" s="4">
        <v>0</v>
      </c>
      <c r="L1264" s="4">
        <f>J1264+K1264</f>
        <v>0</v>
      </c>
      <c r="M1264" s="4" t="s">
        <v>370</v>
      </c>
      <c r="N1264" s="4"/>
      <c r="O1264" s="4">
        <v>1</v>
      </c>
      <c r="P1264" s="4" t="s">
        <v>135</v>
      </c>
      <c r="Q1264" s="4" t="s">
        <v>44</v>
      </c>
      <c r="R1264" s="7">
        <v>2000000</v>
      </c>
      <c r="S1264" s="7">
        <v>0</v>
      </c>
      <c r="T1264" s="7">
        <f>R1264-S1264</f>
        <v>0</v>
      </c>
      <c r="U1264" s="7">
        <f>T1264*O1264</f>
        <v>0</v>
      </c>
    </row>
    <row r="1265" spans="1:21">
      <c r="A1265" s="4" t="s">
        <v>1872</v>
      </c>
      <c r="B1265" s="4" t="s">
        <v>39</v>
      </c>
      <c r="C1265" s="5">
        <v>45939.03503472222</v>
      </c>
      <c r="D1265" s="5">
        <v>45939</v>
      </c>
      <c r="E1265" s="6">
        <f>IF(AND(C1265&lt;&gt;"",D1265&lt;&gt;""),D1265-C1265,"")</f>
        <v>0</v>
      </c>
      <c r="F1265" s="4" t="s">
        <v>1358</v>
      </c>
      <c r="G1265" s="4" t="s">
        <v>1359</v>
      </c>
      <c r="H1265" s="4" t="s">
        <v>32</v>
      </c>
      <c r="I1265" s="4" t="s">
        <v>33</v>
      </c>
      <c r="J1265" s="4">
        <v>0</v>
      </c>
      <c r="K1265" s="4">
        <v>0</v>
      </c>
      <c r="L1265" s="4">
        <f>J1265+K1265</f>
        <v>0</v>
      </c>
      <c r="M1265" s="4" t="s">
        <v>370</v>
      </c>
      <c r="N1265" s="4"/>
      <c r="O1265" s="4">
        <v>1</v>
      </c>
      <c r="P1265" s="4" t="s">
        <v>135</v>
      </c>
      <c r="Q1265" s="4" t="s">
        <v>44</v>
      </c>
      <c r="R1265" s="7">
        <v>2000000</v>
      </c>
      <c r="S1265" s="7">
        <v>0</v>
      </c>
      <c r="T1265" s="7">
        <f>R1265-S1265</f>
        <v>0</v>
      </c>
      <c r="U1265" s="7">
        <f>T1265*O1265</f>
        <v>0</v>
      </c>
    </row>
    <row r="1266" spans="1:21">
      <c r="A1266" s="4" t="s">
        <v>1873</v>
      </c>
      <c r="B1266" s="4" t="s">
        <v>39</v>
      </c>
      <c r="C1266" s="5">
        <v>45939.0354050926</v>
      </c>
      <c r="D1266" s="5">
        <v>45939</v>
      </c>
      <c r="E1266" s="6">
        <f>IF(AND(C1266&lt;&gt;"",D1266&lt;&gt;""),D1266-C1266,"")</f>
        <v>0</v>
      </c>
      <c r="F1266" s="4" t="s">
        <v>1358</v>
      </c>
      <c r="G1266" s="4" t="s">
        <v>1359</v>
      </c>
      <c r="H1266" s="4" t="s">
        <v>32</v>
      </c>
      <c r="I1266" s="4" t="s">
        <v>33</v>
      </c>
      <c r="J1266" s="4">
        <v>0</v>
      </c>
      <c r="K1266" s="4">
        <v>0</v>
      </c>
      <c r="L1266" s="4">
        <f>J1266+K1266</f>
        <v>0</v>
      </c>
      <c r="M1266" s="4" t="s">
        <v>370</v>
      </c>
      <c r="N1266" s="4"/>
      <c r="O1266" s="4">
        <v>1</v>
      </c>
      <c r="P1266" s="4" t="s">
        <v>135</v>
      </c>
      <c r="Q1266" s="4" t="s">
        <v>44</v>
      </c>
      <c r="R1266" s="7">
        <v>2000000</v>
      </c>
      <c r="S1266" s="7">
        <v>0</v>
      </c>
      <c r="T1266" s="7">
        <f>R1266-S1266</f>
        <v>0</v>
      </c>
      <c r="U1266" s="7">
        <f>T1266*O1266</f>
        <v>0</v>
      </c>
    </row>
    <row r="1267" spans="1:21">
      <c r="A1267" s="4" t="s">
        <v>1874</v>
      </c>
      <c r="B1267" s="4" t="s">
        <v>39</v>
      </c>
      <c r="C1267" s="5">
        <v>45939.03572916667</v>
      </c>
      <c r="D1267" s="5">
        <v>45939</v>
      </c>
      <c r="E1267" s="6">
        <f>IF(AND(C1267&lt;&gt;"",D1267&lt;&gt;""),D1267-C1267,"")</f>
        <v>0</v>
      </c>
      <c r="F1267" s="4" t="s">
        <v>1367</v>
      </c>
      <c r="G1267" s="4" t="s">
        <v>1368</v>
      </c>
      <c r="H1267" s="4" t="s">
        <v>32</v>
      </c>
      <c r="I1267" s="4" t="s">
        <v>33</v>
      </c>
      <c r="J1267" s="4">
        <v>0</v>
      </c>
      <c r="K1267" s="4">
        <v>0</v>
      </c>
      <c r="L1267" s="4">
        <f>J1267+K1267</f>
        <v>0</v>
      </c>
      <c r="M1267" s="4" t="s">
        <v>370</v>
      </c>
      <c r="N1267" s="4"/>
      <c r="O1267" s="4">
        <v>1</v>
      </c>
      <c r="P1267" s="4" t="s">
        <v>135</v>
      </c>
      <c r="Q1267" s="4" t="s">
        <v>44</v>
      </c>
      <c r="R1267" s="7">
        <v>2000000</v>
      </c>
      <c r="S1267" s="7">
        <v>0</v>
      </c>
      <c r="T1267" s="7">
        <f>R1267-S1267</f>
        <v>0</v>
      </c>
      <c r="U1267" s="7">
        <f>T1267*O1267</f>
        <v>0</v>
      </c>
    </row>
    <row r="1268" spans="1:21">
      <c r="A1268" s="4" t="s">
        <v>1875</v>
      </c>
      <c r="B1268" s="4" t="s">
        <v>39</v>
      </c>
      <c r="C1268" s="5">
        <v>45939.03616898148</v>
      </c>
      <c r="D1268" s="5">
        <v>45939</v>
      </c>
      <c r="E1268" s="6">
        <f>IF(AND(C1268&lt;&gt;"",D1268&lt;&gt;""),D1268-C1268,"")</f>
        <v>0</v>
      </c>
      <c r="F1268" s="4" t="s">
        <v>1367</v>
      </c>
      <c r="G1268" s="4" t="s">
        <v>1368</v>
      </c>
      <c r="H1268" s="4" t="s">
        <v>32</v>
      </c>
      <c r="I1268" s="4" t="s">
        <v>33</v>
      </c>
      <c r="J1268" s="4">
        <v>0</v>
      </c>
      <c r="K1268" s="4">
        <v>0</v>
      </c>
      <c r="L1268" s="4">
        <f>J1268+K1268</f>
        <v>0</v>
      </c>
      <c r="M1268" s="4" t="s">
        <v>370</v>
      </c>
      <c r="N1268" s="4"/>
      <c r="O1268" s="4">
        <v>1</v>
      </c>
      <c r="P1268" s="4" t="s">
        <v>135</v>
      </c>
      <c r="Q1268" s="4" t="s">
        <v>44</v>
      </c>
      <c r="R1268" s="7">
        <v>2000000</v>
      </c>
      <c r="S1268" s="7">
        <v>0</v>
      </c>
      <c r="T1268" s="7">
        <f>R1268-S1268</f>
        <v>0</v>
      </c>
      <c r="U1268" s="7">
        <f>T1268*O1268</f>
        <v>0</v>
      </c>
    </row>
    <row r="1269" spans="1:21">
      <c r="A1269" s="4" t="s">
        <v>1876</v>
      </c>
      <c r="B1269" s="4"/>
      <c r="C1269" s="5">
        <v>45939.15380787037</v>
      </c>
      <c r="D1269" s="5">
        <v>45961</v>
      </c>
      <c r="E1269" s="6">
        <f>IF(AND(C1269&lt;&gt;"",D1269&lt;&gt;""),D1269-C1269,"")</f>
        <v>0</v>
      </c>
      <c r="F1269" s="4" t="s">
        <v>130</v>
      </c>
      <c r="G1269" s="4" t="s">
        <v>62</v>
      </c>
      <c r="H1269" s="4" t="s">
        <v>32</v>
      </c>
      <c r="I1269" s="4" t="s">
        <v>33</v>
      </c>
      <c r="J1269" s="4">
        <v>2</v>
      </c>
      <c r="K1269" s="4">
        <v>1</v>
      </c>
      <c r="L1269" s="4">
        <f>J1269+K1269</f>
        <v>0</v>
      </c>
      <c r="M1269" s="4"/>
      <c r="N1269" s="4"/>
      <c r="O1269" s="4">
        <v>0</v>
      </c>
      <c r="P1269" s="4"/>
      <c r="Q1269" s="4"/>
      <c r="R1269" s="7">
        <v>0</v>
      </c>
      <c r="S1269" s="7">
        <v>0</v>
      </c>
      <c r="T1269" s="7">
        <f>R1269-S1269</f>
        <v>0</v>
      </c>
      <c r="U1269" s="7">
        <f>T1269*O1269</f>
        <v>0</v>
      </c>
    </row>
    <row r="1270" spans="1:21">
      <c r="A1270" s="4" t="s">
        <v>1877</v>
      </c>
      <c r="B1270" s="4" t="s">
        <v>122</v>
      </c>
      <c r="C1270" s="5">
        <v>45939.22260416667</v>
      </c>
      <c r="D1270" s="5">
        <v>45961</v>
      </c>
      <c r="E1270" s="6">
        <f>IF(AND(C1270&lt;&gt;"",D1270&lt;&gt;""),D1270-C1270,"")</f>
        <v>0</v>
      </c>
      <c r="F1270" s="4" t="s">
        <v>162</v>
      </c>
      <c r="G1270" s="4" t="s">
        <v>163</v>
      </c>
      <c r="H1270" s="4" t="s">
        <v>32</v>
      </c>
      <c r="I1270" s="4" t="s">
        <v>33</v>
      </c>
      <c r="J1270" s="4">
        <v>3</v>
      </c>
      <c r="K1270" s="4">
        <v>2</v>
      </c>
      <c r="L1270" s="4">
        <f>J1270+K1270</f>
        <v>0</v>
      </c>
      <c r="M1270" s="4"/>
      <c r="N1270" s="4"/>
      <c r="O1270" s="4">
        <v>0</v>
      </c>
      <c r="P1270" s="4"/>
      <c r="Q1270" s="4"/>
      <c r="R1270" s="7">
        <v>0</v>
      </c>
      <c r="S1270" s="7">
        <v>0</v>
      </c>
      <c r="T1270" s="7">
        <f>R1270-S1270</f>
        <v>0</v>
      </c>
      <c r="U1270" s="7">
        <f>T1270*O1270</f>
        <v>0</v>
      </c>
    </row>
    <row r="1271" spans="1:21">
      <c r="A1271" s="4" t="s">
        <v>1877</v>
      </c>
      <c r="B1271" s="4" t="s">
        <v>122</v>
      </c>
      <c r="C1271" s="5">
        <v>45939.22260416667</v>
      </c>
      <c r="D1271" s="5">
        <v>45961</v>
      </c>
      <c r="E1271" s="6">
        <f>IF(AND(C1271&lt;&gt;"",D1271&lt;&gt;""),D1271-C1271,"")</f>
        <v>0</v>
      </c>
      <c r="F1271" s="4" t="s">
        <v>130</v>
      </c>
      <c r="G1271" s="4" t="s">
        <v>62</v>
      </c>
      <c r="H1271" s="4" t="s">
        <v>32</v>
      </c>
      <c r="I1271" s="4" t="s">
        <v>33</v>
      </c>
      <c r="J1271" s="4">
        <v>2</v>
      </c>
      <c r="K1271" s="4">
        <v>1</v>
      </c>
      <c r="L1271" s="4">
        <f>J1271+K1271</f>
        <v>0</v>
      </c>
      <c r="M1271" s="4"/>
      <c r="N1271" s="4"/>
      <c r="O1271" s="4">
        <v>0</v>
      </c>
      <c r="P1271" s="4"/>
      <c r="Q1271" s="4"/>
      <c r="R1271" s="7">
        <v>0</v>
      </c>
      <c r="S1271" s="7">
        <v>0</v>
      </c>
      <c r="T1271" s="7">
        <f>R1271-S1271</f>
        <v>0</v>
      </c>
      <c r="U1271" s="7">
        <f>T1271*O1271</f>
        <v>0</v>
      </c>
    </row>
    <row r="1272" spans="1:21">
      <c r="A1272" s="4" t="s">
        <v>1878</v>
      </c>
      <c r="B1272" s="4" t="s">
        <v>48</v>
      </c>
      <c r="C1272" s="5">
        <v>45939.22960648148</v>
      </c>
      <c r="D1272" s="5">
        <v>45961</v>
      </c>
      <c r="E1272" s="6">
        <f>IF(AND(C1272&lt;&gt;"",D1272&lt;&gt;""),D1272-C1272,"")</f>
        <v>0</v>
      </c>
      <c r="F1272" s="4" t="s">
        <v>1748</v>
      </c>
      <c r="G1272" s="4" t="s">
        <v>1879</v>
      </c>
      <c r="H1272" s="4" t="s">
        <v>32</v>
      </c>
      <c r="I1272" s="4" t="s">
        <v>33</v>
      </c>
      <c r="J1272" s="4">
        <v>3</v>
      </c>
      <c r="K1272" s="4">
        <v>0</v>
      </c>
      <c r="L1272" s="4">
        <f>J1272+K1272</f>
        <v>0</v>
      </c>
      <c r="M1272" s="4"/>
      <c r="N1272" s="4"/>
      <c r="O1272" s="4">
        <v>0</v>
      </c>
      <c r="P1272" s="4"/>
      <c r="Q1272" s="4"/>
      <c r="R1272" s="7">
        <v>0</v>
      </c>
      <c r="S1272" s="7">
        <v>0</v>
      </c>
      <c r="T1272" s="7">
        <f>R1272-S1272</f>
        <v>0</v>
      </c>
      <c r="U1272" s="7">
        <f>T1272*O1272</f>
        <v>0</v>
      </c>
    </row>
    <row r="1273" spans="1:21">
      <c r="A1273" s="4" t="s">
        <v>1880</v>
      </c>
      <c r="B1273" s="4" t="s">
        <v>48</v>
      </c>
      <c r="C1273" s="5">
        <v>45939.23295138889</v>
      </c>
      <c r="D1273" s="5">
        <v>45961</v>
      </c>
      <c r="E1273" s="6">
        <f>IF(AND(C1273&lt;&gt;"",D1273&lt;&gt;""),D1273-C1273,"")</f>
        <v>0</v>
      </c>
      <c r="F1273" s="4" t="s">
        <v>1881</v>
      </c>
      <c r="G1273" s="4" t="s">
        <v>1882</v>
      </c>
      <c r="H1273" s="4" t="s">
        <v>32</v>
      </c>
      <c r="I1273" s="4" t="s">
        <v>33</v>
      </c>
      <c r="J1273" s="4">
        <v>3</v>
      </c>
      <c r="K1273" s="4">
        <v>0</v>
      </c>
      <c r="L1273" s="4">
        <f>J1273+K1273</f>
        <v>0</v>
      </c>
      <c r="M1273" s="4"/>
      <c r="N1273" s="4"/>
      <c r="O1273" s="4">
        <v>0</v>
      </c>
      <c r="P1273" s="4"/>
      <c r="Q1273" s="4"/>
      <c r="R1273" s="7">
        <v>0</v>
      </c>
      <c r="S1273" s="7">
        <v>0</v>
      </c>
      <c r="T1273" s="7">
        <f>R1273-S1273</f>
        <v>0</v>
      </c>
      <c r="U1273" s="7">
        <f>T1273*O1273</f>
        <v>0</v>
      </c>
    </row>
    <row r="1274" spans="1:21">
      <c r="A1274" s="4" t="s">
        <v>1883</v>
      </c>
      <c r="B1274" s="4" t="s">
        <v>39</v>
      </c>
      <c r="C1274" s="5">
        <v>45939.23479166667</v>
      </c>
      <c r="D1274" s="5">
        <v>45939</v>
      </c>
      <c r="E1274" s="6">
        <f>IF(AND(C1274&lt;&gt;"",D1274&lt;&gt;""),D1274-C1274,"")</f>
        <v>0</v>
      </c>
      <c r="F1274" s="4" t="s">
        <v>1884</v>
      </c>
      <c r="G1274" s="4" t="s">
        <v>202</v>
      </c>
      <c r="H1274" s="4" t="s">
        <v>190</v>
      </c>
      <c r="I1274" s="4" t="s">
        <v>56</v>
      </c>
      <c r="J1274" s="4">
        <v>1</v>
      </c>
      <c r="K1274" s="4">
        <v>0</v>
      </c>
      <c r="L1274" s="4">
        <f>J1274+K1274</f>
        <v>0</v>
      </c>
      <c r="M1274" s="4" t="s">
        <v>1645</v>
      </c>
      <c r="N1274" s="4"/>
      <c r="O1274" s="4">
        <v>1</v>
      </c>
      <c r="P1274" s="4" t="s">
        <v>135</v>
      </c>
      <c r="Q1274" s="4" t="s">
        <v>44</v>
      </c>
      <c r="R1274" s="7">
        <v>2100000</v>
      </c>
      <c r="S1274" s="7">
        <v>0</v>
      </c>
      <c r="T1274" s="7">
        <f>R1274-S1274</f>
        <v>0</v>
      </c>
      <c r="U1274" s="7">
        <f>T1274*O1274</f>
        <v>0</v>
      </c>
    </row>
    <row r="1275" spans="1:21">
      <c r="A1275" s="4" t="s">
        <v>1883</v>
      </c>
      <c r="B1275" s="4" t="s">
        <v>39</v>
      </c>
      <c r="C1275" s="5">
        <v>45939.23479166667</v>
      </c>
      <c r="D1275" s="5">
        <v>45939</v>
      </c>
      <c r="E1275" s="6">
        <f>IF(AND(C1275&lt;&gt;"",D1275&lt;&gt;""),D1275-C1275,"")</f>
        <v>0</v>
      </c>
      <c r="F1275" s="4" t="s">
        <v>1884</v>
      </c>
      <c r="G1275" s="4" t="s">
        <v>202</v>
      </c>
      <c r="H1275" s="4" t="s">
        <v>190</v>
      </c>
      <c r="I1275" s="4" t="s">
        <v>56</v>
      </c>
      <c r="J1275" s="4">
        <v>0</v>
      </c>
      <c r="K1275" s="4">
        <v>0</v>
      </c>
      <c r="L1275" s="4">
        <f>J1275+K1275</f>
        <v>0</v>
      </c>
      <c r="M1275" s="4" t="s">
        <v>370</v>
      </c>
      <c r="N1275" s="4"/>
      <c r="O1275" s="4">
        <v>1</v>
      </c>
      <c r="P1275" s="4" t="s">
        <v>135</v>
      </c>
      <c r="Q1275" s="4" t="s">
        <v>44</v>
      </c>
      <c r="R1275" s="7">
        <v>2000000</v>
      </c>
      <c r="S1275" s="7">
        <v>0</v>
      </c>
      <c r="T1275" s="7">
        <f>R1275-S1275</f>
        <v>0</v>
      </c>
      <c r="U1275" s="7">
        <f>T1275*O1275</f>
        <v>0</v>
      </c>
    </row>
    <row r="1276" spans="1:21">
      <c r="A1276" s="4" t="s">
        <v>1885</v>
      </c>
      <c r="B1276" s="4"/>
      <c r="C1276" s="5">
        <v>45939.24876157408</v>
      </c>
      <c r="D1276" s="5">
        <v>45961</v>
      </c>
      <c r="E1276" s="6">
        <f>IF(AND(C1276&lt;&gt;"",D1276&lt;&gt;""),D1276-C1276,"")</f>
        <v>0</v>
      </c>
      <c r="F1276" s="4" t="s">
        <v>1886</v>
      </c>
      <c r="G1276" s="4" t="s">
        <v>1887</v>
      </c>
      <c r="H1276" s="4"/>
      <c r="I1276" s="4" t="s">
        <v>56</v>
      </c>
      <c r="J1276" s="4">
        <v>2</v>
      </c>
      <c r="K1276" s="4">
        <v>1</v>
      </c>
      <c r="L1276" s="4">
        <f>J1276+K1276</f>
        <v>0</v>
      </c>
      <c r="M1276" s="4"/>
      <c r="N1276" s="4"/>
      <c r="O1276" s="4">
        <v>0</v>
      </c>
      <c r="P1276" s="4"/>
      <c r="Q1276" s="4"/>
      <c r="R1276" s="7">
        <v>0</v>
      </c>
      <c r="S1276" s="7">
        <v>0</v>
      </c>
      <c r="T1276" s="7">
        <f>R1276-S1276</f>
        <v>0</v>
      </c>
      <c r="U1276" s="7">
        <f>T1276*O1276</f>
        <v>0</v>
      </c>
    </row>
    <row r="1277" spans="1:21">
      <c r="A1277" s="4" t="s">
        <v>1888</v>
      </c>
      <c r="B1277" s="4" t="s">
        <v>122</v>
      </c>
      <c r="C1277" s="5">
        <v>45939.25953703704</v>
      </c>
      <c r="D1277" s="5">
        <v>45961</v>
      </c>
      <c r="E1277" s="6">
        <f>IF(AND(C1277&lt;&gt;"",D1277&lt;&gt;""),D1277-C1277,"")</f>
        <v>0</v>
      </c>
      <c r="F1277" s="4" t="s">
        <v>162</v>
      </c>
      <c r="G1277" s="4" t="s">
        <v>163</v>
      </c>
      <c r="H1277" s="4" t="s">
        <v>32</v>
      </c>
      <c r="I1277" s="4" t="s">
        <v>33</v>
      </c>
      <c r="J1277" s="4">
        <v>1</v>
      </c>
      <c r="K1277" s="4">
        <v>1</v>
      </c>
      <c r="L1277" s="4">
        <f>J1277+K1277</f>
        <v>0</v>
      </c>
      <c r="M1277" s="4"/>
      <c r="N1277" s="4"/>
      <c r="O1277" s="4">
        <v>0</v>
      </c>
      <c r="P1277" s="4"/>
      <c r="Q1277" s="4"/>
      <c r="R1277" s="7">
        <v>0</v>
      </c>
      <c r="S1277" s="7">
        <v>0</v>
      </c>
      <c r="T1277" s="7">
        <f>R1277-S1277</f>
        <v>0</v>
      </c>
      <c r="U1277" s="7">
        <f>T1277*O1277</f>
        <v>0</v>
      </c>
    </row>
    <row r="1278" spans="1:21">
      <c r="A1278" s="4" t="s">
        <v>1889</v>
      </c>
      <c r="B1278" s="4" t="s">
        <v>122</v>
      </c>
      <c r="C1278" s="5">
        <v>45939.27182870371</v>
      </c>
      <c r="D1278" s="5">
        <v>45961</v>
      </c>
      <c r="E1278" s="6">
        <f>IF(AND(C1278&lt;&gt;"",D1278&lt;&gt;""),D1278-C1278,"")</f>
        <v>0</v>
      </c>
      <c r="F1278" s="4" t="s">
        <v>130</v>
      </c>
      <c r="G1278" s="4" t="s">
        <v>62</v>
      </c>
      <c r="H1278" s="4" t="s">
        <v>32</v>
      </c>
      <c r="I1278" s="4" t="s">
        <v>33</v>
      </c>
      <c r="J1278" s="4">
        <v>2</v>
      </c>
      <c r="K1278" s="4">
        <v>1</v>
      </c>
      <c r="L1278" s="4">
        <f>J1278+K1278</f>
        <v>0</v>
      </c>
      <c r="M1278" s="4"/>
      <c r="N1278" s="4"/>
      <c r="O1278" s="4">
        <v>0</v>
      </c>
      <c r="P1278" s="4"/>
      <c r="Q1278" s="4"/>
      <c r="R1278" s="7">
        <v>0</v>
      </c>
      <c r="S1278" s="7">
        <v>0</v>
      </c>
      <c r="T1278" s="7">
        <f>R1278-S1278</f>
        <v>0</v>
      </c>
      <c r="U1278" s="7">
        <f>T1278*O1278</f>
        <v>0</v>
      </c>
    </row>
    <row r="1279" spans="1:21">
      <c r="A1279" s="4" t="s">
        <v>1889</v>
      </c>
      <c r="B1279" s="4" t="s">
        <v>122</v>
      </c>
      <c r="C1279" s="5">
        <v>45939.27182870371</v>
      </c>
      <c r="D1279" s="5">
        <v>45961</v>
      </c>
      <c r="E1279" s="6">
        <f>IF(AND(C1279&lt;&gt;"",D1279&lt;&gt;""),D1279-C1279,"")</f>
        <v>0</v>
      </c>
      <c r="F1279" s="4" t="s">
        <v>130</v>
      </c>
      <c r="G1279" s="4" t="s">
        <v>62</v>
      </c>
      <c r="H1279" s="4" t="s">
        <v>32</v>
      </c>
      <c r="I1279" s="4" t="s">
        <v>33</v>
      </c>
      <c r="J1279" s="4">
        <v>2</v>
      </c>
      <c r="K1279" s="4">
        <v>1</v>
      </c>
      <c r="L1279" s="4">
        <f>J1279+K1279</f>
        <v>0</v>
      </c>
      <c r="M1279" s="4"/>
      <c r="N1279" s="4"/>
      <c r="O1279" s="4">
        <v>0</v>
      </c>
      <c r="P1279" s="4"/>
      <c r="Q1279" s="4"/>
      <c r="R1279" s="7">
        <v>0</v>
      </c>
      <c r="S1279" s="7">
        <v>0</v>
      </c>
      <c r="T1279" s="7">
        <f>R1279-S1279</f>
        <v>0</v>
      </c>
      <c r="U1279" s="7">
        <f>T1279*O1279</f>
        <v>0</v>
      </c>
    </row>
    <row r="1280" spans="1:21">
      <c r="A1280" s="4" t="s">
        <v>1889</v>
      </c>
      <c r="B1280" s="4" t="s">
        <v>122</v>
      </c>
      <c r="C1280" s="5">
        <v>45939.27182870371</v>
      </c>
      <c r="D1280" s="5">
        <v>45961</v>
      </c>
      <c r="E1280" s="6">
        <f>IF(AND(C1280&lt;&gt;"",D1280&lt;&gt;""),D1280-C1280,"")</f>
        <v>0</v>
      </c>
      <c r="F1280" s="4" t="s">
        <v>130</v>
      </c>
      <c r="G1280" s="4" t="s">
        <v>62</v>
      </c>
      <c r="H1280" s="4" t="s">
        <v>32</v>
      </c>
      <c r="I1280" s="4" t="s">
        <v>33</v>
      </c>
      <c r="J1280" s="4">
        <v>2</v>
      </c>
      <c r="K1280" s="4">
        <v>1</v>
      </c>
      <c r="L1280" s="4">
        <f>J1280+K1280</f>
        <v>0</v>
      </c>
      <c r="M1280" s="4"/>
      <c r="N1280" s="4"/>
      <c r="O1280" s="4">
        <v>0</v>
      </c>
      <c r="P1280" s="4"/>
      <c r="Q1280" s="4"/>
      <c r="R1280" s="7">
        <v>0</v>
      </c>
      <c r="S1280" s="7">
        <v>0</v>
      </c>
      <c r="T1280" s="7">
        <f>R1280-S1280</f>
        <v>0</v>
      </c>
      <c r="U1280" s="7">
        <f>T1280*O1280</f>
        <v>0</v>
      </c>
    </row>
    <row r="1281" spans="1:21">
      <c r="A1281" s="4" t="s">
        <v>1890</v>
      </c>
      <c r="B1281" s="4" t="s">
        <v>122</v>
      </c>
      <c r="C1281" s="5">
        <v>45939.27182870371</v>
      </c>
      <c r="D1281" s="5">
        <v>45961</v>
      </c>
      <c r="E1281" s="6">
        <f>IF(AND(C1281&lt;&gt;"",D1281&lt;&gt;""),D1281-C1281,"")</f>
        <v>0</v>
      </c>
      <c r="F1281" s="4" t="s">
        <v>162</v>
      </c>
      <c r="G1281" s="4" t="s">
        <v>163</v>
      </c>
      <c r="H1281" s="4" t="s">
        <v>32</v>
      </c>
      <c r="I1281" s="4" t="s">
        <v>33</v>
      </c>
      <c r="J1281" s="4">
        <v>3</v>
      </c>
      <c r="K1281" s="4">
        <v>2</v>
      </c>
      <c r="L1281" s="4">
        <f>J1281+K1281</f>
        <v>0</v>
      </c>
      <c r="M1281" s="4"/>
      <c r="N1281" s="4"/>
      <c r="O1281" s="4">
        <v>0</v>
      </c>
      <c r="P1281" s="4"/>
      <c r="Q1281" s="4"/>
      <c r="R1281" s="7">
        <v>0</v>
      </c>
      <c r="S1281" s="7">
        <v>0</v>
      </c>
      <c r="T1281" s="7">
        <f>R1281-S1281</f>
        <v>0</v>
      </c>
      <c r="U1281" s="7">
        <f>T1281*O1281</f>
        <v>0</v>
      </c>
    </row>
    <row r="1282" spans="1:21">
      <c r="A1282" s="4" t="s">
        <v>1891</v>
      </c>
      <c r="B1282" s="4" t="s">
        <v>122</v>
      </c>
      <c r="C1282" s="5">
        <v>45939.28048611111</v>
      </c>
      <c r="D1282" s="5">
        <v>45961</v>
      </c>
      <c r="E1282" s="6">
        <f>IF(AND(C1282&lt;&gt;"",D1282&lt;&gt;""),D1282-C1282,"")</f>
        <v>0</v>
      </c>
      <c r="F1282" s="4" t="s">
        <v>1892</v>
      </c>
      <c r="G1282" s="4"/>
      <c r="H1282" s="4"/>
      <c r="I1282" s="4" t="s">
        <v>56</v>
      </c>
      <c r="J1282" s="4">
        <v>2</v>
      </c>
      <c r="K1282" s="4">
        <v>1</v>
      </c>
      <c r="L1282" s="4">
        <f>J1282+K1282</f>
        <v>0</v>
      </c>
      <c r="M1282" s="4"/>
      <c r="N1282" s="4"/>
      <c r="O1282" s="4">
        <v>0</v>
      </c>
      <c r="P1282" s="4"/>
      <c r="Q1282" s="4"/>
      <c r="R1282" s="7">
        <v>0</v>
      </c>
      <c r="S1282" s="7">
        <v>0</v>
      </c>
      <c r="T1282" s="7">
        <f>R1282-S1282</f>
        <v>0</v>
      </c>
      <c r="U1282" s="7">
        <f>T1282*O1282</f>
        <v>0</v>
      </c>
    </row>
    <row r="1283" spans="1:21">
      <c r="A1283" s="4" t="s">
        <v>1891</v>
      </c>
      <c r="B1283" s="4" t="s">
        <v>122</v>
      </c>
      <c r="C1283" s="5">
        <v>45939.28048611111</v>
      </c>
      <c r="D1283" s="5">
        <v>45961</v>
      </c>
      <c r="E1283" s="6">
        <f>IF(AND(C1283&lt;&gt;"",D1283&lt;&gt;""),D1283-C1283,"")</f>
        <v>0</v>
      </c>
      <c r="F1283" s="4" t="s">
        <v>1893</v>
      </c>
      <c r="G1283" s="4"/>
      <c r="H1283" s="4"/>
      <c r="I1283" s="4" t="s">
        <v>56</v>
      </c>
      <c r="J1283" s="4">
        <v>0</v>
      </c>
      <c r="K1283" s="4">
        <v>0</v>
      </c>
      <c r="L1283" s="4">
        <f>J1283+K1283</f>
        <v>0</v>
      </c>
      <c r="M1283" s="4"/>
      <c r="N1283" s="4"/>
      <c r="O1283" s="4">
        <v>0</v>
      </c>
      <c r="P1283" s="4"/>
      <c r="Q1283" s="4"/>
      <c r="R1283" s="7">
        <v>0</v>
      </c>
      <c r="S1283" s="7">
        <v>0</v>
      </c>
      <c r="T1283" s="7">
        <f>R1283-S1283</f>
        <v>0</v>
      </c>
      <c r="U1283" s="7">
        <f>T1283*O1283</f>
        <v>0</v>
      </c>
    </row>
    <row r="1284" spans="1:21">
      <c r="A1284" s="4" t="s">
        <v>1894</v>
      </c>
      <c r="B1284" s="4" t="s">
        <v>122</v>
      </c>
      <c r="C1284" s="5">
        <v>45939.28048611111</v>
      </c>
      <c r="D1284" s="5">
        <v>45961</v>
      </c>
      <c r="E1284" s="6">
        <f>IF(AND(C1284&lt;&gt;"",D1284&lt;&gt;""),D1284-C1284,"")</f>
        <v>0</v>
      </c>
      <c r="F1284" s="4" t="s">
        <v>1895</v>
      </c>
      <c r="G1284" s="4"/>
      <c r="H1284" s="4"/>
      <c r="I1284" s="4" t="s">
        <v>56</v>
      </c>
      <c r="J1284" s="4">
        <v>0</v>
      </c>
      <c r="K1284" s="4">
        <v>0</v>
      </c>
      <c r="L1284" s="4">
        <f>J1284+K1284</f>
        <v>0</v>
      </c>
      <c r="M1284" s="4"/>
      <c r="N1284" s="4"/>
      <c r="O1284" s="4">
        <v>0</v>
      </c>
      <c r="P1284" s="4"/>
      <c r="Q1284" s="4"/>
      <c r="R1284" s="7">
        <v>0</v>
      </c>
      <c r="S1284" s="7">
        <v>0</v>
      </c>
      <c r="T1284" s="7">
        <f>R1284-S1284</f>
        <v>0</v>
      </c>
      <c r="U1284" s="7">
        <f>T1284*O1284</f>
        <v>0</v>
      </c>
    </row>
    <row r="1285" spans="1:21">
      <c r="A1285" s="4" t="s">
        <v>1894</v>
      </c>
      <c r="B1285" s="4" t="s">
        <v>122</v>
      </c>
      <c r="C1285" s="5">
        <v>45939.28048611111</v>
      </c>
      <c r="D1285" s="5">
        <v>45961</v>
      </c>
      <c r="E1285" s="6">
        <f>IF(AND(C1285&lt;&gt;"",D1285&lt;&gt;""),D1285-C1285,"")</f>
        <v>0</v>
      </c>
      <c r="F1285" s="4" t="s">
        <v>162</v>
      </c>
      <c r="G1285" s="4" t="s">
        <v>163</v>
      </c>
      <c r="H1285" s="4" t="s">
        <v>32</v>
      </c>
      <c r="I1285" s="4" t="s">
        <v>33</v>
      </c>
      <c r="J1285" s="4">
        <v>3</v>
      </c>
      <c r="K1285" s="4">
        <v>2</v>
      </c>
      <c r="L1285" s="4">
        <f>J1285+K1285</f>
        <v>0</v>
      </c>
      <c r="M1285" s="4"/>
      <c r="N1285" s="4"/>
      <c r="O1285" s="4">
        <v>0</v>
      </c>
      <c r="P1285" s="4"/>
      <c r="Q1285" s="4"/>
      <c r="R1285" s="7">
        <v>0</v>
      </c>
      <c r="S1285" s="7">
        <v>0</v>
      </c>
      <c r="T1285" s="7">
        <f>R1285-S1285</f>
        <v>0</v>
      </c>
      <c r="U1285" s="7">
        <f>T1285*O1285</f>
        <v>0</v>
      </c>
    </row>
    <row r="1286" spans="1:21">
      <c r="A1286" s="4" t="s">
        <v>1896</v>
      </c>
      <c r="B1286" s="4" t="s">
        <v>29</v>
      </c>
      <c r="C1286" s="5">
        <v>45939.54826388889</v>
      </c>
      <c r="D1286" s="5">
        <v>45961</v>
      </c>
      <c r="E1286" s="6">
        <f>IF(AND(C1286&lt;&gt;"",D1286&lt;&gt;""),D1286-C1286,"")</f>
        <v>0</v>
      </c>
      <c r="F1286" s="4" t="s">
        <v>307</v>
      </c>
      <c r="G1286" s="4" t="s">
        <v>308</v>
      </c>
      <c r="H1286" s="4" t="s">
        <v>190</v>
      </c>
      <c r="I1286" s="4" t="s">
        <v>56</v>
      </c>
      <c r="J1286" s="4">
        <v>1</v>
      </c>
      <c r="K1286" s="4">
        <v>0</v>
      </c>
      <c r="L1286" s="4">
        <f>J1286+K1286</f>
        <v>0</v>
      </c>
      <c r="M1286" s="4"/>
      <c r="N1286" s="4"/>
      <c r="O1286" s="4">
        <v>0</v>
      </c>
      <c r="P1286" s="4"/>
      <c r="Q1286" s="4"/>
      <c r="R1286" s="7">
        <v>0</v>
      </c>
      <c r="S1286" s="7">
        <v>0</v>
      </c>
      <c r="T1286" s="7">
        <f>R1286-S1286</f>
        <v>0</v>
      </c>
      <c r="U1286" s="7">
        <f>T1286*O1286</f>
        <v>0</v>
      </c>
    </row>
    <row r="1287" spans="1:21">
      <c r="A1287" s="4" t="s">
        <v>1897</v>
      </c>
      <c r="B1287" s="4" t="s">
        <v>39</v>
      </c>
      <c r="C1287" s="5">
        <v>45940.11802083333</v>
      </c>
      <c r="D1287" s="5">
        <v>45940</v>
      </c>
      <c r="E1287" s="6">
        <f>IF(AND(C1287&lt;&gt;"",D1287&lt;&gt;""),D1287-C1287,"")</f>
        <v>0</v>
      </c>
      <c r="F1287" s="4" t="s">
        <v>399</v>
      </c>
      <c r="G1287" s="4" t="s">
        <v>400</v>
      </c>
      <c r="H1287" s="4" t="s">
        <v>32</v>
      </c>
      <c r="I1287" s="4" t="s">
        <v>33</v>
      </c>
      <c r="J1287" s="4">
        <v>0</v>
      </c>
      <c r="K1287" s="4">
        <v>0</v>
      </c>
      <c r="L1287" s="4">
        <f>J1287+K1287</f>
        <v>0</v>
      </c>
      <c r="M1287" s="4" t="s">
        <v>370</v>
      </c>
      <c r="N1287" s="4"/>
      <c r="O1287" s="4">
        <v>1</v>
      </c>
      <c r="P1287" s="4" t="s">
        <v>135</v>
      </c>
      <c r="Q1287" s="4" t="s">
        <v>44</v>
      </c>
      <c r="R1287" s="7">
        <v>2000000</v>
      </c>
      <c r="S1287" s="7">
        <v>0</v>
      </c>
      <c r="T1287" s="7">
        <f>R1287-S1287</f>
        <v>0</v>
      </c>
      <c r="U1287" s="7">
        <f>T1287*O1287</f>
        <v>0</v>
      </c>
    </row>
    <row r="1288" spans="1:21">
      <c r="A1288" s="4" t="s">
        <v>1898</v>
      </c>
      <c r="B1288" s="4" t="s">
        <v>29</v>
      </c>
      <c r="C1288" s="5">
        <v>45940.19162037037</v>
      </c>
      <c r="D1288" s="5">
        <v>45961</v>
      </c>
      <c r="E1288" s="6">
        <f>IF(AND(C1288&lt;&gt;"",D1288&lt;&gt;""),D1288-C1288,"")</f>
        <v>0</v>
      </c>
      <c r="F1288" s="4" t="s">
        <v>1433</v>
      </c>
      <c r="G1288" s="4" t="s">
        <v>1434</v>
      </c>
      <c r="H1288" s="4" t="s">
        <v>1435</v>
      </c>
      <c r="I1288" s="4" t="s">
        <v>56</v>
      </c>
      <c r="J1288" s="4">
        <v>1</v>
      </c>
      <c r="K1288" s="4">
        <v>1</v>
      </c>
      <c r="L1288" s="4">
        <f>J1288+K1288</f>
        <v>0</v>
      </c>
      <c r="M1288" s="4"/>
      <c r="N1288" s="4"/>
      <c r="O1288" s="4">
        <v>0</v>
      </c>
      <c r="P1288" s="4"/>
      <c r="Q1288" s="4"/>
      <c r="R1288" s="7">
        <v>0</v>
      </c>
      <c r="S1288" s="7">
        <v>0</v>
      </c>
      <c r="T1288" s="7">
        <f>R1288-S1288</f>
        <v>0</v>
      </c>
      <c r="U1288" s="7">
        <f>T1288*O1288</f>
        <v>0</v>
      </c>
    </row>
    <row r="1289" spans="1:21">
      <c r="A1289" s="4" t="s">
        <v>1899</v>
      </c>
      <c r="B1289" s="4" t="s">
        <v>29</v>
      </c>
      <c r="C1289" s="5">
        <v>45940.19322916667</v>
      </c>
      <c r="D1289" s="5">
        <v>45961</v>
      </c>
      <c r="E1289" s="6">
        <f>IF(AND(C1289&lt;&gt;"",D1289&lt;&gt;""),D1289-C1289,"")</f>
        <v>0</v>
      </c>
      <c r="F1289" s="4" t="s">
        <v>1900</v>
      </c>
      <c r="G1289" s="4" t="s">
        <v>1434</v>
      </c>
      <c r="H1289" s="4"/>
      <c r="I1289" s="4" t="s">
        <v>56</v>
      </c>
      <c r="J1289" s="4">
        <v>2</v>
      </c>
      <c r="K1289" s="4">
        <v>0</v>
      </c>
      <c r="L1289" s="4">
        <f>J1289+K1289</f>
        <v>0</v>
      </c>
      <c r="M1289" s="4"/>
      <c r="N1289" s="4"/>
      <c r="O1289" s="4">
        <v>0</v>
      </c>
      <c r="P1289" s="4"/>
      <c r="Q1289" s="4"/>
      <c r="R1289" s="7">
        <v>0</v>
      </c>
      <c r="S1289" s="7">
        <v>0</v>
      </c>
      <c r="T1289" s="7">
        <f>R1289-S1289</f>
        <v>0</v>
      </c>
      <c r="U1289" s="7">
        <f>T1289*O1289</f>
        <v>0</v>
      </c>
    </row>
    <row r="1290" spans="1:21">
      <c r="A1290" s="4" t="s">
        <v>1901</v>
      </c>
      <c r="B1290" s="4" t="s">
        <v>48</v>
      </c>
      <c r="C1290" s="5">
        <v>45940.20326388889</v>
      </c>
      <c r="D1290" s="5">
        <v>45961</v>
      </c>
      <c r="E1290" s="6">
        <f>IF(AND(C1290&lt;&gt;"",D1290&lt;&gt;""),D1290-C1290,"")</f>
        <v>0</v>
      </c>
      <c r="F1290" s="4" t="s">
        <v>1399</v>
      </c>
      <c r="G1290" s="4" t="s">
        <v>202</v>
      </c>
      <c r="H1290" s="4" t="s">
        <v>32</v>
      </c>
      <c r="I1290" s="4" t="s">
        <v>33</v>
      </c>
      <c r="J1290" s="4">
        <v>2</v>
      </c>
      <c r="K1290" s="4">
        <v>0</v>
      </c>
      <c r="L1290" s="4">
        <f>J1290+K1290</f>
        <v>0</v>
      </c>
      <c r="M1290" s="4"/>
      <c r="N1290" s="4"/>
      <c r="O1290" s="4">
        <v>0</v>
      </c>
      <c r="P1290" s="4"/>
      <c r="Q1290" s="4"/>
      <c r="R1290" s="7">
        <v>0</v>
      </c>
      <c r="S1290" s="7">
        <v>0</v>
      </c>
      <c r="T1290" s="7">
        <f>R1290-S1290</f>
        <v>0</v>
      </c>
      <c r="U1290" s="7">
        <f>T1290*O1290</f>
        <v>0</v>
      </c>
    </row>
    <row r="1291" spans="1:21">
      <c r="A1291" s="4" t="s">
        <v>1902</v>
      </c>
      <c r="B1291" s="4" t="s">
        <v>29</v>
      </c>
      <c r="C1291" s="5">
        <v>45940.20863425926</v>
      </c>
      <c r="D1291" s="5">
        <v>45961</v>
      </c>
      <c r="E1291" s="6">
        <f>IF(AND(C1291&lt;&gt;"",D1291&lt;&gt;""),D1291-C1291,"")</f>
        <v>0</v>
      </c>
      <c r="F1291" s="4" t="s">
        <v>1399</v>
      </c>
      <c r="G1291" s="4" t="s">
        <v>202</v>
      </c>
      <c r="H1291" s="4" t="s">
        <v>32</v>
      </c>
      <c r="I1291" s="4" t="s">
        <v>33</v>
      </c>
      <c r="J1291" s="4">
        <v>2</v>
      </c>
      <c r="K1291" s="4">
        <v>0</v>
      </c>
      <c r="L1291" s="4">
        <f>J1291+K1291</f>
        <v>0</v>
      </c>
      <c r="M1291" s="4"/>
      <c r="N1291" s="4"/>
      <c r="O1291" s="4">
        <v>0</v>
      </c>
      <c r="P1291" s="4"/>
      <c r="Q1291" s="4"/>
      <c r="R1291" s="7">
        <v>0</v>
      </c>
      <c r="S1291" s="7">
        <v>0</v>
      </c>
      <c r="T1291" s="7">
        <f>R1291-S1291</f>
        <v>0</v>
      </c>
      <c r="U1291" s="7">
        <f>T1291*O1291</f>
        <v>0</v>
      </c>
    </row>
    <row r="1292" spans="1:21">
      <c r="A1292" s="4" t="s">
        <v>1903</v>
      </c>
      <c r="B1292" s="4" t="s">
        <v>39</v>
      </c>
      <c r="C1292" s="5">
        <v>45940.22702546296</v>
      </c>
      <c r="D1292" s="5">
        <v>45940</v>
      </c>
      <c r="E1292" s="6">
        <f>IF(AND(C1292&lt;&gt;"",D1292&lt;&gt;""),D1292-C1292,"")</f>
        <v>0</v>
      </c>
      <c r="F1292" s="4" t="s">
        <v>1904</v>
      </c>
      <c r="G1292" s="4" t="s">
        <v>1905</v>
      </c>
      <c r="H1292" s="4" t="s">
        <v>190</v>
      </c>
      <c r="I1292" s="4" t="s">
        <v>56</v>
      </c>
      <c r="J1292" s="4">
        <v>0</v>
      </c>
      <c r="K1292" s="4">
        <v>0</v>
      </c>
      <c r="L1292" s="4">
        <f>J1292+K1292</f>
        <v>0</v>
      </c>
      <c r="M1292" s="4" t="s">
        <v>370</v>
      </c>
      <c r="N1292" s="4"/>
      <c r="O1292" s="4">
        <v>1</v>
      </c>
      <c r="P1292" s="4" t="s">
        <v>135</v>
      </c>
      <c r="Q1292" s="4" t="s">
        <v>44</v>
      </c>
      <c r="R1292" s="7">
        <v>1000000</v>
      </c>
      <c r="S1292" s="7">
        <v>0</v>
      </c>
      <c r="T1292" s="7">
        <f>R1292-S1292</f>
        <v>0</v>
      </c>
      <c r="U1292" s="7">
        <f>T1292*O1292</f>
        <v>0</v>
      </c>
    </row>
    <row r="1293" spans="1:21">
      <c r="A1293" s="4" t="s">
        <v>1903</v>
      </c>
      <c r="B1293" s="4" t="s">
        <v>39</v>
      </c>
      <c r="C1293" s="5">
        <v>45940.22702546296</v>
      </c>
      <c r="D1293" s="5">
        <v>45940</v>
      </c>
      <c r="E1293" s="6">
        <f>IF(AND(C1293&lt;&gt;"",D1293&lt;&gt;""),D1293-C1293,"")</f>
        <v>0</v>
      </c>
      <c r="F1293" s="4" t="s">
        <v>1904</v>
      </c>
      <c r="G1293" s="4" t="s">
        <v>1905</v>
      </c>
      <c r="H1293" s="4" t="s">
        <v>190</v>
      </c>
      <c r="I1293" s="4" t="s">
        <v>56</v>
      </c>
      <c r="J1293" s="4">
        <v>2</v>
      </c>
      <c r="K1293" s="4">
        <v>0</v>
      </c>
      <c r="L1293" s="4">
        <f>J1293+K1293</f>
        <v>0</v>
      </c>
      <c r="M1293" s="4" t="s">
        <v>42</v>
      </c>
      <c r="N1293" s="4"/>
      <c r="O1293" s="4">
        <v>2</v>
      </c>
      <c r="P1293" s="4" t="s">
        <v>135</v>
      </c>
      <c r="Q1293" s="4" t="s">
        <v>44</v>
      </c>
      <c r="R1293" s="7">
        <v>370000</v>
      </c>
      <c r="S1293" s="7">
        <v>0</v>
      </c>
      <c r="T1293" s="7">
        <f>R1293-S1293</f>
        <v>0</v>
      </c>
      <c r="U1293" s="7">
        <f>T1293*O1293</f>
        <v>0</v>
      </c>
    </row>
    <row r="1294" spans="1:21">
      <c r="A1294" s="4" t="s">
        <v>1906</v>
      </c>
      <c r="B1294" s="4" t="s">
        <v>48</v>
      </c>
      <c r="C1294" s="5">
        <v>45940.2406712963</v>
      </c>
      <c r="D1294" s="5">
        <v>45961</v>
      </c>
      <c r="E1294" s="6">
        <f>IF(AND(C1294&lt;&gt;"",D1294&lt;&gt;""),D1294-C1294,"")</f>
        <v>0</v>
      </c>
      <c r="F1294" s="4" t="s">
        <v>1907</v>
      </c>
      <c r="G1294" s="4" t="s">
        <v>1908</v>
      </c>
      <c r="H1294" s="4" t="s">
        <v>32</v>
      </c>
      <c r="I1294" s="4" t="s">
        <v>33</v>
      </c>
      <c r="J1294" s="4">
        <v>1</v>
      </c>
      <c r="K1294" s="4">
        <v>0</v>
      </c>
      <c r="L1294" s="4">
        <f>J1294+K1294</f>
        <v>0</v>
      </c>
      <c r="M1294" s="4"/>
      <c r="N1294" s="4"/>
      <c r="O1294" s="4">
        <v>0</v>
      </c>
      <c r="P1294" s="4"/>
      <c r="Q1294" s="4"/>
      <c r="R1294" s="7">
        <v>0</v>
      </c>
      <c r="S1294" s="7">
        <v>0</v>
      </c>
      <c r="T1294" s="7">
        <f>R1294-S1294</f>
        <v>0</v>
      </c>
      <c r="U1294" s="7">
        <f>T1294*O1294</f>
        <v>0</v>
      </c>
    </row>
    <row r="1295" spans="1:21">
      <c r="A1295" s="4" t="s">
        <v>1909</v>
      </c>
      <c r="B1295" s="4" t="s">
        <v>48</v>
      </c>
      <c r="C1295" s="5">
        <v>45940.25222222223</v>
      </c>
      <c r="D1295" s="5">
        <v>45961</v>
      </c>
      <c r="E1295" s="6">
        <f>IF(AND(C1295&lt;&gt;"",D1295&lt;&gt;""),D1295-C1295,"")</f>
        <v>0</v>
      </c>
      <c r="F1295" s="4" t="s">
        <v>399</v>
      </c>
      <c r="G1295" s="4" t="s">
        <v>400</v>
      </c>
      <c r="H1295" s="4" t="s">
        <v>32</v>
      </c>
      <c r="I1295" s="4" t="s">
        <v>33</v>
      </c>
      <c r="J1295" s="4">
        <v>3</v>
      </c>
      <c r="K1295" s="4">
        <v>0</v>
      </c>
      <c r="L1295" s="4">
        <f>J1295+K1295</f>
        <v>0</v>
      </c>
      <c r="M1295" s="4"/>
      <c r="N1295" s="4"/>
      <c r="O1295" s="4">
        <v>0</v>
      </c>
      <c r="P1295" s="4"/>
      <c r="Q1295" s="4"/>
      <c r="R1295" s="7">
        <v>0</v>
      </c>
      <c r="S1295" s="7">
        <v>0</v>
      </c>
      <c r="T1295" s="7">
        <f>R1295-S1295</f>
        <v>0</v>
      </c>
      <c r="U1295" s="7">
        <f>T1295*O1295</f>
        <v>0</v>
      </c>
    </row>
    <row r="1296" spans="1:21">
      <c r="A1296" s="4" t="s">
        <v>1910</v>
      </c>
      <c r="B1296" s="4" t="s">
        <v>48</v>
      </c>
      <c r="C1296" s="5">
        <v>45940.25923611111</v>
      </c>
      <c r="D1296" s="5">
        <v>45961</v>
      </c>
      <c r="E1296" s="6">
        <f>IF(AND(C1296&lt;&gt;"",D1296&lt;&gt;""),D1296-C1296,"")</f>
        <v>0</v>
      </c>
      <c r="F1296" s="4" t="s">
        <v>715</v>
      </c>
      <c r="G1296" s="4" t="s">
        <v>716</v>
      </c>
      <c r="H1296" s="4" t="s">
        <v>32</v>
      </c>
      <c r="I1296" s="4" t="s">
        <v>33</v>
      </c>
      <c r="J1296" s="4">
        <v>5</v>
      </c>
      <c r="K1296" s="4">
        <v>0</v>
      </c>
      <c r="L1296" s="4">
        <f>J1296+K1296</f>
        <v>0</v>
      </c>
      <c r="M1296" s="4"/>
      <c r="N1296" s="4"/>
      <c r="O1296" s="4">
        <v>0</v>
      </c>
      <c r="P1296" s="4"/>
      <c r="Q1296" s="4"/>
      <c r="R1296" s="7">
        <v>0</v>
      </c>
      <c r="S1296" s="7">
        <v>0</v>
      </c>
      <c r="T1296" s="7">
        <f>R1296-S1296</f>
        <v>0</v>
      </c>
      <c r="U1296" s="7">
        <f>T1296*O1296</f>
        <v>0</v>
      </c>
    </row>
    <row r="1297" spans="1:21">
      <c r="A1297" s="4" t="s">
        <v>1911</v>
      </c>
      <c r="B1297" s="4" t="s">
        <v>48</v>
      </c>
      <c r="C1297" s="5">
        <v>45940.26310185185</v>
      </c>
      <c r="D1297" s="5">
        <v>45961</v>
      </c>
      <c r="E1297" s="6">
        <f>IF(AND(C1297&lt;&gt;"",D1297&lt;&gt;""),D1297-C1297,"")</f>
        <v>0</v>
      </c>
      <c r="F1297" s="4" t="s">
        <v>372</v>
      </c>
      <c r="G1297" s="4" t="s">
        <v>373</v>
      </c>
      <c r="H1297" s="4" t="s">
        <v>32</v>
      </c>
      <c r="I1297" s="4" t="s">
        <v>33</v>
      </c>
      <c r="J1297" s="4">
        <v>4</v>
      </c>
      <c r="K1297" s="4">
        <v>4</v>
      </c>
      <c r="L1297" s="4">
        <f>J1297+K1297</f>
        <v>0</v>
      </c>
      <c r="M1297" s="4"/>
      <c r="N1297" s="4"/>
      <c r="O1297" s="4">
        <v>0</v>
      </c>
      <c r="P1297" s="4"/>
      <c r="Q1297" s="4"/>
      <c r="R1297" s="7">
        <v>0</v>
      </c>
      <c r="S1297" s="7">
        <v>0</v>
      </c>
      <c r="T1297" s="7">
        <f>R1297-S1297</f>
        <v>0</v>
      </c>
      <c r="U1297" s="7">
        <f>T1297*O1297</f>
        <v>0</v>
      </c>
    </row>
    <row r="1298" spans="1:21">
      <c r="A1298" s="4" t="s">
        <v>1912</v>
      </c>
      <c r="B1298" s="4" t="s">
        <v>48</v>
      </c>
      <c r="C1298" s="5">
        <v>45940.2734837963</v>
      </c>
      <c r="D1298" s="5">
        <v>45961</v>
      </c>
      <c r="E1298" s="6">
        <f>IF(AND(C1298&lt;&gt;"",D1298&lt;&gt;""),D1298-C1298,"")</f>
        <v>0</v>
      </c>
      <c r="F1298" s="4" t="s">
        <v>1913</v>
      </c>
      <c r="G1298" s="4" t="s">
        <v>41</v>
      </c>
      <c r="H1298" s="4" t="s">
        <v>32</v>
      </c>
      <c r="I1298" s="4" t="s">
        <v>33</v>
      </c>
      <c r="J1298" s="4">
        <v>11</v>
      </c>
      <c r="K1298" s="4">
        <v>4</v>
      </c>
      <c r="L1298" s="4">
        <f>J1298+K1298</f>
        <v>0</v>
      </c>
      <c r="M1298" s="4"/>
      <c r="N1298" s="4"/>
      <c r="O1298" s="4">
        <v>0</v>
      </c>
      <c r="P1298" s="4"/>
      <c r="Q1298" s="4"/>
      <c r="R1298" s="7">
        <v>0</v>
      </c>
      <c r="S1298" s="7">
        <v>0</v>
      </c>
      <c r="T1298" s="7">
        <f>R1298-S1298</f>
        <v>0</v>
      </c>
      <c r="U1298" s="7">
        <f>T1298*O1298</f>
        <v>0</v>
      </c>
    </row>
    <row r="1299" spans="1:21">
      <c r="A1299" s="4" t="s">
        <v>1914</v>
      </c>
      <c r="B1299" s="4" t="s">
        <v>39</v>
      </c>
      <c r="C1299" s="5">
        <v>45940.28761574074</v>
      </c>
      <c r="D1299" s="5">
        <v>45940</v>
      </c>
      <c r="E1299" s="6">
        <f>IF(AND(C1299&lt;&gt;"",D1299&lt;&gt;""),D1299-C1299,"")</f>
        <v>0</v>
      </c>
      <c r="F1299" s="4" t="s">
        <v>1915</v>
      </c>
      <c r="G1299" s="4" t="s">
        <v>1916</v>
      </c>
      <c r="H1299" s="4" t="s">
        <v>1917</v>
      </c>
      <c r="I1299" s="4" t="s">
        <v>56</v>
      </c>
      <c r="J1299" s="4">
        <v>0</v>
      </c>
      <c r="K1299" s="4">
        <v>0</v>
      </c>
      <c r="L1299" s="4">
        <f>J1299+K1299</f>
        <v>0</v>
      </c>
      <c r="M1299" s="4" t="s">
        <v>370</v>
      </c>
      <c r="N1299" s="4"/>
      <c r="O1299" s="4">
        <v>1</v>
      </c>
      <c r="P1299" s="4" t="s">
        <v>135</v>
      </c>
      <c r="Q1299" s="4" t="s">
        <v>44</v>
      </c>
      <c r="R1299" s="7">
        <v>2000000</v>
      </c>
      <c r="S1299" s="7">
        <v>0</v>
      </c>
      <c r="T1299" s="7">
        <f>R1299-S1299</f>
        <v>0</v>
      </c>
      <c r="U1299" s="7">
        <f>T1299*O1299</f>
        <v>0</v>
      </c>
    </row>
    <row r="1300" spans="1:21">
      <c r="A1300" s="4" t="s">
        <v>1918</v>
      </c>
      <c r="B1300" s="4" t="s">
        <v>39</v>
      </c>
      <c r="C1300" s="5">
        <v>45940.29136574074</v>
      </c>
      <c r="D1300" s="5">
        <v>45940</v>
      </c>
      <c r="E1300" s="6">
        <f>IF(AND(C1300&lt;&gt;"",D1300&lt;&gt;""),D1300-C1300,"")</f>
        <v>0</v>
      </c>
      <c r="F1300" s="4" t="s">
        <v>1915</v>
      </c>
      <c r="G1300" s="4" t="s">
        <v>1916</v>
      </c>
      <c r="H1300" s="4" t="s">
        <v>1917</v>
      </c>
      <c r="I1300" s="4" t="s">
        <v>56</v>
      </c>
      <c r="J1300" s="4">
        <v>0</v>
      </c>
      <c r="K1300" s="4">
        <v>0</v>
      </c>
      <c r="L1300" s="4">
        <f>J1300+K1300</f>
        <v>0</v>
      </c>
      <c r="M1300" s="4" t="s">
        <v>370</v>
      </c>
      <c r="N1300" s="4"/>
      <c r="O1300" s="4">
        <v>1</v>
      </c>
      <c r="P1300" s="4" t="s">
        <v>135</v>
      </c>
      <c r="Q1300" s="4" t="s">
        <v>44</v>
      </c>
      <c r="R1300" s="7">
        <v>2000000</v>
      </c>
      <c r="S1300" s="7">
        <v>0</v>
      </c>
      <c r="T1300" s="7">
        <f>R1300-S1300</f>
        <v>0</v>
      </c>
      <c r="U1300" s="7">
        <f>T1300*O1300</f>
        <v>0</v>
      </c>
    </row>
    <row r="1301" spans="1:21">
      <c r="A1301" s="4" t="s">
        <v>1919</v>
      </c>
      <c r="B1301" s="4" t="s">
        <v>39</v>
      </c>
      <c r="C1301" s="5">
        <v>45940.29332175926</v>
      </c>
      <c r="D1301" s="5">
        <v>45940</v>
      </c>
      <c r="E1301" s="6">
        <f>IF(AND(C1301&lt;&gt;"",D1301&lt;&gt;""),D1301-C1301,"")</f>
        <v>0</v>
      </c>
      <c r="F1301" s="4" t="s">
        <v>1915</v>
      </c>
      <c r="G1301" s="4" t="s">
        <v>1916</v>
      </c>
      <c r="H1301" s="4" t="s">
        <v>1917</v>
      </c>
      <c r="I1301" s="4" t="s">
        <v>56</v>
      </c>
      <c r="J1301" s="4">
        <v>0</v>
      </c>
      <c r="K1301" s="4">
        <v>0</v>
      </c>
      <c r="L1301" s="4">
        <f>J1301+K1301</f>
        <v>0</v>
      </c>
      <c r="M1301" s="4" t="s">
        <v>370</v>
      </c>
      <c r="N1301" s="4"/>
      <c r="O1301" s="4">
        <v>1</v>
      </c>
      <c r="P1301" s="4" t="s">
        <v>135</v>
      </c>
      <c r="Q1301" s="4" t="s">
        <v>44</v>
      </c>
      <c r="R1301" s="7">
        <v>2000000</v>
      </c>
      <c r="S1301" s="7">
        <v>0</v>
      </c>
      <c r="T1301" s="7">
        <f>R1301-S1301</f>
        <v>0</v>
      </c>
      <c r="U1301" s="7">
        <f>T1301*O1301</f>
        <v>0</v>
      </c>
    </row>
    <row r="1302" spans="1:21">
      <c r="A1302" s="4" t="s">
        <v>1920</v>
      </c>
      <c r="B1302" s="4" t="s">
        <v>39</v>
      </c>
      <c r="C1302" s="5">
        <v>45940.29550925926</v>
      </c>
      <c r="D1302" s="5">
        <v>45940</v>
      </c>
      <c r="E1302" s="6">
        <f>IF(AND(C1302&lt;&gt;"",D1302&lt;&gt;""),D1302-C1302,"")</f>
        <v>0</v>
      </c>
      <c r="F1302" s="4" t="s">
        <v>1915</v>
      </c>
      <c r="G1302" s="4" t="s">
        <v>1916</v>
      </c>
      <c r="H1302" s="4" t="s">
        <v>1917</v>
      </c>
      <c r="I1302" s="4" t="s">
        <v>56</v>
      </c>
      <c r="J1302" s="4">
        <v>0</v>
      </c>
      <c r="K1302" s="4">
        <v>0</v>
      </c>
      <c r="L1302" s="4">
        <f>J1302+K1302</f>
        <v>0</v>
      </c>
      <c r="M1302" s="4" t="s">
        <v>370</v>
      </c>
      <c r="N1302" s="4"/>
      <c r="O1302" s="4">
        <v>1</v>
      </c>
      <c r="P1302" s="4" t="s">
        <v>135</v>
      </c>
      <c r="Q1302" s="4" t="s">
        <v>44</v>
      </c>
      <c r="R1302" s="7">
        <v>2000000</v>
      </c>
      <c r="S1302" s="7">
        <v>0</v>
      </c>
      <c r="T1302" s="7">
        <f>R1302-S1302</f>
        <v>0</v>
      </c>
      <c r="U1302" s="7">
        <f>T1302*O1302</f>
        <v>0</v>
      </c>
    </row>
    <row r="1303" spans="1:21">
      <c r="A1303" s="4" t="s">
        <v>1921</v>
      </c>
      <c r="B1303" s="4" t="s">
        <v>29</v>
      </c>
      <c r="C1303" s="5">
        <v>45940.30100694444</v>
      </c>
      <c r="D1303" s="5">
        <v>45961</v>
      </c>
      <c r="E1303" s="6">
        <f>IF(AND(C1303&lt;&gt;"",D1303&lt;&gt;""),D1303-C1303,"")</f>
        <v>0</v>
      </c>
      <c r="F1303" s="4" t="s">
        <v>1900</v>
      </c>
      <c r="G1303" s="4" t="s">
        <v>1434</v>
      </c>
      <c r="H1303" s="4"/>
      <c r="I1303" s="4" t="s">
        <v>56</v>
      </c>
      <c r="J1303" s="4">
        <v>2</v>
      </c>
      <c r="K1303" s="4">
        <v>0</v>
      </c>
      <c r="L1303" s="4">
        <f>J1303+K1303</f>
        <v>0</v>
      </c>
      <c r="M1303" s="4"/>
      <c r="N1303" s="4"/>
      <c r="O1303" s="4">
        <v>0</v>
      </c>
      <c r="P1303" s="4"/>
      <c r="Q1303" s="4"/>
      <c r="R1303" s="7">
        <v>0</v>
      </c>
      <c r="S1303" s="7">
        <v>0</v>
      </c>
      <c r="T1303" s="7">
        <f>R1303-S1303</f>
        <v>0</v>
      </c>
      <c r="U1303" s="7">
        <f>T1303*O1303</f>
        <v>0</v>
      </c>
    </row>
    <row r="1304" spans="1:21">
      <c r="A1304" s="4" t="s">
        <v>1922</v>
      </c>
      <c r="B1304" s="4" t="s">
        <v>29</v>
      </c>
      <c r="C1304" s="5">
        <v>45940.30236111111</v>
      </c>
      <c r="D1304" s="5">
        <v>45961</v>
      </c>
      <c r="E1304" s="6">
        <f>IF(AND(C1304&lt;&gt;"",D1304&lt;&gt;""),D1304-C1304,"")</f>
        <v>0</v>
      </c>
      <c r="F1304" s="4" t="s">
        <v>1433</v>
      </c>
      <c r="G1304" s="4" t="s">
        <v>1434</v>
      </c>
      <c r="H1304" s="4" t="s">
        <v>1435</v>
      </c>
      <c r="I1304" s="4" t="s">
        <v>56</v>
      </c>
      <c r="J1304" s="4">
        <v>1</v>
      </c>
      <c r="K1304" s="4">
        <v>1</v>
      </c>
      <c r="L1304" s="4">
        <f>J1304+K1304</f>
        <v>0</v>
      </c>
      <c r="M1304" s="4"/>
      <c r="N1304" s="4"/>
      <c r="O1304" s="4">
        <v>0</v>
      </c>
      <c r="P1304" s="4"/>
      <c r="Q1304" s="4"/>
      <c r="R1304" s="7">
        <v>0</v>
      </c>
      <c r="S1304" s="7">
        <v>0</v>
      </c>
      <c r="T1304" s="7">
        <f>R1304-S1304</f>
        <v>0</v>
      </c>
      <c r="U1304" s="7">
        <f>T1304*O1304</f>
        <v>0</v>
      </c>
    </row>
    <row r="1305" spans="1:21">
      <c r="A1305" s="4" t="s">
        <v>1923</v>
      </c>
      <c r="B1305" s="4" t="s">
        <v>39</v>
      </c>
      <c r="C1305" s="5">
        <v>45940.32864583333</v>
      </c>
      <c r="D1305" s="5">
        <v>45940</v>
      </c>
      <c r="E1305" s="6">
        <f>IF(AND(C1305&lt;&gt;"",D1305&lt;&gt;""),D1305-C1305,"")</f>
        <v>0</v>
      </c>
      <c r="F1305" s="4" t="s">
        <v>1915</v>
      </c>
      <c r="G1305" s="4" t="s">
        <v>1916</v>
      </c>
      <c r="H1305" s="4" t="s">
        <v>1917</v>
      </c>
      <c r="I1305" s="4" t="s">
        <v>56</v>
      </c>
      <c r="J1305" s="4">
        <v>0</v>
      </c>
      <c r="K1305" s="4">
        <v>0</v>
      </c>
      <c r="L1305" s="4">
        <f>J1305+K1305</f>
        <v>0</v>
      </c>
      <c r="M1305" s="4" t="s">
        <v>370</v>
      </c>
      <c r="N1305" s="4"/>
      <c r="O1305" s="4">
        <v>1</v>
      </c>
      <c r="P1305" s="4" t="s">
        <v>43</v>
      </c>
      <c r="Q1305" s="4"/>
      <c r="R1305" s="7">
        <v>36000</v>
      </c>
      <c r="S1305" s="7">
        <v>0</v>
      </c>
      <c r="T1305" s="7">
        <f>R1305-S1305</f>
        <v>0</v>
      </c>
      <c r="U1305" s="7">
        <f>T1305*O1305</f>
        <v>0</v>
      </c>
    </row>
    <row r="1306" spans="1:21">
      <c r="A1306" s="4" t="s">
        <v>1923</v>
      </c>
      <c r="B1306" s="4" t="s">
        <v>39</v>
      </c>
      <c r="C1306" s="5">
        <v>45940.32864583333</v>
      </c>
      <c r="D1306" s="5">
        <v>45940</v>
      </c>
      <c r="E1306" s="6">
        <f>IF(AND(C1306&lt;&gt;"",D1306&lt;&gt;""),D1306-C1306,"")</f>
        <v>0</v>
      </c>
      <c r="F1306" s="4" t="s">
        <v>1915</v>
      </c>
      <c r="G1306" s="4" t="s">
        <v>1916</v>
      </c>
      <c r="H1306" s="4" t="s">
        <v>1917</v>
      </c>
      <c r="I1306" s="4" t="s">
        <v>56</v>
      </c>
      <c r="J1306" s="4">
        <v>0</v>
      </c>
      <c r="K1306" s="4">
        <v>0</v>
      </c>
      <c r="L1306" s="4">
        <f>J1306+K1306</f>
        <v>0</v>
      </c>
      <c r="M1306" s="4" t="s">
        <v>1924</v>
      </c>
      <c r="N1306" s="4"/>
      <c r="O1306" s="4">
        <v>-1</v>
      </c>
      <c r="P1306" s="4" t="s">
        <v>43</v>
      </c>
      <c r="Q1306" s="4"/>
      <c r="R1306" s="7">
        <v>36000</v>
      </c>
      <c r="S1306" s="7">
        <v>0</v>
      </c>
      <c r="T1306" s="7">
        <f>R1306-S1306</f>
        <v>0</v>
      </c>
      <c r="U1306" s="7">
        <f>T1306*O1306</f>
        <v>0</v>
      </c>
    </row>
    <row r="1307" spans="1:21">
      <c r="A1307" s="4" t="s">
        <v>1925</v>
      </c>
      <c r="B1307" s="4" t="s">
        <v>39</v>
      </c>
      <c r="C1307" s="5">
        <v>45940.33079861111</v>
      </c>
      <c r="D1307" s="5">
        <v>45940</v>
      </c>
      <c r="E1307" s="6">
        <f>IF(AND(C1307&lt;&gt;"",D1307&lt;&gt;""),D1307-C1307,"")</f>
        <v>0</v>
      </c>
      <c r="F1307" s="4" t="s">
        <v>1915</v>
      </c>
      <c r="G1307" s="4" t="s">
        <v>1916</v>
      </c>
      <c r="H1307" s="4" t="s">
        <v>1917</v>
      </c>
      <c r="I1307" s="4" t="s">
        <v>56</v>
      </c>
      <c r="J1307" s="4">
        <v>0</v>
      </c>
      <c r="K1307" s="4">
        <v>0</v>
      </c>
      <c r="L1307" s="4">
        <f>J1307+K1307</f>
        <v>0</v>
      </c>
      <c r="M1307" s="4" t="s">
        <v>370</v>
      </c>
      <c r="N1307" s="4"/>
      <c r="O1307" s="4">
        <v>1</v>
      </c>
      <c r="P1307" s="4" t="s">
        <v>43</v>
      </c>
      <c r="Q1307" s="4"/>
      <c r="R1307" s="7">
        <v>43000</v>
      </c>
      <c r="S1307" s="7">
        <v>0</v>
      </c>
      <c r="T1307" s="7">
        <f>R1307-S1307</f>
        <v>0</v>
      </c>
      <c r="U1307" s="7">
        <f>T1307*O1307</f>
        <v>0</v>
      </c>
    </row>
    <row r="1308" spans="1:21">
      <c r="A1308" s="4" t="s">
        <v>1925</v>
      </c>
      <c r="B1308" s="4" t="s">
        <v>39</v>
      </c>
      <c r="C1308" s="5">
        <v>45940.33079861111</v>
      </c>
      <c r="D1308" s="5">
        <v>45940</v>
      </c>
      <c r="E1308" s="6">
        <f>IF(AND(C1308&lt;&gt;"",D1308&lt;&gt;""),D1308-C1308,"")</f>
        <v>0</v>
      </c>
      <c r="F1308" s="4" t="s">
        <v>1915</v>
      </c>
      <c r="G1308" s="4" t="s">
        <v>1916</v>
      </c>
      <c r="H1308" s="4" t="s">
        <v>1917</v>
      </c>
      <c r="I1308" s="4" t="s">
        <v>56</v>
      </c>
      <c r="J1308" s="4">
        <v>0</v>
      </c>
      <c r="K1308" s="4">
        <v>0</v>
      </c>
      <c r="L1308" s="4">
        <f>J1308+K1308</f>
        <v>0</v>
      </c>
      <c r="M1308" s="4" t="s">
        <v>1926</v>
      </c>
      <c r="N1308" s="4"/>
      <c r="O1308" s="4">
        <v>-1</v>
      </c>
      <c r="P1308" s="4" t="s">
        <v>43</v>
      </c>
      <c r="Q1308" s="4"/>
      <c r="R1308" s="7">
        <v>43000</v>
      </c>
      <c r="S1308" s="7">
        <v>0</v>
      </c>
      <c r="T1308" s="7">
        <f>R1308-S1308</f>
        <v>0</v>
      </c>
      <c r="U1308" s="7">
        <f>T1308*O1308</f>
        <v>0</v>
      </c>
    </row>
    <row r="1309" spans="1:21">
      <c r="A1309" s="4" t="s">
        <v>1927</v>
      </c>
      <c r="B1309" s="4" t="s">
        <v>48</v>
      </c>
      <c r="C1309" s="5">
        <v>45940.34965277778</v>
      </c>
      <c r="D1309" s="5">
        <v>45961</v>
      </c>
      <c r="E1309" s="6">
        <f>IF(AND(C1309&lt;&gt;"",D1309&lt;&gt;""),D1309-C1309,"")</f>
        <v>0</v>
      </c>
      <c r="F1309" s="4" t="s">
        <v>201</v>
      </c>
      <c r="G1309" s="4" t="s">
        <v>202</v>
      </c>
      <c r="H1309" s="4" t="s">
        <v>32</v>
      </c>
      <c r="I1309" s="4" t="s">
        <v>33</v>
      </c>
      <c r="J1309" s="4">
        <v>2</v>
      </c>
      <c r="K1309" s="4">
        <v>0</v>
      </c>
      <c r="L1309" s="4">
        <f>J1309+K1309</f>
        <v>0</v>
      </c>
      <c r="M1309" s="4"/>
      <c r="N1309" s="4"/>
      <c r="O1309" s="4">
        <v>0</v>
      </c>
      <c r="P1309" s="4"/>
      <c r="Q1309" s="4"/>
      <c r="R1309" s="7">
        <v>0</v>
      </c>
      <c r="S1309" s="7">
        <v>0</v>
      </c>
      <c r="T1309" s="7">
        <f>R1309-S1309</f>
        <v>0</v>
      </c>
      <c r="U1309" s="7">
        <f>T1309*O1309</f>
        <v>0</v>
      </c>
    </row>
    <row r="1310" spans="1:21">
      <c r="A1310" s="4" t="s">
        <v>1928</v>
      </c>
      <c r="B1310" s="4" t="s">
        <v>48</v>
      </c>
      <c r="C1310" s="5">
        <v>45940.35024305555</v>
      </c>
      <c r="D1310" s="5">
        <v>45961</v>
      </c>
      <c r="E1310" s="6">
        <f>IF(AND(C1310&lt;&gt;"",D1310&lt;&gt;""),D1310-C1310,"")</f>
        <v>0</v>
      </c>
      <c r="F1310" s="4" t="s">
        <v>1907</v>
      </c>
      <c r="G1310" s="4" t="s">
        <v>1908</v>
      </c>
      <c r="H1310" s="4" t="s">
        <v>32</v>
      </c>
      <c r="I1310" s="4" t="s">
        <v>33</v>
      </c>
      <c r="J1310" s="4">
        <v>3</v>
      </c>
      <c r="K1310" s="4">
        <v>2</v>
      </c>
      <c r="L1310" s="4">
        <f>J1310+K1310</f>
        <v>0</v>
      </c>
      <c r="M1310" s="4"/>
      <c r="N1310" s="4"/>
      <c r="O1310" s="4">
        <v>0</v>
      </c>
      <c r="P1310" s="4"/>
      <c r="Q1310" s="4"/>
      <c r="R1310" s="7">
        <v>0</v>
      </c>
      <c r="S1310" s="7">
        <v>0</v>
      </c>
      <c r="T1310" s="7">
        <f>R1310-S1310</f>
        <v>0</v>
      </c>
      <c r="U1310" s="7">
        <f>T1310*O1310</f>
        <v>0</v>
      </c>
    </row>
    <row r="1311" spans="1:21">
      <c r="A1311" s="4" t="s">
        <v>1929</v>
      </c>
      <c r="B1311" s="4" t="s">
        <v>48</v>
      </c>
      <c r="C1311" s="5">
        <v>45940.36657407408</v>
      </c>
      <c r="D1311" s="5">
        <v>45961</v>
      </c>
      <c r="E1311" s="6">
        <f>IF(AND(C1311&lt;&gt;"",D1311&lt;&gt;""),D1311-C1311,"")</f>
        <v>0</v>
      </c>
      <c r="F1311" s="4" t="s">
        <v>718</v>
      </c>
      <c r="G1311" s="4" t="s">
        <v>454</v>
      </c>
      <c r="H1311" s="4" t="s">
        <v>32</v>
      </c>
      <c r="I1311" s="4" t="s">
        <v>33</v>
      </c>
      <c r="J1311" s="4">
        <v>3</v>
      </c>
      <c r="K1311" s="4">
        <v>0</v>
      </c>
      <c r="L1311" s="4">
        <f>J1311+K1311</f>
        <v>0</v>
      </c>
      <c r="M1311" s="4"/>
      <c r="N1311" s="4"/>
      <c r="O1311" s="4">
        <v>0</v>
      </c>
      <c r="P1311" s="4"/>
      <c r="Q1311" s="4"/>
      <c r="R1311" s="7">
        <v>0</v>
      </c>
      <c r="S1311" s="7">
        <v>0</v>
      </c>
      <c r="T1311" s="7">
        <f>R1311-S1311</f>
        <v>0</v>
      </c>
      <c r="U1311" s="7">
        <f>T1311*O1311</f>
        <v>0</v>
      </c>
    </row>
    <row r="1312" spans="1:21">
      <c r="A1312" s="4" t="s">
        <v>1930</v>
      </c>
      <c r="B1312" s="4" t="s">
        <v>48</v>
      </c>
      <c r="C1312" s="5">
        <v>45940.38423611111</v>
      </c>
      <c r="D1312" s="5">
        <v>45961</v>
      </c>
      <c r="E1312" s="6">
        <f>IF(AND(C1312&lt;&gt;"",D1312&lt;&gt;""),D1312-C1312,"")</f>
        <v>0</v>
      </c>
      <c r="F1312" s="4" t="s">
        <v>1931</v>
      </c>
      <c r="G1312" s="4" t="s">
        <v>1932</v>
      </c>
      <c r="H1312" s="4" t="s">
        <v>1933</v>
      </c>
      <c r="I1312" s="4" t="s">
        <v>56</v>
      </c>
      <c r="J1312" s="4">
        <v>3</v>
      </c>
      <c r="K1312" s="4">
        <v>0</v>
      </c>
      <c r="L1312" s="4">
        <f>J1312+K1312</f>
        <v>0</v>
      </c>
      <c r="M1312" s="4"/>
      <c r="N1312" s="4"/>
      <c r="O1312" s="4">
        <v>0</v>
      </c>
      <c r="P1312" s="4"/>
      <c r="Q1312" s="4"/>
      <c r="R1312" s="7">
        <v>0</v>
      </c>
      <c r="S1312" s="7">
        <v>0</v>
      </c>
      <c r="T1312" s="7">
        <f>R1312-S1312</f>
        <v>0</v>
      </c>
      <c r="U1312" s="7">
        <f>T1312*O1312</f>
        <v>0</v>
      </c>
    </row>
    <row r="1313" spans="1:21">
      <c r="A1313" s="4" t="s">
        <v>1934</v>
      </c>
      <c r="B1313" s="4" t="s">
        <v>48</v>
      </c>
      <c r="C1313" s="5">
        <v>45940.38625</v>
      </c>
      <c r="D1313" s="5">
        <v>45961</v>
      </c>
      <c r="E1313" s="6">
        <f>IF(AND(C1313&lt;&gt;"",D1313&lt;&gt;""),D1313-C1313,"")</f>
        <v>0</v>
      </c>
      <c r="F1313" s="4" t="s">
        <v>1935</v>
      </c>
      <c r="G1313" s="4" t="s">
        <v>1936</v>
      </c>
      <c r="H1313" s="4" t="s">
        <v>32</v>
      </c>
      <c r="I1313" s="4" t="s">
        <v>33</v>
      </c>
      <c r="J1313" s="4">
        <v>3</v>
      </c>
      <c r="K1313" s="4">
        <v>0</v>
      </c>
      <c r="L1313" s="4">
        <f>J1313+K1313</f>
        <v>0</v>
      </c>
      <c r="M1313" s="4"/>
      <c r="N1313" s="4"/>
      <c r="O1313" s="4">
        <v>0</v>
      </c>
      <c r="P1313" s="4"/>
      <c r="Q1313" s="4"/>
      <c r="R1313" s="7">
        <v>0</v>
      </c>
      <c r="S1313" s="7">
        <v>0</v>
      </c>
      <c r="T1313" s="7">
        <f>R1313-S1313</f>
        <v>0</v>
      </c>
      <c r="U1313" s="7">
        <f>T1313*O1313</f>
        <v>0</v>
      </c>
    </row>
    <row r="1314" spans="1:21">
      <c r="A1314" s="4" t="s">
        <v>1937</v>
      </c>
      <c r="B1314" s="4" t="s">
        <v>48</v>
      </c>
      <c r="C1314" s="5">
        <v>45940.3875</v>
      </c>
      <c r="D1314" s="5">
        <v>45961</v>
      </c>
      <c r="E1314" s="6">
        <f>IF(AND(C1314&lt;&gt;"",D1314&lt;&gt;""),D1314-C1314,"")</f>
        <v>0</v>
      </c>
      <c r="F1314" s="4" t="s">
        <v>1938</v>
      </c>
      <c r="G1314" s="4" t="s">
        <v>1939</v>
      </c>
      <c r="H1314" s="4" t="s">
        <v>32</v>
      </c>
      <c r="I1314" s="4" t="s">
        <v>33</v>
      </c>
      <c r="J1314" s="4">
        <v>3</v>
      </c>
      <c r="K1314" s="4">
        <v>0</v>
      </c>
      <c r="L1314" s="4">
        <f>J1314+K1314</f>
        <v>0</v>
      </c>
      <c r="M1314" s="4"/>
      <c r="N1314" s="4"/>
      <c r="O1314" s="4">
        <v>0</v>
      </c>
      <c r="P1314" s="4"/>
      <c r="Q1314" s="4"/>
      <c r="R1314" s="7">
        <v>0</v>
      </c>
      <c r="S1314" s="7">
        <v>0</v>
      </c>
      <c r="T1314" s="7">
        <f>R1314-S1314</f>
        <v>0</v>
      </c>
      <c r="U1314" s="7">
        <f>T1314*O1314</f>
        <v>0</v>
      </c>
    </row>
    <row r="1315" spans="1:21">
      <c r="A1315" s="4" t="s">
        <v>1940</v>
      </c>
      <c r="B1315" s="4" t="s">
        <v>39</v>
      </c>
      <c r="C1315" s="5">
        <v>45940.40233796297</v>
      </c>
      <c r="D1315" s="5">
        <v>45940</v>
      </c>
      <c r="E1315" s="6">
        <f>IF(AND(C1315&lt;&gt;"",D1315&lt;&gt;""),D1315-C1315,"")</f>
        <v>0</v>
      </c>
      <c r="F1315" s="4" t="s">
        <v>1343</v>
      </c>
      <c r="G1315" s="4" t="s">
        <v>1941</v>
      </c>
      <c r="H1315" s="4" t="s">
        <v>32</v>
      </c>
      <c r="I1315" s="4" t="s">
        <v>33</v>
      </c>
      <c r="J1315" s="4">
        <v>2</v>
      </c>
      <c r="K1315" s="4">
        <v>0</v>
      </c>
      <c r="L1315" s="4">
        <f>J1315+K1315</f>
        <v>0</v>
      </c>
      <c r="M1315" s="4" t="s">
        <v>42</v>
      </c>
      <c r="N1315" s="4"/>
      <c r="O1315" s="4">
        <v>2</v>
      </c>
      <c r="P1315" s="4" t="s">
        <v>135</v>
      </c>
      <c r="Q1315" s="4"/>
      <c r="R1315" s="7">
        <v>370000</v>
      </c>
      <c r="S1315" s="7">
        <v>0</v>
      </c>
      <c r="T1315" s="7">
        <f>R1315-S1315</f>
        <v>0</v>
      </c>
      <c r="U1315" s="7">
        <f>T1315*O1315</f>
        <v>0</v>
      </c>
    </row>
    <row r="1316" spans="1:21">
      <c r="A1316" s="4" t="s">
        <v>1940</v>
      </c>
      <c r="B1316" s="4" t="s">
        <v>39</v>
      </c>
      <c r="C1316" s="5">
        <v>45940.40233796297</v>
      </c>
      <c r="D1316" s="5">
        <v>45940</v>
      </c>
      <c r="E1316" s="6">
        <f>IF(AND(C1316&lt;&gt;"",D1316&lt;&gt;""),D1316-C1316,"")</f>
        <v>0</v>
      </c>
      <c r="F1316" s="4" t="s">
        <v>1343</v>
      </c>
      <c r="G1316" s="4" t="s">
        <v>1941</v>
      </c>
      <c r="H1316" s="4" t="s">
        <v>32</v>
      </c>
      <c r="I1316" s="4" t="s">
        <v>33</v>
      </c>
      <c r="J1316" s="4">
        <v>0</v>
      </c>
      <c r="K1316" s="4">
        <v>2</v>
      </c>
      <c r="L1316" s="4">
        <f>J1316+K1316</f>
        <v>0</v>
      </c>
      <c r="M1316" s="4" t="s">
        <v>81</v>
      </c>
      <c r="N1316" s="4"/>
      <c r="O1316" s="4">
        <v>2</v>
      </c>
      <c r="P1316" s="4" t="s">
        <v>135</v>
      </c>
      <c r="Q1316" s="4"/>
      <c r="R1316" s="7">
        <v>495000</v>
      </c>
      <c r="S1316" s="7">
        <v>0</v>
      </c>
      <c r="T1316" s="7">
        <f>R1316-S1316</f>
        <v>0</v>
      </c>
      <c r="U1316" s="7">
        <f>T1316*O1316</f>
        <v>0</v>
      </c>
    </row>
    <row r="1317" spans="1:21">
      <c r="A1317" s="4" t="s">
        <v>1940</v>
      </c>
      <c r="B1317" s="4" t="s">
        <v>39</v>
      </c>
      <c r="C1317" s="5">
        <v>45940.40233796297</v>
      </c>
      <c r="D1317" s="5">
        <v>45940</v>
      </c>
      <c r="E1317" s="6">
        <f>IF(AND(C1317&lt;&gt;"",D1317&lt;&gt;""),D1317-C1317,"")</f>
        <v>0</v>
      </c>
      <c r="F1317" s="4" t="s">
        <v>1343</v>
      </c>
      <c r="G1317" s="4" t="s">
        <v>1941</v>
      </c>
      <c r="H1317" s="4" t="s">
        <v>32</v>
      </c>
      <c r="I1317" s="4" t="s">
        <v>33</v>
      </c>
      <c r="J1317" s="4">
        <v>2</v>
      </c>
      <c r="K1317" s="4">
        <v>0</v>
      </c>
      <c r="L1317" s="4">
        <f>J1317+K1317</f>
        <v>0</v>
      </c>
      <c r="M1317" s="4" t="s">
        <v>80</v>
      </c>
      <c r="N1317" s="4"/>
      <c r="O1317" s="4">
        <v>2</v>
      </c>
      <c r="P1317" s="4" t="s">
        <v>135</v>
      </c>
      <c r="Q1317" s="4"/>
      <c r="R1317" s="7">
        <v>610000</v>
      </c>
      <c r="S1317" s="7">
        <v>0</v>
      </c>
      <c r="T1317" s="7">
        <f>R1317-S1317</f>
        <v>0</v>
      </c>
      <c r="U1317" s="7">
        <f>T1317*O1317</f>
        <v>0</v>
      </c>
    </row>
    <row r="1318" spans="1:21">
      <c r="A1318" s="4" t="s">
        <v>1940</v>
      </c>
      <c r="B1318" s="4" t="s">
        <v>39</v>
      </c>
      <c r="C1318" s="5">
        <v>45940.40233796297</v>
      </c>
      <c r="D1318" s="5">
        <v>45940</v>
      </c>
      <c r="E1318" s="6">
        <f>IF(AND(C1318&lt;&gt;"",D1318&lt;&gt;""),D1318-C1318,"")</f>
        <v>0</v>
      </c>
      <c r="F1318" s="4" t="s">
        <v>1343</v>
      </c>
      <c r="G1318" s="4" t="s">
        <v>1941</v>
      </c>
      <c r="H1318" s="4" t="s">
        <v>32</v>
      </c>
      <c r="I1318" s="4" t="s">
        <v>33</v>
      </c>
      <c r="J1318" s="4">
        <v>0</v>
      </c>
      <c r="K1318" s="4">
        <v>2</v>
      </c>
      <c r="L1318" s="4">
        <f>J1318+K1318</f>
        <v>0</v>
      </c>
      <c r="M1318" s="4" t="s">
        <v>46</v>
      </c>
      <c r="N1318" s="4"/>
      <c r="O1318" s="4">
        <v>2</v>
      </c>
      <c r="P1318" s="4" t="s">
        <v>135</v>
      </c>
      <c r="Q1318" s="4"/>
      <c r="R1318" s="7">
        <v>325000</v>
      </c>
      <c r="S1318" s="7">
        <v>0</v>
      </c>
      <c r="T1318" s="7">
        <f>R1318-S1318</f>
        <v>0</v>
      </c>
      <c r="U1318" s="7">
        <f>T1318*O1318</f>
        <v>0</v>
      </c>
    </row>
    <row r="1319" spans="1:21">
      <c r="A1319" s="4" t="s">
        <v>1942</v>
      </c>
      <c r="B1319" s="4" t="s">
        <v>39</v>
      </c>
      <c r="C1319" s="5">
        <v>45940.40936342593</v>
      </c>
      <c r="D1319" s="5">
        <v>45940</v>
      </c>
      <c r="E1319" s="6">
        <f>IF(AND(C1319&lt;&gt;"",D1319&lt;&gt;""),D1319-C1319,"")</f>
        <v>0</v>
      </c>
      <c r="F1319" s="4" t="s">
        <v>1943</v>
      </c>
      <c r="G1319" s="4"/>
      <c r="H1319" s="4"/>
      <c r="I1319" s="4" t="s">
        <v>56</v>
      </c>
      <c r="J1319" s="4">
        <v>1</v>
      </c>
      <c r="K1319" s="4">
        <v>0</v>
      </c>
      <c r="L1319" s="4">
        <f>J1319+K1319</f>
        <v>0</v>
      </c>
      <c r="M1319" s="4" t="s">
        <v>80</v>
      </c>
      <c r="N1319" s="4"/>
      <c r="O1319" s="4">
        <v>1</v>
      </c>
      <c r="P1319" s="4" t="s">
        <v>135</v>
      </c>
      <c r="Q1319" s="4"/>
      <c r="R1319" s="7">
        <v>610000</v>
      </c>
      <c r="S1319" s="7">
        <v>0</v>
      </c>
      <c r="T1319" s="7">
        <f>R1319-S1319</f>
        <v>0</v>
      </c>
      <c r="U1319" s="7">
        <f>T1319*O1319</f>
        <v>0</v>
      </c>
    </row>
    <row r="1320" spans="1:21">
      <c r="A1320" s="4" t="s">
        <v>1944</v>
      </c>
      <c r="B1320" s="4" t="s">
        <v>39</v>
      </c>
      <c r="C1320" s="5">
        <v>45940.41048611111</v>
      </c>
      <c r="D1320" s="5">
        <v>45940</v>
      </c>
      <c r="E1320" s="6">
        <f>IF(AND(C1320&lt;&gt;"",D1320&lt;&gt;""),D1320-C1320,"")</f>
        <v>0</v>
      </c>
      <c r="F1320" s="4" t="s">
        <v>1313</v>
      </c>
      <c r="G1320" s="4"/>
      <c r="H1320" s="4"/>
      <c r="I1320" s="4" t="s">
        <v>56</v>
      </c>
      <c r="J1320" s="4">
        <v>1</v>
      </c>
      <c r="K1320" s="4">
        <v>0</v>
      </c>
      <c r="L1320" s="4">
        <f>J1320+K1320</f>
        <v>0</v>
      </c>
      <c r="M1320" s="4" t="s">
        <v>80</v>
      </c>
      <c r="N1320" s="4"/>
      <c r="O1320" s="4">
        <v>1</v>
      </c>
      <c r="P1320" s="4" t="s">
        <v>135</v>
      </c>
      <c r="Q1320" s="4"/>
      <c r="R1320" s="7">
        <v>610000</v>
      </c>
      <c r="S1320" s="7">
        <v>0</v>
      </c>
      <c r="T1320" s="7">
        <f>R1320-S1320</f>
        <v>0</v>
      </c>
      <c r="U1320" s="7">
        <f>T1320*O1320</f>
        <v>0</v>
      </c>
    </row>
    <row r="1321" spans="1:21">
      <c r="A1321" s="4" t="s">
        <v>1945</v>
      </c>
      <c r="B1321" s="4" t="s">
        <v>39</v>
      </c>
      <c r="C1321" s="5">
        <v>45940.53130787037</v>
      </c>
      <c r="D1321" s="5">
        <v>45940</v>
      </c>
      <c r="E1321" s="6">
        <f>IF(AND(C1321&lt;&gt;"",D1321&lt;&gt;""),D1321-C1321,"")</f>
        <v>0</v>
      </c>
      <c r="F1321" s="4" t="s">
        <v>1756</v>
      </c>
      <c r="G1321" s="4" t="s">
        <v>1757</v>
      </c>
      <c r="H1321" s="4" t="s">
        <v>32</v>
      </c>
      <c r="I1321" s="4" t="s">
        <v>33</v>
      </c>
      <c r="J1321" s="4">
        <v>0</v>
      </c>
      <c r="K1321" s="4">
        <v>1</v>
      </c>
      <c r="L1321" s="4">
        <f>J1321+K1321</f>
        <v>0</v>
      </c>
      <c r="M1321" s="4" t="s">
        <v>81</v>
      </c>
      <c r="N1321" s="4"/>
      <c r="O1321" s="4">
        <v>1</v>
      </c>
      <c r="P1321" s="4" t="s">
        <v>135</v>
      </c>
      <c r="Q1321" s="4"/>
      <c r="R1321" s="7">
        <v>495000</v>
      </c>
      <c r="S1321" s="7">
        <v>0</v>
      </c>
      <c r="T1321" s="7">
        <f>R1321-S1321</f>
        <v>0</v>
      </c>
      <c r="U1321" s="7">
        <f>T1321*O1321</f>
        <v>0</v>
      </c>
    </row>
    <row r="1322" spans="1:21">
      <c r="A1322" s="4" t="s">
        <v>1946</v>
      </c>
      <c r="B1322" s="4" t="s">
        <v>29</v>
      </c>
      <c r="C1322" s="5">
        <v>45940.54802083333</v>
      </c>
      <c r="D1322" s="5">
        <v>45961</v>
      </c>
      <c r="E1322" s="6">
        <f>IF(AND(C1322&lt;&gt;"",D1322&lt;&gt;""),D1322-C1322,"")</f>
        <v>0</v>
      </c>
      <c r="F1322" s="4" t="s">
        <v>307</v>
      </c>
      <c r="G1322" s="4" t="s">
        <v>308</v>
      </c>
      <c r="H1322" s="4" t="s">
        <v>190</v>
      </c>
      <c r="I1322" s="4" t="s">
        <v>56</v>
      </c>
      <c r="J1322" s="4">
        <v>1</v>
      </c>
      <c r="K1322" s="4">
        <v>0</v>
      </c>
      <c r="L1322" s="4">
        <f>J1322+K1322</f>
        <v>0</v>
      </c>
      <c r="M1322" s="4"/>
      <c r="N1322" s="4"/>
      <c r="O1322" s="4">
        <v>0</v>
      </c>
      <c r="P1322" s="4"/>
      <c r="Q1322" s="4"/>
      <c r="R1322" s="7">
        <v>0</v>
      </c>
      <c r="S1322" s="7">
        <v>0</v>
      </c>
      <c r="T1322" s="7">
        <f>R1322-S1322</f>
        <v>0</v>
      </c>
      <c r="U1322" s="7">
        <f>T1322*O1322</f>
        <v>0</v>
      </c>
    </row>
    <row r="1323" spans="1:21">
      <c r="A1323" s="4" t="s">
        <v>1947</v>
      </c>
      <c r="B1323" s="4" t="s">
        <v>29</v>
      </c>
      <c r="C1323" s="5">
        <v>45940.54826388889</v>
      </c>
      <c r="D1323" s="5">
        <v>45961</v>
      </c>
      <c r="E1323" s="6">
        <f>IF(AND(C1323&lt;&gt;"",D1323&lt;&gt;""),D1323-C1323,"")</f>
        <v>0</v>
      </c>
      <c r="F1323" s="4" t="s">
        <v>307</v>
      </c>
      <c r="G1323" s="4" t="s">
        <v>308</v>
      </c>
      <c r="H1323" s="4" t="s">
        <v>190</v>
      </c>
      <c r="I1323" s="4" t="s">
        <v>56</v>
      </c>
      <c r="J1323" s="4">
        <v>1</v>
      </c>
      <c r="K1323" s="4">
        <v>0</v>
      </c>
      <c r="L1323" s="4">
        <f>J1323+K1323</f>
        <v>0</v>
      </c>
      <c r="M1323" s="4"/>
      <c r="N1323" s="4"/>
      <c r="O1323" s="4">
        <v>0</v>
      </c>
      <c r="P1323" s="4"/>
      <c r="Q1323" s="4"/>
      <c r="R1323" s="7">
        <v>0</v>
      </c>
      <c r="S1323" s="7">
        <v>0</v>
      </c>
      <c r="T1323" s="7">
        <f>R1323-S1323</f>
        <v>0</v>
      </c>
      <c r="U1323" s="7">
        <f>T1323*O1323</f>
        <v>0</v>
      </c>
    </row>
    <row r="1324" spans="1:21">
      <c r="A1324" s="4" t="s">
        <v>1948</v>
      </c>
      <c r="B1324" s="4" t="s">
        <v>48</v>
      </c>
      <c r="C1324" s="5">
        <v>45940.69325231481</v>
      </c>
      <c r="D1324" s="5">
        <v>45961</v>
      </c>
      <c r="E1324" s="6">
        <f>IF(AND(C1324&lt;&gt;"",D1324&lt;&gt;""),D1324-C1324,"")</f>
        <v>0</v>
      </c>
      <c r="F1324" s="4" t="s">
        <v>201</v>
      </c>
      <c r="G1324" s="4" t="s">
        <v>202</v>
      </c>
      <c r="H1324" s="4" t="s">
        <v>32</v>
      </c>
      <c r="I1324" s="4" t="s">
        <v>33</v>
      </c>
      <c r="J1324" s="4">
        <v>1</v>
      </c>
      <c r="K1324" s="4">
        <v>0</v>
      </c>
      <c r="L1324" s="4">
        <f>J1324+K1324</f>
        <v>0</v>
      </c>
      <c r="M1324" s="4"/>
      <c r="N1324" s="4"/>
      <c r="O1324" s="4">
        <v>0</v>
      </c>
      <c r="P1324" s="4"/>
      <c r="Q1324" s="4"/>
      <c r="R1324" s="7">
        <v>0</v>
      </c>
      <c r="S1324" s="7">
        <v>0</v>
      </c>
      <c r="T1324" s="7">
        <f>R1324-S1324</f>
        <v>0</v>
      </c>
      <c r="U1324" s="7">
        <f>T1324*O1324</f>
        <v>0</v>
      </c>
    </row>
    <row r="1325" spans="1:21">
      <c r="A1325" s="4" t="s">
        <v>1949</v>
      </c>
      <c r="B1325" s="4" t="s">
        <v>39</v>
      </c>
      <c r="C1325" s="5">
        <v>45941.03050925926</v>
      </c>
      <c r="D1325" s="5">
        <v>45941</v>
      </c>
      <c r="E1325" s="6">
        <f>IF(AND(C1325&lt;&gt;"",D1325&lt;&gt;""),D1325-C1325,"")</f>
        <v>0</v>
      </c>
      <c r="F1325" s="4" t="s">
        <v>1358</v>
      </c>
      <c r="G1325" s="4" t="s">
        <v>1359</v>
      </c>
      <c r="H1325" s="4" t="s">
        <v>32</v>
      </c>
      <c r="I1325" s="4" t="s">
        <v>33</v>
      </c>
      <c r="J1325" s="4">
        <v>0</v>
      </c>
      <c r="K1325" s="4">
        <v>0</v>
      </c>
      <c r="L1325" s="4">
        <f>J1325+K1325</f>
        <v>0</v>
      </c>
      <c r="M1325" s="4" t="s">
        <v>370</v>
      </c>
      <c r="N1325" s="4"/>
      <c r="O1325" s="4">
        <v>1</v>
      </c>
      <c r="P1325" s="4" t="s">
        <v>135</v>
      </c>
      <c r="Q1325" s="4" t="s">
        <v>44</v>
      </c>
      <c r="R1325" s="7">
        <v>2000000</v>
      </c>
      <c r="S1325" s="7">
        <v>0</v>
      </c>
      <c r="T1325" s="7">
        <f>R1325-S1325</f>
        <v>0</v>
      </c>
      <c r="U1325" s="7">
        <f>T1325*O1325</f>
        <v>0</v>
      </c>
    </row>
    <row r="1326" spans="1:21">
      <c r="A1326" s="4" t="s">
        <v>1950</v>
      </c>
      <c r="B1326" s="4" t="s">
        <v>39</v>
      </c>
      <c r="C1326" s="5">
        <v>45941.03444444444</v>
      </c>
      <c r="D1326" s="5">
        <v>45941</v>
      </c>
      <c r="E1326" s="6">
        <f>IF(AND(C1326&lt;&gt;"",D1326&lt;&gt;""),D1326-C1326,"")</f>
        <v>0</v>
      </c>
      <c r="F1326" s="4" t="s">
        <v>1358</v>
      </c>
      <c r="G1326" s="4" t="s">
        <v>1359</v>
      </c>
      <c r="H1326" s="4" t="s">
        <v>32</v>
      </c>
      <c r="I1326" s="4" t="s">
        <v>33</v>
      </c>
      <c r="J1326" s="4">
        <v>0</v>
      </c>
      <c r="K1326" s="4">
        <v>0</v>
      </c>
      <c r="L1326" s="4">
        <f>J1326+K1326</f>
        <v>0</v>
      </c>
      <c r="M1326" s="4" t="s">
        <v>370</v>
      </c>
      <c r="N1326" s="4"/>
      <c r="O1326" s="4">
        <v>1</v>
      </c>
      <c r="P1326" s="4" t="s">
        <v>135</v>
      </c>
      <c r="Q1326" s="4" t="s">
        <v>44</v>
      </c>
      <c r="R1326" s="7">
        <v>2000000</v>
      </c>
      <c r="S1326" s="7">
        <v>0</v>
      </c>
      <c r="T1326" s="7">
        <f>R1326-S1326</f>
        <v>0</v>
      </c>
      <c r="U1326" s="7">
        <f>T1326*O1326</f>
        <v>0</v>
      </c>
    </row>
    <row r="1327" spans="1:21">
      <c r="A1327" s="4" t="s">
        <v>1951</v>
      </c>
      <c r="B1327" s="4" t="s">
        <v>39</v>
      </c>
      <c r="C1327" s="5">
        <v>45941.0353587963</v>
      </c>
      <c r="D1327" s="5">
        <v>45941</v>
      </c>
      <c r="E1327" s="6">
        <f>IF(AND(C1327&lt;&gt;"",D1327&lt;&gt;""),D1327-C1327,"")</f>
        <v>0</v>
      </c>
      <c r="F1327" s="4" t="s">
        <v>1355</v>
      </c>
      <c r="G1327" s="4" t="s">
        <v>1356</v>
      </c>
      <c r="H1327" s="4" t="s">
        <v>177</v>
      </c>
      <c r="I1327" s="4" t="s">
        <v>56</v>
      </c>
      <c r="J1327" s="4">
        <v>0</v>
      </c>
      <c r="K1327" s="4">
        <v>0</v>
      </c>
      <c r="L1327" s="4">
        <f>J1327+K1327</f>
        <v>0</v>
      </c>
      <c r="M1327" s="4" t="s">
        <v>370</v>
      </c>
      <c r="N1327" s="4"/>
      <c r="O1327" s="4">
        <v>1</v>
      </c>
      <c r="P1327" s="4" t="s">
        <v>135</v>
      </c>
      <c r="Q1327" s="4" t="s">
        <v>44</v>
      </c>
      <c r="R1327" s="7">
        <v>2000000</v>
      </c>
      <c r="S1327" s="7">
        <v>0</v>
      </c>
      <c r="T1327" s="7">
        <f>R1327-S1327</f>
        <v>0</v>
      </c>
      <c r="U1327" s="7">
        <f>T1327*O1327</f>
        <v>0</v>
      </c>
    </row>
    <row r="1328" spans="1:21">
      <c r="A1328" s="4" t="s">
        <v>1952</v>
      </c>
      <c r="B1328" s="4" t="s">
        <v>39</v>
      </c>
      <c r="C1328" s="5">
        <v>45941.03582175926</v>
      </c>
      <c r="D1328" s="5">
        <v>45941</v>
      </c>
      <c r="E1328" s="6">
        <f>IF(AND(C1328&lt;&gt;"",D1328&lt;&gt;""),D1328-C1328,"")</f>
        <v>0</v>
      </c>
      <c r="F1328" s="4" t="s">
        <v>1364</v>
      </c>
      <c r="G1328" s="4" t="s">
        <v>1365</v>
      </c>
      <c r="H1328" s="4" t="s">
        <v>32</v>
      </c>
      <c r="I1328" s="4" t="s">
        <v>33</v>
      </c>
      <c r="J1328" s="4">
        <v>0</v>
      </c>
      <c r="K1328" s="4">
        <v>0</v>
      </c>
      <c r="L1328" s="4">
        <f>J1328+K1328</f>
        <v>0</v>
      </c>
      <c r="M1328" s="4" t="s">
        <v>370</v>
      </c>
      <c r="N1328" s="4"/>
      <c r="O1328" s="4">
        <v>1</v>
      </c>
      <c r="P1328" s="4" t="s">
        <v>135</v>
      </c>
      <c r="Q1328" s="4" t="s">
        <v>44</v>
      </c>
      <c r="R1328" s="7">
        <v>2000000</v>
      </c>
      <c r="S1328" s="7">
        <v>0</v>
      </c>
      <c r="T1328" s="7">
        <f>R1328-S1328</f>
        <v>0</v>
      </c>
      <c r="U1328" s="7">
        <f>T1328*O1328</f>
        <v>0</v>
      </c>
    </row>
    <row r="1329" spans="1:21">
      <c r="A1329" s="4" t="s">
        <v>1953</v>
      </c>
      <c r="B1329" s="4" t="s">
        <v>39</v>
      </c>
      <c r="C1329" s="5">
        <v>45941.03622685185</v>
      </c>
      <c r="D1329" s="5">
        <v>45941</v>
      </c>
      <c r="E1329" s="6">
        <f>IF(AND(C1329&lt;&gt;"",D1329&lt;&gt;""),D1329-C1329,"")</f>
        <v>0</v>
      </c>
      <c r="F1329" s="4" t="s">
        <v>1361</v>
      </c>
      <c r="G1329" s="4" t="s">
        <v>1362</v>
      </c>
      <c r="H1329" s="4" t="s">
        <v>32</v>
      </c>
      <c r="I1329" s="4" t="s">
        <v>33</v>
      </c>
      <c r="J1329" s="4">
        <v>0</v>
      </c>
      <c r="K1329" s="4">
        <v>0</v>
      </c>
      <c r="L1329" s="4">
        <f>J1329+K1329</f>
        <v>0</v>
      </c>
      <c r="M1329" s="4" t="s">
        <v>370</v>
      </c>
      <c r="N1329" s="4"/>
      <c r="O1329" s="4">
        <v>1</v>
      </c>
      <c r="P1329" s="4" t="s">
        <v>135</v>
      </c>
      <c r="Q1329" s="4" t="s">
        <v>44</v>
      </c>
      <c r="R1329" s="7">
        <v>2000000</v>
      </c>
      <c r="S1329" s="7">
        <v>0</v>
      </c>
      <c r="T1329" s="7">
        <f>R1329-S1329</f>
        <v>0</v>
      </c>
      <c r="U1329" s="7">
        <f>T1329*O1329</f>
        <v>0</v>
      </c>
    </row>
    <row r="1330" spans="1:21">
      <c r="A1330" s="4" t="s">
        <v>1954</v>
      </c>
      <c r="B1330" s="4" t="s">
        <v>39</v>
      </c>
      <c r="C1330" s="5">
        <v>45941.03668981481</v>
      </c>
      <c r="D1330" s="5">
        <v>45941</v>
      </c>
      <c r="E1330" s="6">
        <f>IF(AND(C1330&lt;&gt;"",D1330&lt;&gt;""),D1330-C1330,"")</f>
        <v>0</v>
      </c>
      <c r="F1330" s="4" t="s">
        <v>1767</v>
      </c>
      <c r="G1330" s="4" t="s">
        <v>1768</v>
      </c>
      <c r="H1330" s="4" t="s">
        <v>1769</v>
      </c>
      <c r="I1330" s="4" t="s">
        <v>56</v>
      </c>
      <c r="J1330" s="4">
        <v>0</v>
      </c>
      <c r="K1330" s="4">
        <v>0</v>
      </c>
      <c r="L1330" s="4">
        <f>J1330+K1330</f>
        <v>0</v>
      </c>
      <c r="M1330" s="4" t="s">
        <v>370</v>
      </c>
      <c r="N1330" s="4"/>
      <c r="O1330" s="4">
        <v>1</v>
      </c>
      <c r="P1330" s="4" t="s">
        <v>135</v>
      </c>
      <c r="Q1330" s="4" t="s">
        <v>44</v>
      </c>
      <c r="R1330" s="7">
        <v>2000000</v>
      </c>
      <c r="S1330" s="7">
        <v>0</v>
      </c>
      <c r="T1330" s="7">
        <f>R1330-S1330</f>
        <v>0</v>
      </c>
      <c r="U1330" s="7">
        <f>T1330*O1330</f>
        <v>0</v>
      </c>
    </row>
    <row r="1331" spans="1:21">
      <c r="A1331" s="4" t="s">
        <v>1955</v>
      </c>
      <c r="B1331" s="4" t="s">
        <v>48</v>
      </c>
      <c r="C1331" s="5">
        <v>45941.17802083334</v>
      </c>
      <c r="D1331" s="5">
        <v>45961</v>
      </c>
      <c r="E1331" s="6">
        <f>IF(AND(C1331&lt;&gt;"",D1331&lt;&gt;""),D1331-C1331,"")</f>
        <v>0</v>
      </c>
      <c r="F1331" s="4" t="s">
        <v>1399</v>
      </c>
      <c r="G1331" s="4" t="s">
        <v>202</v>
      </c>
      <c r="H1331" s="4" t="s">
        <v>32</v>
      </c>
      <c r="I1331" s="4" t="s">
        <v>33</v>
      </c>
      <c r="J1331" s="4">
        <v>3</v>
      </c>
      <c r="K1331" s="4">
        <v>0</v>
      </c>
      <c r="L1331" s="4">
        <f>J1331+K1331</f>
        <v>0</v>
      </c>
      <c r="M1331" s="4"/>
      <c r="N1331" s="4"/>
      <c r="O1331" s="4">
        <v>0</v>
      </c>
      <c r="P1331" s="4"/>
      <c r="Q1331" s="4"/>
      <c r="R1331" s="7">
        <v>0</v>
      </c>
      <c r="S1331" s="7">
        <v>0</v>
      </c>
      <c r="T1331" s="7">
        <f>R1331-S1331</f>
        <v>0</v>
      </c>
      <c r="U1331" s="7">
        <f>T1331*O1331</f>
        <v>0</v>
      </c>
    </row>
    <row r="1332" spans="1:21">
      <c r="A1332" s="4" t="s">
        <v>1956</v>
      </c>
      <c r="B1332" s="4" t="s">
        <v>39</v>
      </c>
      <c r="C1332" s="5">
        <v>45941.33987268519</v>
      </c>
      <c r="D1332" s="5">
        <v>45941</v>
      </c>
      <c r="E1332" s="6">
        <f>IF(AND(C1332&lt;&gt;"",D1332&lt;&gt;""),D1332-C1332,"")</f>
        <v>0</v>
      </c>
      <c r="F1332" s="4" t="s">
        <v>1358</v>
      </c>
      <c r="G1332" s="4" t="s">
        <v>1359</v>
      </c>
      <c r="H1332" s="4" t="s">
        <v>32</v>
      </c>
      <c r="I1332" s="4" t="s">
        <v>33</v>
      </c>
      <c r="J1332" s="4">
        <v>0</v>
      </c>
      <c r="K1332" s="4">
        <v>0</v>
      </c>
      <c r="L1332" s="4">
        <f>J1332+K1332</f>
        <v>0</v>
      </c>
      <c r="M1332" s="4" t="s">
        <v>1420</v>
      </c>
      <c r="N1332" s="4"/>
      <c r="O1332" s="4">
        <v>-1</v>
      </c>
      <c r="P1332" s="4" t="s">
        <v>135</v>
      </c>
      <c r="Q1332" s="4"/>
      <c r="R1332" s="7">
        <v>108000</v>
      </c>
      <c r="S1332" s="7">
        <v>0</v>
      </c>
      <c r="T1332" s="7">
        <f>R1332-S1332</f>
        <v>0</v>
      </c>
      <c r="U1332" s="7">
        <f>T1332*O1332</f>
        <v>0</v>
      </c>
    </row>
    <row r="1333" spans="1:21">
      <c r="A1333" s="4" t="s">
        <v>1956</v>
      </c>
      <c r="B1333" s="4" t="s">
        <v>39</v>
      </c>
      <c r="C1333" s="5">
        <v>45941.33987268519</v>
      </c>
      <c r="D1333" s="5">
        <v>45941</v>
      </c>
      <c r="E1333" s="6">
        <f>IF(AND(C1333&lt;&gt;"",D1333&lt;&gt;""),D1333-C1333,"")</f>
        <v>0</v>
      </c>
      <c r="F1333" s="4" t="s">
        <v>1358</v>
      </c>
      <c r="G1333" s="4" t="s">
        <v>1359</v>
      </c>
      <c r="H1333" s="4" t="s">
        <v>32</v>
      </c>
      <c r="I1333" s="4" t="s">
        <v>33</v>
      </c>
      <c r="J1333" s="4">
        <v>0</v>
      </c>
      <c r="K1333" s="4">
        <v>0</v>
      </c>
      <c r="L1333" s="4">
        <f>J1333+K1333</f>
        <v>0</v>
      </c>
      <c r="M1333" s="4" t="s">
        <v>370</v>
      </c>
      <c r="N1333" s="4"/>
      <c r="O1333" s="4">
        <v>1</v>
      </c>
      <c r="P1333" s="4" t="s">
        <v>135</v>
      </c>
      <c r="Q1333" s="4"/>
      <c r="R1333" s="7">
        <v>108000</v>
      </c>
      <c r="S1333" s="7">
        <v>0</v>
      </c>
      <c r="T1333" s="7">
        <f>R1333-S1333</f>
        <v>0</v>
      </c>
      <c r="U1333" s="7">
        <f>T1333*O1333</f>
        <v>0</v>
      </c>
    </row>
    <row r="1334" spans="1:21">
      <c r="A1334" s="4" t="s">
        <v>1957</v>
      </c>
      <c r="B1334" s="4" t="s">
        <v>48</v>
      </c>
      <c r="C1334" s="5">
        <v>45941.41936342593</v>
      </c>
      <c r="D1334" s="5">
        <v>45961</v>
      </c>
      <c r="E1334" s="6">
        <f>IF(AND(C1334&lt;&gt;"",D1334&lt;&gt;""),D1334-C1334,"")</f>
        <v>0</v>
      </c>
      <c r="F1334" s="4" t="s">
        <v>1399</v>
      </c>
      <c r="G1334" s="4" t="s">
        <v>202</v>
      </c>
      <c r="H1334" s="4" t="s">
        <v>32</v>
      </c>
      <c r="I1334" s="4" t="s">
        <v>33</v>
      </c>
      <c r="J1334" s="4">
        <v>1</v>
      </c>
      <c r="K1334" s="4">
        <v>0</v>
      </c>
      <c r="L1334" s="4">
        <f>J1334+K1334</f>
        <v>0</v>
      </c>
      <c r="M1334" s="4"/>
      <c r="N1334" s="4"/>
      <c r="O1334" s="4">
        <v>0</v>
      </c>
      <c r="P1334" s="4"/>
      <c r="Q1334" s="4"/>
      <c r="R1334" s="7">
        <v>0</v>
      </c>
      <c r="S1334" s="7">
        <v>0</v>
      </c>
      <c r="T1334" s="7">
        <f>R1334-S1334</f>
        <v>0</v>
      </c>
      <c r="U1334" s="7">
        <f>T1334*O1334</f>
        <v>0</v>
      </c>
    </row>
    <row r="1335" spans="1:21">
      <c r="A1335" s="4" t="s">
        <v>1958</v>
      </c>
      <c r="B1335" s="4" t="s">
        <v>48</v>
      </c>
      <c r="C1335" s="5">
        <v>45941.4957175926</v>
      </c>
      <c r="D1335" s="5">
        <v>45961</v>
      </c>
      <c r="E1335" s="6">
        <f>IF(AND(C1335&lt;&gt;"",D1335&lt;&gt;""),D1335-C1335,"")</f>
        <v>0</v>
      </c>
      <c r="F1335" s="4" t="s">
        <v>1399</v>
      </c>
      <c r="G1335" s="4" t="s">
        <v>202</v>
      </c>
      <c r="H1335" s="4" t="s">
        <v>32</v>
      </c>
      <c r="I1335" s="4" t="s">
        <v>33</v>
      </c>
      <c r="J1335" s="4">
        <v>2</v>
      </c>
      <c r="K1335" s="4">
        <v>0</v>
      </c>
      <c r="L1335" s="4">
        <f>J1335+K1335</f>
        <v>0</v>
      </c>
      <c r="M1335" s="4"/>
      <c r="N1335" s="4"/>
      <c r="O1335" s="4">
        <v>0</v>
      </c>
      <c r="P1335" s="4"/>
      <c r="Q1335" s="4"/>
      <c r="R1335" s="7">
        <v>0</v>
      </c>
      <c r="S1335" s="7">
        <v>0</v>
      </c>
      <c r="T1335" s="7">
        <f>R1335-S1335</f>
        <v>0</v>
      </c>
      <c r="U1335" s="7">
        <f>T1335*O1335</f>
        <v>0</v>
      </c>
    </row>
    <row r="1336" spans="1:21">
      <c r="A1336" s="4" t="s">
        <v>1959</v>
      </c>
      <c r="B1336" s="4" t="s">
        <v>48</v>
      </c>
      <c r="C1336" s="5">
        <v>45941.49953703704</v>
      </c>
      <c r="D1336" s="5">
        <v>45961</v>
      </c>
      <c r="E1336" s="6">
        <f>IF(AND(C1336&lt;&gt;"",D1336&lt;&gt;""),D1336-C1336,"")</f>
        <v>0</v>
      </c>
      <c r="F1336" s="4" t="s">
        <v>1960</v>
      </c>
      <c r="G1336" s="4" t="s">
        <v>1961</v>
      </c>
      <c r="H1336" s="4" t="s">
        <v>32</v>
      </c>
      <c r="I1336" s="4" t="s">
        <v>33</v>
      </c>
      <c r="J1336" s="4">
        <v>2</v>
      </c>
      <c r="K1336" s="4">
        <v>0</v>
      </c>
      <c r="L1336" s="4">
        <f>J1336+K1336</f>
        <v>0</v>
      </c>
      <c r="M1336" s="4"/>
      <c r="N1336" s="4"/>
      <c r="O1336" s="4">
        <v>0</v>
      </c>
      <c r="P1336" s="4"/>
      <c r="Q1336" s="4"/>
      <c r="R1336" s="7">
        <v>0</v>
      </c>
      <c r="S1336" s="7">
        <v>0</v>
      </c>
      <c r="T1336" s="7">
        <f>R1336-S1336</f>
        <v>0</v>
      </c>
      <c r="U1336" s="7">
        <f>T1336*O1336</f>
        <v>0</v>
      </c>
    </row>
    <row r="1337" spans="1:21">
      <c r="A1337" s="4" t="s">
        <v>1962</v>
      </c>
      <c r="B1337" s="4" t="s">
        <v>48</v>
      </c>
      <c r="C1337" s="5">
        <v>45941.5745949074</v>
      </c>
      <c r="D1337" s="5">
        <v>45961</v>
      </c>
      <c r="E1337" s="6">
        <f>IF(AND(C1337&lt;&gt;"",D1337&lt;&gt;""),D1337-C1337,"")</f>
        <v>0</v>
      </c>
      <c r="F1337" s="4" t="s">
        <v>1399</v>
      </c>
      <c r="G1337" s="4" t="s">
        <v>202</v>
      </c>
      <c r="H1337" s="4" t="s">
        <v>32</v>
      </c>
      <c r="I1337" s="4" t="s">
        <v>33</v>
      </c>
      <c r="J1337" s="4">
        <v>1</v>
      </c>
      <c r="K1337" s="4">
        <v>1</v>
      </c>
      <c r="L1337" s="4">
        <f>J1337+K1337</f>
        <v>0</v>
      </c>
      <c r="M1337" s="4"/>
      <c r="N1337" s="4"/>
      <c r="O1337" s="4">
        <v>0</v>
      </c>
      <c r="P1337" s="4"/>
      <c r="Q1337" s="4"/>
      <c r="R1337" s="7">
        <v>0</v>
      </c>
      <c r="S1337" s="7">
        <v>0</v>
      </c>
      <c r="T1337" s="7">
        <f>R1337-S1337</f>
        <v>0</v>
      </c>
      <c r="U1337" s="7">
        <f>T1337*O1337</f>
        <v>0</v>
      </c>
    </row>
    <row r="1338" spans="1:21">
      <c r="A1338" s="4" t="s">
        <v>1963</v>
      </c>
      <c r="B1338" s="4"/>
      <c r="C1338" s="5">
        <v>45942</v>
      </c>
      <c r="D1338" s="5">
        <v>45942</v>
      </c>
      <c r="E1338" s="6">
        <f>IF(AND(C1338&lt;&gt;"",D1338&lt;&gt;""),D1338-C1338,"")</f>
        <v>0</v>
      </c>
      <c r="F1338" s="4"/>
      <c r="G1338" s="4"/>
      <c r="H1338" s="4"/>
      <c r="I1338" s="4" t="s">
        <v>56</v>
      </c>
      <c r="J1338" s="4">
        <v>0</v>
      </c>
      <c r="K1338" s="4">
        <v>0</v>
      </c>
      <c r="L1338" s="4">
        <f>J1338+K1338</f>
        <v>0</v>
      </c>
      <c r="M1338" s="4"/>
      <c r="N1338" s="4"/>
      <c r="O1338" s="4">
        <v>0</v>
      </c>
      <c r="P1338" s="4" t="s">
        <v>703</v>
      </c>
      <c r="Q1338" s="4"/>
      <c r="R1338" s="7">
        <v>0</v>
      </c>
      <c r="S1338" s="7">
        <v>0</v>
      </c>
      <c r="T1338" s="7">
        <f>R1338-S1338</f>
        <v>0</v>
      </c>
      <c r="U1338" s="7">
        <f>T1338*O1338</f>
        <v>0</v>
      </c>
    </row>
    <row r="1339" spans="1:21">
      <c r="A1339" s="4" t="s">
        <v>1964</v>
      </c>
      <c r="B1339" s="4"/>
      <c r="C1339" s="5">
        <v>45942</v>
      </c>
      <c r="D1339" s="5">
        <v>45942</v>
      </c>
      <c r="E1339" s="6">
        <f>IF(AND(C1339&lt;&gt;"",D1339&lt;&gt;""),D1339-C1339,"")</f>
        <v>0</v>
      </c>
      <c r="F1339" s="4"/>
      <c r="G1339" s="4"/>
      <c r="H1339" s="4"/>
      <c r="I1339" s="4" t="s">
        <v>56</v>
      </c>
      <c r="J1339" s="4">
        <v>0</v>
      </c>
      <c r="K1339" s="4">
        <v>0</v>
      </c>
      <c r="L1339" s="4">
        <f>J1339+K1339</f>
        <v>0</v>
      </c>
      <c r="M1339" s="4"/>
      <c r="N1339" s="4"/>
      <c r="O1339" s="4">
        <v>0</v>
      </c>
      <c r="P1339" s="4" t="s">
        <v>703</v>
      </c>
      <c r="Q1339" s="4"/>
      <c r="R1339" s="7">
        <v>0</v>
      </c>
      <c r="S1339" s="7">
        <v>0</v>
      </c>
      <c r="T1339" s="7">
        <f>R1339-S1339</f>
        <v>0</v>
      </c>
      <c r="U1339" s="7">
        <f>T1339*O1339</f>
        <v>0</v>
      </c>
    </row>
    <row r="1340" spans="1:21">
      <c r="A1340" s="4" t="s">
        <v>1965</v>
      </c>
      <c r="B1340" s="4"/>
      <c r="C1340" s="5">
        <v>45942</v>
      </c>
      <c r="D1340" s="5">
        <v>45942</v>
      </c>
      <c r="E1340" s="6">
        <f>IF(AND(C1340&lt;&gt;"",D1340&lt;&gt;""),D1340-C1340,"")</f>
        <v>0</v>
      </c>
      <c r="F1340" s="4"/>
      <c r="G1340" s="4"/>
      <c r="H1340" s="4"/>
      <c r="I1340" s="4" t="s">
        <v>56</v>
      </c>
      <c r="J1340" s="4">
        <v>0</v>
      </c>
      <c r="K1340" s="4">
        <v>0</v>
      </c>
      <c r="L1340" s="4">
        <f>J1340+K1340</f>
        <v>0</v>
      </c>
      <c r="M1340" s="4"/>
      <c r="N1340" s="4"/>
      <c r="O1340" s="4">
        <v>0</v>
      </c>
      <c r="P1340" s="4" t="s">
        <v>703</v>
      </c>
      <c r="Q1340" s="4"/>
      <c r="R1340" s="7">
        <v>0</v>
      </c>
      <c r="S1340" s="7">
        <v>0</v>
      </c>
      <c r="T1340" s="7">
        <f>R1340-S1340</f>
        <v>0</v>
      </c>
      <c r="U1340" s="7">
        <f>T1340*O1340</f>
        <v>0</v>
      </c>
    </row>
    <row r="1341" spans="1:21">
      <c r="A1341" s="4" t="s">
        <v>1966</v>
      </c>
      <c r="B1341" s="4"/>
      <c r="C1341" s="5">
        <v>45942</v>
      </c>
      <c r="D1341" s="5">
        <v>45942</v>
      </c>
      <c r="E1341" s="6">
        <f>IF(AND(C1341&lt;&gt;"",D1341&lt;&gt;""),D1341-C1341,"")</f>
        <v>0</v>
      </c>
      <c r="F1341" s="4"/>
      <c r="G1341" s="4"/>
      <c r="H1341" s="4"/>
      <c r="I1341" s="4" t="s">
        <v>56</v>
      </c>
      <c r="J1341" s="4">
        <v>0</v>
      </c>
      <c r="K1341" s="4">
        <v>0</v>
      </c>
      <c r="L1341" s="4">
        <f>J1341+K1341</f>
        <v>0</v>
      </c>
      <c r="M1341" s="4"/>
      <c r="N1341" s="4"/>
      <c r="O1341" s="4">
        <v>0</v>
      </c>
      <c r="P1341" s="4" t="s">
        <v>703</v>
      </c>
      <c r="Q1341" s="4"/>
      <c r="R1341" s="7">
        <v>0</v>
      </c>
      <c r="S1341" s="7">
        <v>0</v>
      </c>
      <c r="T1341" s="7">
        <f>R1341-S1341</f>
        <v>0</v>
      </c>
      <c r="U1341" s="7">
        <f>T1341*O1341</f>
        <v>0</v>
      </c>
    </row>
    <row r="1342" spans="1:21">
      <c r="A1342" s="4" t="s">
        <v>1967</v>
      </c>
      <c r="B1342" s="4"/>
      <c r="C1342" s="5">
        <v>45942</v>
      </c>
      <c r="D1342" s="5">
        <v>45942</v>
      </c>
      <c r="E1342" s="6">
        <f>IF(AND(C1342&lt;&gt;"",D1342&lt;&gt;""),D1342-C1342,"")</f>
        <v>0</v>
      </c>
      <c r="F1342" s="4"/>
      <c r="G1342" s="4"/>
      <c r="H1342" s="4"/>
      <c r="I1342" s="4" t="s">
        <v>56</v>
      </c>
      <c r="J1342" s="4">
        <v>0</v>
      </c>
      <c r="K1342" s="4">
        <v>0</v>
      </c>
      <c r="L1342" s="4">
        <f>J1342+K1342</f>
        <v>0</v>
      </c>
      <c r="M1342" s="4"/>
      <c r="N1342" s="4"/>
      <c r="O1342" s="4">
        <v>0</v>
      </c>
      <c r="P1342" s="4" t="s">
        <v>703</v>
      </c>
      <c r="Q1342" s="4"/>
      <c r="R1342" s="7">
        <v>0</v>
      </c>
      <c r="S1342" s="7">
        <v>0</v>
      </c>
      <c r="T1342" s="7">
        <f>R1342-S1342</f>
        <v>0</v>
      </c>
      <c r="U1342" s="7">
        <f>T1342*O1342</f>
        <v>0</v>
      </c>
    </row>
    <row r="1343" spans="1:21">
      <c r="A1343" s="4" t="s">
        <v>1967</v>
      </c>
      <c r="B1343" s="4"/>
      <c r="C1343" s="5">
        <v>45942</v>
      </c>
      <c r="D1343" s="5">
        <v>45942</v>
      </c>
      <c r="E1343" s="6">
        <f>IF(AND(C1343&lt;&gt;"",D1343&lt;&gt;""),D1343-C1343,"")</f>
        <v>0</v>
      </c>
      <c r="F1343" s="4"/>
      <c r="G1343" s="4"/>
      <c r="H1343" s="4"/>
      <c r="I1343" s="4" t="s">
        <v>56</v>
      </c>
      <c r="J1343" s="4">
        <v>0</v>
      </c>
      <c r="K1343" s="4">
        <v>0</v>
      </c>
      <c r="L1343" s="4">
        <f>J1343+K1343</f>
        <v>0</v>
      </c>
      <c r="M1343" s="4"/>
      <c r="N1343" s="4"/>
      <c r="O1343" s="4">
        <v>0</v>
      </c>
      <c r="P1343" s="4" t="s">
        <v>703</v>
      </c>
      <c r="Q1343" s="4"/>
      <c r="R1343" s="7">
        <v>0</v>
      </c>
      <c r="S1343" s="7">
        <v>0</v>
      </c>
      <c r="T1343" s="7">
        <f>R1343-S1343</f>
        <v>0</v>
      </c>
      <c r="U1343" s="7">
        <f>T1343*O1343</f>
        <v>0</v>
      </c>
    </row>
    <row r="1344" spans="1:21">
      <c r="A1344" s="4" t="s">
        <v>1967</v>
      </c>
      <c r="B1344" s="4"/>
      <c r="C1344" s="5">
        <v>45942</v>
      </c>
      <c r="D1344" s="5">
        <v>45942</v>
      </c>
      <c r="E1344" s="6">
        <f>IF(AND(C1344&lt;&gt;"",D1344&lt;&gt;""),D1344-C1344,"")</f>
        <v>0</v>
      </c>
      <c r="F1344" s="4"/>
      <c r="G1344" s="4"/>
      <c r="H1344" s="4"/>
      <c r="I1344" s="4" t="s">
        <v>56</v>
      </c>
      <c r="J1344" s="4">
        <v>0</v>
      </c>
      <c r="K1344" s="4">
        <v>0</v>
      </c>
      <c r="L1344" s="4">
        <f>J1344+K1344</f>
        <v>0</v>
      </c>
      <c r="M1344" s="4"/>
      <c r="N1344" s="4"/>
      <c r="O1344" s="4">
        <v>0</v>
      </c>
      <c r="P1344" s="4" t="s">
        <v>703</v>
      </c>
      <c r="Q1344" s="4"/>
      <c r="R1344" s="7">
        <v>0</v>
      </c>
      <c r="S1344" s="7">
        <v>0</v>
      </c>
      <c r="T1344" s="7">
        <f>R1344-S1344</f>
        <v>0</v>
      </c>
      <c r="U1344" s="7">
        <f>T1344*O1344</f>
        <v>0</v>
      </c>
    </row>
    <row r="1345" spans="1:21">
      <c r="A1345" s="4" t="s">
        <v>1968</v>
      </c>
      <c r="B1345" s="4"/>
      <c r="C1345" s="5">
        <v>45942</v>
      </c>
      <c r="D1345" s="5">
        <v>45942</v>
      </c>
      <c r="E1345" s="6">
        <f>IF(AND(C1345&lt;&gt;"",D1345&lt;&gt;""),D1345-C1345,"")</f>
        <v>0</v>
      </c>
      <c r="F1345" s="4"/>
      <c r="G1345" s="4"/>
      <c r="H1345" s="4"/>
      <c r="I1345" s="4" t="s">
        <v>56</v>
      </c>
      <c r="J1345" s="4">
        <v>0</v>
      </c>
      <c r="K1345" s="4">
        <v>0</v>
      </c>
      <c r="L1345" s="4">
        <f>J1345+K1345</f>
        <v>0</v>
      </c>
      <c r="M1345" s="4"/>
      <c r="N1345" s="4"/>
      <c r="O1345" s="4">
        <v>0</v>
      </c>
      <c r="P1345" s="4" t="s">
        <v>703</v>
      </c>
      <c r="Q1345" s="4"/>
      <c r="R1345" s="7">
        <v>0</v>
      </c>
      <c r="S1345" s="7">
        <v>0</v>
      </c>
      <c r="T1345" s="7">
        <f>R1345-S1345</f>
        <v>0</v>
      </c>
      <c r="U1345" s="7">
        <f>T1345*O1345</f>
        <v>0</v>
      </c>
    </row>
    <row r="1346" spans="1:21">
      <c r="A1346" s="4" t="s">
        <v>1968</v>
      </c>
      <c r="B1346" s="4"/>
      <c r="C1346" s="5">
        <v>45942</v>
      </c>
      <c r="D1346" s="5">
        <v>45942</v>
      </c>
      <c r="E1346" s="6">
        <f>IF(AND(C1346&lt;&gt;"",D1346&lt;&gt;""),D1346-C1346,"")</f>
        <v>0</v>
      </c>
      <c r="F1346" s="4"/>
      <c r="G1346" s="4"/>
      <c r="H1346" s="4"/>
      <c r="I1346" s="4" t="s">
        <v>56</v>
      </c>
      <c r="J1346" s="4">
        <v>0</v>
      </c>
      <c r="K1346" s="4">
        <v>0</v>
      </c>
      <c r="L1346" s="4">
        <f>J1346+K1346</f>
        <v>0</v>
      </c>
      <c r="M1346" s="4"/>
      <c r="N1346" s="4"/>
      <c r="O1346" s="4">
        <v>0</v>
      </c>
      <c r="P1346" s="4" t="s">
        <v>703</v>
      </c>
      <c r="Q1346" s="4"/>
      <c r="R1346" s="7">
        <v>0</v>
      </c>
      <c r="S1346" s="7">
        <v>0</v>
      </c>
      <c r="T1346" s="7">
        <f>R1346-S1346</f>
        <v>0</v>
      </c>
      <c r="U1346" s="7">
        <f>T1346*O1346</f>
        <v>0</v>
      </c>
    </row>
    <row r="1347" spans="1:21">
      <c r="A1347" s="4" t="s">
        <v>1968</v>
      </c>
      <c r="B1347" s="4"/>
      <c r="C1347" s="5">
        <v>45942</v>
      </c>
      <c r="D1347" s="5">
        <v>45942</v>
      </c>
      <c r="E1347" s="6">
        <f>IF(AND(C1347&lt;&gt;"",D1347&lt;&gt;""),D1347-C1347,"")</f>
        <v>0</v>
      </c>
      <c r="F1347" s="4"/>
      <c r="G1347" s="4"/>
      <c r="H1347" s="4"/>
      <c r="I1347" s="4" t="s">
        <v>56</v>
      </c>
      <c r="J1347" s="4">
        <v>0</v>
      </c>
      <c r="K1347" s="4">
        <v>0</v>
      </c>
      <c r="L1347" s="4">
        <f>J1347+K1347</f>
        <v>0</v>
      </c>
      <c r="M1347" s="4"/>
      <c r="N1347" s="4"/>
      <c r="O1347" s="4">
        <v>0</v>
      </c>
      <c r="P1347" s="4" t="s">
        <v>703</v>
      </c>
      <c r="Q1347" s="4"/>
      <c r="R1347" s="7">
        <v>0</v>
      </c>
      <c r="S1347" s="7">
        <v>0</v>
      </c>
      <c r="T1347" s="7">
        <f>R1347-S1347</f>
        <v>0</v>
      </c>
      <c r="U1347" s="7">
        <f>T1347*O1347</f>
        <v>0</v>
      </c>
    </row>
    <row r="1348" spans="1:21">
      <c r="A1348" s="4" t="s">
        <v>1969</v>
      </c>
      <c r="B1348" s="4"/>
      <c r="C1348" s="5">
        <v>45942</v>
      </c>
      <c r="D1348" s="5">
        <v>45942</v>
      </c>
      <c r="E1348" s="6">
        <f>IF(AND(C1348&lt;&gt;"",D1348&lt;&gt;""),D1348-C1348,"")</f>
        <v>0</v>
      </c>
      <c r="F1348" s="4"/>
      <c r="G1348" s="4"/>
      <c r="H1348" s="4"/>
      <c r="I1348" s="4" t="s">
        <v>56</v>
      </c>
      <c r="J1348" s="4">
        <v>0</v>
      </c>
      <c r="K1348" s="4">
        <v>0</v>
      </c>
      <c r="L1348" s="4">
        <f>J1348+K1348</f>
        <v>0</v>
      </c>
      <c r="M1348" s="4"/>
      <c r="N1348" s="4"/>
      <c r="O1348" s="4">
        <v>0</v>
      </c>
      <c r="P1348" s="4" t="s">
        <v>703</v>
      </c>
      <c r="Q1348" s="4"/>
      <c r="R1348" s="7">
        <v>0</v>
      </c>
      <c r="S1348" s="7">
        <v>0</v>
      </c>
      <c r="T1348" s="7">
        <f>R1348-S1348</f>
        <v>0</v>
      </c>
      <c r="U1348" s="7">
        <f>T1348*O1348</f>
        <v>0</v>
      </c>
    </row>
    <row r="1349" spans="1:21">
      <c r="A1349" s="4" t="s">
        <v>1969</v>
      </c>
      <c r="B1349" s="4"/>
      <c r="C1349" s="5">
        <v>45942</v>
      </c>
      <c r="D1349" s="5">
        <v>45942</v>
      </c>
      <c r="E1349" s="6">
        <f>IF(AND(C1349&lt;&gt;"",D1349&lt;&gt;""),D1349-C1349,"")</f>
        <v>0</v>
      </c>
      <c r="F1349" s="4"/>
      <c r="G1349" s="4"/>
      <c r="H1349" s="4"/>
      <c r="I1349" s="4" t="s">
        <v>56</v>
      </c>
      <c r="J1349" s="4">
        <v>0</v>
      </c>
      <c r="K1349" s="4">
        <v>0</v>
      </c>
      <c r="L1349" s="4">
        <f>J1349+K1349</f>
        <v>0</v>
      </c>
      <c r="M1349" s="4"/>
      <c r="N1349" s="4"/>
      <c r="O1349" s="4">
        <v>0</v>
      </c>
      <c r="P1349" s="4" t="s">
        <v>703</v>
      </c>
      <c r="Q1349" s="4"/>
      <c r="R1349" s="7">
        <v>0</v>
      </c>
      <c r="S1349" s="7">
        <v>0</v>
      </c>
      <c r="T1349" s="7">
        <f>R1349-S1349</f>
        <v>0</v>
      </c>
      <c r="U1349" s="7">
        <f>T1349*O1349</f>
        <v>0</v>
      </c>
    </row>
    <row r="1350" spans="1:21">
      <c r="A1350" s="4" t="s">
        <v>1969</v>
      </c>
      <c r="B1350" s="4"/>
      <c r="C1350" s="5">
        <v>45942</v>
      </c>
      <c r="D1350" s="5">
        <v>45942</v>
      </c>
      <c r="E1350" s="6">
        <f>IF(AND(C1350&lt;&gt;"",D1350&lt;&gt;""),D1350-C1350,"")</f>
        <v>0</v>
      </c>
      <c r="F1350" s="4"/>
      <c r="G1350" s="4"/>
      <c r="H1350" s="4"/>
      <c r="I1350" s="4" t="s">
        <v>56</v>
      </c>
      <c r="J1350" s="4">
        <v>0</v>
      </c>
      <c r="K1350" s="4">
        <v>0</v>
      </c>
      <c r="L1350" s="4">
        <f>J1350+K1350</f>
        <v>0</v>
      </c>
      <c r="M1350" s="4"/>
      <c r="N1350" s="4"/>
      <c r="O1350" s="4">
        <v>0</v>
      </c>
      <c r="P1350" s="4" t="s">
        <v>703</v>
      </c>
      <c r="Q1350" s="4"/>
      <c r="R1350" s="7">
        <v>0</v>
      </c>
      <c r="S1350" s="7">
        <v>0</v>
      </c>
      <c r="T1350" s="7">
        <f>R1350-S1350</f>
        <v>0</v>
      </c>
      <c r="U1350" s="7">
        <f>T1350*O1350</f>
        <v>0</v>
      </c>
    </row>
    <row r="1351" spans="1:21">
      <c r="A1351" s="4" t="s">
        <v>1969</v>
      </c>
      <c r="B1351" s="4"/>
      <c r="C1351" s="5">
        <v>45942</v>
      </c>
      <c r="D1351" s="5">
        <v>45942</v>
      </c>
      <c r="E1351" s="6">
        <f>IF(AND(C1351&lt;&gt;"",D1351&lt;&gt;""),D1351-C1351,"")</f>
        <v>0</v>
      </c>
      <c r="F1351" s="4"/>
      <c r="G1351" s="4"/>
      <c r="H1351" s="4"/>
      <c r="I1351" s="4" t="s">
        <v>56</v>
      </c>
      <c r="J1351" s="4">
        <v>0</v>
      </c>
      <c r="K1351" s="4">
        <v>0</v>
      </c>
      <c r="L1351" s="4">
        <f>J1351+K1351</f>
        <v>0</v>
      </c>
      <c r="M1351" s="4"/>
      <c r="N1351" s="4"/>
      <c r="O1351" s="4">
        <v>0</v>
      </c>
      <c r="P1351" s="4" t="s">
        <v>703</v>
      </c>
      <c r="Q1351" s="4"/>
      <c r="R1351" s="7">
        <v>0</v>
      </c>
      <c r="S1351" s="7">
        <v>0</v>
      </c>
      <c r="T1351" s="7">
        <f>R1351-S1351</f>
        <v>0</v>
      </c>
      <c r="U1351" s="7">
        <f>T1351*O1351</f>
        <v>0</v>
      </c>
    </row>
    <row r="1352" spans="1:21">
      <c r="A1352" s="4" t="s">
        <v>1970</v>
      </c>
      <c r="B1352" s="4"/>
      <c r="C1352" s="5">
        <v>45942</v>
      </c>
      <c r="D1352" s="5">
        <v>45942</v>
      </c>
      <c r="E1352" s="6">
        <f>IF(AND(C1352&lt;&gt;"",D1352&lt;&gt;""),D1352-C1352,"")</f>
        <v>0</v>
      </c>
      <c r="F1352" s="4"/>
      <c r="G1352" s="4"/>
      <c r="H1352" s="4"/>
      <c r="I1352" s="4" t="s">
        <v>56</v>
      </c>
      <c r="J1352" s="4">
        <v>0</v>
      </c>
      <c r="K1352" s="4">
        <v>0</v>
      </c>
      <c r="L1352" s="4">
        <f>J1352+K1352</f>
        <v>0</v>
      </c>
      <c r="M1352" s="4"/>
      <c r="N1352" s="4"/>
      <c r="O1352" s="4">
        <v>0</v>
      </c>
      <c r="P1352" s="4" t="s">
        <v>703</v>
      </c>
      <c r="Q1352" s="4"/>
      <c r="R1352" s="7">
        <v>0</v>
      </c>
      <c r="S1352" s="7">
        <v>0</v>
      </c>
      <c r="T1352" s="7">
        <f>R1352-S1352</f>
        <v>0</v>
      </c>
      <c r="U1352" s="7">
        <f>T1352*O1352</f>
        <v>0</v>
      </c>
    </row>
    <row r="1353" spans="1:21">
      <c r="A1353" s="4" t="s">
        <v>1970</v>
      </c>
      <c r="B1353" s="4"/>
      <c r="C1353" s="5">
        <v>45942</v>
      </c>
      <c r="D1353" s="5">
        <v>45942</v>
      </c>
      <c r="E1353" s="6">
        <f>IF(AND(C1353&lt;&gt;"",D1353&lt;&gt;""),D1353-C1353,"")</f>
        <v>0</v>
      </c>
      <c r="F1353" s="4"/>
      <c r="G1353" s="4"/>
      <c r="H1353" s="4"/>
      <c r="I1353" s="4" t="s">
        <v>56</v>
      </c>
      <c r="J1353" s="4">
        <v>0</v>
      </c>
      <c r="K1353" s="4">
        <v>0</v>
      </c>
      <c r="L1353" s="4">
        <f>J1353+K1353</f>
        <v>0</v>
      </c>
      <c r="M1353" s="4"/>
      <c r="N1353" s="4"/>
      <c r="O1353" s="4">
        <v>0</v>
      </c>
      <c r="P1353" s="4" t="s">
        <v>703</v>
      </c>
      <c r="Q1353" s="4"/>
      <c r="R1353" s="7">
        <v>0</v>
      </c>
      <c r="S1353" s="7">
        <v>0</v>
      </c>
      <c r="T1353" s="7">
        <f>R1353-S1353</f>
        <v>0</v>
      </c>
      <c r="U1353" s="7">
        <f>T1353*O1353</f>
        <v>0</v>
      </c>
    </row>
    <row r="1354" spans="1:21">
      <c r="A1354" s="4" t="s">
        <v>1970</v>
      </c>
      <c r="B1354" s="4"/>
      <c r="C1354" s="5">
        <v>45942</v>
      </c>
      <c r="D1354" s="5">
        <v>45942</v>
      </c>
      <c r="E1354" s="6">
        <f>IF(AND(C1354&lt;&gt;"",D1354&lt;&gt;""),D1354-C1354,"")</f>
        <v>0</v>
      </c>
      <c r="F1354" s="4"/>
      <c r="G1354" s="4"/>
      <c r="H1354" s="4"/>
      <c r="I1354" s="4" t="s">
        <v>56</v>
      </c>
      <c r="J1354" s="4">
        <v>0</v>
      </c>
      <c r="K1354" s="4">
        <v>0</v>
      </c>
      <c r="L1354" s="4">
        <f>J1354+K1354</f>
        <v>0</v>
      </c>
      <c r="M1354" s="4"/>
      <c r="N1354" s="4"/>
      <c r="O1354" s="4">
        <v>0</v>
      </c>
      <c r="P1354" s="4" t="s">
        <v>703</v>
      </c>
      <c r="Q1354" s="4"/>
      <c r="R1354" s="7">
        <v>0</v>
      </c>
      <c r="S1354" s="7">
        <v>0</v>
      </c>
      <c r="T1354" s="7">
        <f>R1354-S1354</f>
        <v>0</v>
      </c>
      <c r="U1354" s="7">
        <f>T1354*O1354</f>
        <v>0</v>
      </c>
    </row>
    <row r="1355" spans="1:21">
      <c r="A1355" s="4" t="s">
        <v>1971</v>
      </c>
      <c r="B1355" s="4"/>
      <c r="C1355" s="5">
        <v>45942</v>
      </c>
      <c r="D1355" s="5">
        <v>45942</v>
      </c>
      <c r="E1355" s="6">
        <f>IF(AND(C1355&lt;&gt;"",D1355&lt;&gt;""),D1355-C1355,"")</f>
        <v>0</v>
      </c>
      <c r="F1355" s="4"/>
      <c r="G1355" s="4"/>
      <c r="H1355" s="4"/>
      <c r="I1355" s="4" t="s">
        <v>56</v>
      </c>
      <c r="J1355" s="4">
        <v>0</v>
      </c>
      <c r="K1355" s="4">
        <v>0</v>
      </c>
      <c r="L1355" s="4">
        <f>J1355+K1355</f>
        <v>0</v>
      </c>
      <c r="M1355" s="4"/>
      <c r="N1355" s="4"/>
      <c r="O1355" s="4">
        <v>0</v>
      </c>
      <c r="P1355" s="4" t="s">
        <v>703</v>
      </c>
      <c r="Q1355" s="4"/>
      <c r="R1355" s="7">
        <v>0</v>
      </c>
      <c r="S1355" s="7">
        <v>0</v>
      </c>
      <c r="T1355" s="7">
        <f>R1355-S1355</f>
        <v>0</v>
      </c>
      <c r="U1355" s="7">
        <f>T1355*O1355</f>
        <v>0</v>
      </c>
    </row>
    <row r="1356" spans="1:21">
      <c r="A1356" s="4" t="s">
        <v>1971</v>
      </c>
      <c r="B1356" s="4"/>
      <c r="C1356" s="5">
        <v>45942</v>
      </c>
      <c r="D1356" s="5">
        <v>45942</v>
      </c>
      <c r="E1356" s="6">
        <f>IF(AND(C1356&lt;&gt;"",D1356&lt;&gt;""),D1356-C1356,"")</f>
        <v>0</v>
      </c>
      <c r="F1356" s="4"/>
      <c r="G1356" s="4"/>
      <c r="H1356" s="4"/>
      <c r="I1356" s="4" t="s">
        <v>56</v>
      </c>
      <c r="J1356" s="4">
        <v>0</v>
      </c>
      <c r="K1356" s="4">
        <v>0</v>
      </c>
      <c r="L1356" s="4">
        <f>J1356+K1356</f>
        <v>0</v>
      </c>
      <c r="M1356" s="4"/>
      <c r="N1356" s="4"/>
      <c r="O1356" s="4">
        <v>0</v>
      </c>
      <c r="P1356" s="4" t="s">
        <v>703</v>
      </c>
      <c r="Q1356" s="4"/>
      <c r="R1356" s="7">
        <v>0</v>
      </c>
      <c r="S1356" s="7">
        <v>0</v>
      </c>
      <c r="T1356" s="7">
        <f>R1356-S1356</f>
        <v>0</v>
      </c>
      <c r="U1356" s="7">
        <f>T1356*O1356</f>
        <v>0</v>
      </c>
    </row>
    <row r="1357" spans="1:21">
      <c r="A1357" s="4" t="s">
        <v>1972</v>
      </c>
      <c r="B1357" s="4"/>
      <c r="C1357" s="5">
        <v>45942</v>
      </c>
      <c r="D1357" s="5">
        <v>45942</v>
      </c>
      <c r="E1357" s="6">
        <f>IF(AND(C1357&lt;&gt;"",D1357&lt;&gt;""),D1357-C1357,"")</f>
        <v>0</v>
      </c>
      <c r="F1357" s="4"/>
      <c r="G1357" s="4"/>
      <c r="H1357" s="4"/>
      <c r="I1357" s="4" t="s">
        <v>56</v>
      </c>
      <c r="J1357" s="4">
        <v>0</v>
      </c>
      <c r="K1357" s="4">
        <v>0</v>
      </c>
      <c r="L1357" s="4">
        <f>J1357+K1357</f>
        <v>0</v>
      </c>
      <c r="M1357" s="4"/>
      <c r="N1357" s="4"/>
      <c r="O1357" s="4">
        <v>0</v>
      </c>
      <c r="P1357" s="4" t="s">
        <v>703</v>
      </c>
      <c r="Q1357" s="4"/>
      <c r="R1357" s="7">
        <v>0</v>
      </c>
      <c r="S1357" s="7">
        <v>0</v>
      </c>
      <c r="T1357" s="7">
        <f>R1357-S1357</f>
        <v>0</v>
      </c>
      <c r="U1357" s="7">
        <f>T1357*O1357</f>
        <v>0</v>
      </c>
    </row>
    <row r="1358" spans="1:21">
      <c r="A1358" s="4" t="s">
        <v>1973</v>
      </c>
      <c r="B1358" s="4"/>
      <c r="C1358" s="5">
        <v>45942</v>
      </c>
      <c r="D1358" s="5">
        <v>45942</v>
      </c>
      <c r="E1358" s="6">
        <f>IF(AND(C1358&lt;&gt;"",D1358&lt;&gt;""),D1358-C1358,"")</f>
        <v>0</v>
      </c>
      <c r="F1358" s="4"/>
      <c r="G1358" s="4"/>
      <c r="H1358" s="4"/>
      <c r="I1358" s="4" t="s">
        <v>56</v>
      </c>
      <c r="J1358" s="4">
        <v>0</v>
      </c>
      <c r="K1358" s="4">
        <v>0</v>
      </c>
      <c r="L1358" s="4">
        <f>J1358+K1358</f>
        <v>0</v>
      </c>
      <c r="M1358" s="4"/>
      <c r="N1358" s="4"/>
      <c r="O1358" s="4">
        <v>0</v>
      </c>
      <c r="P1358" s="4" t="s">
        <v>703</v>
      </c>
      <c r="Q1358" s="4"/>
      <c r="R1358" s="7">
        <v>0</v>
      </c>
      <c r="S1358" s="7">
        <v>0</v>
      </c>
      <c r="T1358" s="7">
        <f>R1358-S1358</f>
        <v>0</v>
      </c>
      <c r="U1358" s="7">
        <f>T1358*O1358</f>
        <v>0</v>
      </c>
    </row>
    <row r="1359" spans="1:21">
      <c r="A1359" s="4" t="s">
        <v>1973</v>
      </c>
      <c r="B1359" s="4"/>
      <c r="C1359" s="5">
        <v>45942</v>
      </c>
      <c r="D1359" s="5">
        <v>45942</v>
      </c>
      <c r="E1359" s="6">
        <f>IF(AND(C1359&lt;&gt;"",D1359&lt;&gt;""),D1359-C1359,"")</f>
        <v>0</v>
      </c>
      <c r="F1359" s="4"/>
      <c r="G1359" s="4"/>
      <c r="H1359" s="4"/>
      <c r="I1359" s="4" t="s">
        <v>56</v>
      </c>
      <c r="J1359" s="4">
        <v>0</v>
      </c>
      <c r="K1359" s="4">
        <v>0</v>
      </c>
      <c r="L1359" s="4">
        <f>J1359+K1359</f>
        <v>0</v>
      </c>
      <c r="M1359" s="4"/>
      <c r="N1359" s="4"/>
      <c r="O1359" s="4">
        <v>0</v>
      </c>
      <c r="P1359" s="4" t="s">
        <v>703</v>
      </c>
      <c r="Q1359" s="4"/>
      <c r="R1359" s="7">
        <v>0</v>
      </c>
      <c r="S1359" s="7">
        <v>0</v>
      </c>
      <c r="T1359" s="7">
        <f>R1359-S1359</f>
        <v>0</v>
      </c>
      <c r="U1359" s="7">
        <f>T1359*O1359</f>
        <v>0</v>
      </c>
    </row>
    <row r="1360" spans="1:21">
      <c r="A1360" s="4" t="s">
        <v>1973</v>
      </c>
      <c r="B1360" s="4"/>
      <c r="C1360" s="5">
        <v>45942</v>
      </c>
      <c r="D1360" s="5">
        <v>45942</v>
      </c>
      <c r="E1360" s="6">
        <f>IF(AND(C1360&lt;&gt;"",D1360&lt;&gt;""),D1360-C1360,"")</f>
        <v>0</v>
      </c>
      <c r="F1360" s="4"/>
      <c r="G1360" s="4"/>
      <c r="H1360" s="4"/>
      <c r="I1360" s="4" t="s">
        <v>56</v>
      </c>
      <c r="J1360" s="4">
        <v>0</v>
      </c>
      <c r="K1360" s="4">
        <v>0</v>
      </c>
      <c r="L1360" s="4">
        <f>J1360+K1360</f>
        <v>0</v>
      </c>
      <c r="M1360" s="4"/>
      <c r="N1360" s="4"/>
      <c r="O1360" s="4">
        <v>0</v>
      </c>
      <c r="P1360" s="4" t="s">
        <v>703</v>
      </c>
      <c r="Q1360" s="4"/>
      <c r="R1360" s="7">
        <v>0</v>
      </c>
      <c r="S1360" s="7">
        <v>0</v>
      </c>
      <c r="T1360" s="7">
        <f>R1360-S1360</f>
        <v>0</v>
      </c>
      <c r="U1360" s="7">
        <f>T1360*O1360</f>
        <v>0</v>
      </c>
    </row>
    <row r="1361" spans="1:21">
      <c r="A1361" s="4" t="s">
        <v>1974</v>
      </c>
      <c r="B1361" s="4"/>
      <c r="C1361" s="5">
        <v>45942</v>
      </c>
      <c r="D1361" s="5">
        <v>45942</v>
      </c>
      <c r="E1361" s="6">
        <f>IF(AND(C1361&lt;&gt;"",D1361&lt;&gt;""),D1361-C1361,"")</f>
        <v>0</v>
      </c>
      <c r="F1361" s="4"/>
      <c r="G1361" s="4"/>
      <c r="H1361" s="4"/>
      <c r="I1361" s="4" t="s">
        <v>56</v>
      </c>
      <c r="J1361" s="4">
        <v>0</v>
      </c>
      <c r="K1361" s="4">
        <v>0</v>
      </c>
      <c r="L1361" s="4">
        <f>J1361+K1361</f>
        <v>0</v>
      </c>
      <c r="M1361" s="4"/>
      <c r="N1361" s="4"/>
      <c r="O1361" s="4">
        <v>0</v>
      </c>
      <c r="P1361" s="4" t="s">
        <v>703</v>
      </c>
      <c r="Q1361" s="4"/>
      <c r="R1361" s="7">
        <v>0</v>
      </c>
      <c r="S1361" s="7">
        <v>0</v>
      </c>
      <c r="T1361" s="7">
        <f>R1361-S1361</f>
        <v>0</v>
      </c>
      <c r="U1361" s="7">
        <f>T1361*O1361</f>
        <v>0</v>
      </c>
    </row>
    <row r="1362" spans="1:21">
      <c r="A1362" s="4" t="s">
        <v>1974</v>
      </c>
      <c r="B1362" s="4"/>
      <c r="C1362" s="5">
        <v>45942</v>
      </c>
      <c r="D1362" s="5">
        <v>45942</v>
      </c>
      <c r="E1362" s="6">
        <f>IF(AND(C1362&lt;&gt;"",D1362&lt;&gt;""),D1362-C1362,"")</f>
        <v>0</v>
      </c>
      <c r="F1362" s="4"/>
      <c r="G1362" s="4"/>
      <c r="H1362" s="4"/>
      <c r="I1362" s="4" t="s">
        <v>56</v>
      </c>
      <c r="J1362" s="4">
        <v>0</v>
      </c>
      <c r="K1362" s="4">
        <v>0</v>
      </c>
      <c r="L1362" s="4">
        <f>J1362+K1362</f>
        <v>0</v>
      </c>
      <c r="M1362" s="4"/>
      <c r="N1362" s="4"/>
      <c r="O1362" s="4">
        <v>0</v>
      </c>
      <c r="P1362" s="4" t="s">
        <v>703</v>
      </c>
      <c r="Q1362" s="4"/>
      <c r="R1362" s="7">
        <v>0</v>
      </c>
      <c r="S1362" s="7">
        <v>0</v>
      </c>
      <c r="T1362" s="7">
        <f>R1362-S1362</f>
        <v>0</v>
      </c>
      <c r="U1362" s="7">
        <f>T1362*O1362</f>
        <v>0</v>
      </c>
    </row>
    <row r="1363" spans="1:21">
      <c r="A1363" s="4" t="s">
        <v>1974</v>
      </c>
      <c r="B1363" s="4"/>
      <c r="C1363" s="5">
        <v>45942</v>
      </c>
      <c r="D1363" s="5">
        <v>45942</v>
      </c>
      <c r="E1363" s="6">
        <f>IF(AND(C1363&lt;&gt;"",D1363&lt;&gt;""),D1363-C1363,"")</f>
        <v>0</v>
      </c>
      <c r="F1363" s="4"/>
      <c r="G1363" s="4"/>
      <c r="H1363" s="4"/>
      <c r="I1363" s="4" t="s">
        <v>56</v>
      </c>
      <c r="J1363" s="4">
        <v>0</v>
      </c>
      <c r="K1363" s="4">
        <v>0</v>
      </c>
      <c r="L1363" s="4">
        <f>J1363+K1363</f>
        <v>0</v>
      </c>
      <c r="M1363" s="4"/>
      <c r="N1363" s="4"/>
      <c r="O1363" s="4">
        <v>0</v>
      </c>
      <c r="P1363" s="4" t="s">
        <v>703</v>
      </c>
      <c r="Q1363" s="4"/>
      <c r="R1363" s="7">
        <v>0</v>
      </c>
      <c r="S1363" s="7">
        <v>0</v>
      </c>
      <c r="T1363" s="7">
        <f>R1363-S1363</f>
        <v>0</v>
      </c>
      <c r="U1363" s="7">
        <f>T1363*O1363</f>
        <v>0</v>
      </c>
    </row>
    <row r="1364" spans="1:21">
      <c r="A1364" s="4" t="s">
        <v>1975</v>
      </c>
      <c r="B1364" s="4"/>
      <c r="C1364" s="5">
        <v>45942</v>
      </c>
      <c r="D1364" s="5">
        <v>45942</v>
      </c>
      <c r="E1364" s="6">
        <f>IF(AND(C1364&lt;&gt;"",D1364&lt;&gt;""),D1364-C1364,"")</f>
        <v>0</v>
      </c>
      <c r="F1364" s="4"/>
      <c r="G1364" s="4"/>
      <c r="H1364" s="4"/>
      <c r="I1364" s="4" t="s">
        <v>56</v>
      </c>
      <c r="J1364" s="4">
        <v>0</v>
      </c>
      <c r="K1364" s="4">
        <v>0</v>
      </c>
      <c r="L1364" s="4">
        <f>J1364+K1364</f>
        <v>0</v>
      </c>
      <c r="M1364" s="4"/>
      <c r="N1364" s="4"/>
      <c r="O1364" s="4">
        <v>0</v>
      </c>
      <c r="P1364" s="4" t="s">
        <v>703</v>
      </c>
      <c r="Q1364" s="4"/>
      <c r="R1364" s="7">
        <v>0</v>
      </c>
      <c r="S1364" s="7">
        <v>0</v>
      </c>
      <c r="T1364" s="7">
        <f>R1364-S1364</f>
        <v>0</v>
      </c>
      <c r="U1364" s="7">
        <f>T1364*O1364</f>
        <v>0</v>
      </c>
    </row>
    <row r="1365" spans="1:21">
      <c r="A1365" s="4" t="s">
        <v>1975</v>
      </c>
      <c r="B1365" s="4"/>
      <c r="C1365" s="5">
        <v>45942</v>
      </c>
      <c r="D1365" s="5">
        <v>45942</v>
      </c>
      <c r="E1365" s="6">
        <f>IF(AND(C1365&lt;&gt;"",D1365&lt;&gt;""),D1365-C1365,"")</f>
        <v>0</v>
      </c>
      <c r="F1365" s="4"/>
      <c r="G1365" s="4"/>
      <c r="H1365" s="4"/>
      <c r="I1365" s="4" t="s">
        <v>56</v>
      </c>
      <c r="J1365" s="4">
        <v>0</v>
      </c>
      <c r="K1365" s="4">
        <v>0</v>
      </c>
      <c r="L1365" s="4">
        <f>J1365+K1365</f>
        <v>0</v>
      </c>
      <c r="M1365" s="4"/>
      <c r="N1365" s="4"/>
      <c r="O1365" s="4">
        <v>0</v>
      </c>
      <c r="P1365" s="4" t="s">
        <v>703</v>
      </c>
      <c r="Q1365" s="4"/>
      <c r="R1365" s="7">
        <v>0</v>
      </c>
      <c r="S1365" s="7">
        <v>0</v>
      </c>
      <c r="T1365" s="7">
        <f>R1365-S1365</f>
        <v>0</v>
      </c>
      <c r="U1365" s="7">
        <f>T1365*O1365</f>
        <v>0</v>
      </c>
    </row>
    <row r="1366" spans="1:21">
      <c r="A1366" s="4" t="s">
        <v>1975</v>
      </c>
      <c r="B1366" s="4"/>
      <c r="C1366" s="5">
        <v>45942</v>
      </c>
      <c r="D1366" s="5">
        <v>45942</v>
      </c>
      <c r="E1366" s="6">
        <f>IF(AND(C1366&lt;&gt;"",D1366&lt;&gt;""),D1366-C1366,"")</f>
        <v>0</v>
      </c>
      <c r="F1366" s="4"/>
      <c r="G1366" s="4"/>
      <c r="H1366" s="4"/>
      <c r="I1366" s="4" t="s">
        <v>56</v>
      </c>
      <c r="J1366" s="4">
        <v>0</v>
      </c>
      <c r="K1366" s="4">
        <v>0</v>
      </c>
      <c r="L1366" s="4">
        <f>J1366+K1366</f>
        <v>0</v>
      </c>
      <c r="M1366" s="4"/>
      <c r="N1366" s="4"/>
      <c r="O1366" s="4">
        <v>0</v>
      </c>
      <c r="P1366" s="4" t="s">
        <v>703</v>
      </c>
      <c r="Q1366" s="4"/>
      <c r="R1366" s="7">
        <v>0</v>
      </c>
      <c r="S1366" s="7">
        <v>0</v>
      </c>
      <c r="T1366" s="7">
        <f>R1366-S1366</f>
        <v>0</v>
      </c>
      <c r="U1366" s="7">
        <f>T1366*O1366</f>
        <v>0</v>
      </c>
    </row>
    <row r="1367" spans="1:21">
      <c r="A1367" s="4" t="s">
        <v>1975</v>
      </c>
      <c r="B1367" s="4"/>
      <c r="C1367" s="5">
        <v>45942</v>
      </c>
      <c r="D1367" s="5">
        <v>45942</v>
      </c>
      <c r="E1367" s="6">
        <f>IF(AND(C1367&lt;&gt;"",D1367&lt;&gt;""),D1367-C1367,"")</f>
        <v>0</v>
      </c>
      <c r="F1367" s="4"/>
      <c r="G1367" s="4"/>
      <c r="H1367" s="4"/>
      <c r="I1367" s="4" t="s">
        <v>56</v>
      </c>
      <c r="J1367" s="4">
        <v>0</v>
      </c>
      <c r="K1367" s="4">
        <v>0</v>
      </c>
      <c r="L1367" s="4">
        <f>J1367+K1367</f>
        <v>0</v>
      </c>
      <c r="M1367" s="4"/>
      <c r="N1367" s="4"/>
      <c r="O1367" s="4">
        <v>0</v>
      </c>
      <c r="P1367" s="4" t="s">
        <v>703</v>
      </c>
      <c r="Q1367" s="4"/>
      <c r="R1367" s="7">
        <v>0</v>
      </c>
      <c r="S1367" s="7">
        <v>0</v>
      </c>
      <c r="T1367" s="7">
        <f>R1367-S1367</f>
        <v>0</v>
      </c>
      <c r="U1367" s="7">
        <f>T1367*O1367</f>
        <v>0</v>
      </c>
    </row>
    <row r="1368" spans="1:21">
      <c r="A1368" s="4" t="s">
        <v>1976</v>
      </c>
      <c r="B1368" s="4"/>
      <c r="C1368" s="5">
        <v>45942</v>
      </c>
      <c r="D1368" s="5">
        <v>45942</v>
      </c>
      <c r="E1368" s="6">
        <f>IF(AND(C1368&lt;&gt;"",D1368&lt;&gt;""),D1368-C1368,"")</f>
        <v>0</v>
      </c>
      <c r="F1368" s="4"/>
      <c r="G1368" s="4"/>
      <c r="H1368" s="4"/>
      <c r="I1368" s="4" t="s">
        <v>56</v>
      </c>
      <c r="J1368" s="4">
        <v>0</v>
      </c>
      <c r="K1368" s="4">
        <v>0</v>
      </c>
      <c r="L1368" s="4">
        <f>J1368+K1368</f>
        <v>0</v>
      </c>
      <c r="M1368" s="4"/>
      <c r="N1368" s="4"/>
      <c r="O1368" s="4">
        <v>0</v>
      </c>
      <c r="P1368" s="4" t="s">
        <v>703</v>
      </c>
      <c r="Q1368" s="4"/>
      <c r="R1368" s="7">
        <v>0</v>
      </c>
      <c r="S1368" s="7">
        <v>0</v>
      </c>
      <c r="T1368" s="7">
        <f>R1368-S1368</f>
        <v>0</v>
      </c>
      <c r="U1368" s="7">
        <f>T1368*O1368</f>
        <v>0</v>
      </c>
    </row>
    <row r="1369" spans="1:21">
      <c r="A1369" s="4" t="s">
        <v>1976</v>
      </c>
      <c r="B1369" s="4"/>
      <c r="C1369" s="5">
        <v>45942</v>
      </c>
      <c r="D1369" s="5">
        <v>45942</v>
      </c>
      <c r="E1369" s="6">
        <f>IF(AND(C1369&lt;&gt;"",D1369&lt;&gt;""),D1369-C1369,"")</f>
        <v>0</v>
      </c>
      <c r="F1369" s="4"/>
      <c r="G1369" s="4"/>
      <c r="H1369" s="4"/>
      <c r="I1369" s="4" t="s">
        <v>56</v>
      </c>
      <c r="J1369" s="4">
        <v>0</v>
      </c>
      <c r="K1369" s="4">
        <v>0</v>
      </c>
      <c r="L1369" s="4">
        <f>J1369+K1369</f>
        <v>0</v>
      </c>
      <c r="M1369" s="4"/>
      <c r="N1369" s="4"/>
      <c r="O1369" s="4">
        <v>0</v>
      </c>
      <c r="P1369" s="4" t="s">
        <v>703</v>
      </c>
      <c r="Q1369" s="4"/>
      <c r="R1369" s="7">
        <v>0</v>
      </c>
      <c r="S1369" s="7">
        <v>0</v>
      </c>
      <c r="T1369" s="7">
        <f>R1369-S1369</f>
        <v>0</v>
      </c>
      <c r="U1369" s="7">
        <f>T1369*O1369</f>
        <v>0</v>
      </c>
    </row>
    <row r="1370" spans="1:21">
      <c r="A1370" s="4" t="s">
        <v>1976</v>
      </c>
      <c r="B1370" s="4"/>
      <c r="C1370" s="5">
        <v>45942</v>
      </c>
      <c r="D1370" s="5">
        <v>45942</v>
      </c>
      <c r="E1370" s="6">
        <f>IF(AND(C1370&lt;&gt;"",D1370&lt;&gt;""),D1370-C1370,"")</f>
        <v>0</v>
      </c>
      <c r="F1370" s="4"/>
      <c r="G1370" s="4"/>
      <c r="H1370" s="4"/>
      <c r="I1370" s="4" t="s">
        <v>56</v>
      </c>
      <c r="J1370" s="4">
        <v>0</v>
      </c>
      <c r="K1370" s="4">
        <v>0</v>
      </c>
      <c r="L1370" s="4">
        <f>J1370+K1370</f>
        <v>0</v>
      </c>
      <c r="M1370" s="4"/>
      <c r="N1370" s="4"/>
      <c r="O1370" s="4">
        <v>0</v>
      </c>
      <c r="P1370" s="4" t="s">
        <v>703</v>
      </c>
      <c r="Q1370" s="4"/>
      <c r="R1370" s="7">
        <v>0</v>
      </c>
      <c r="S1370" s="7">
        <v>0</v>
      </c>
      <c r="T1370" s="7">
        <f>R1370-S1370</f>
        <v>0</v>
      </c>
      <c r="U1370" s="7">
        <f>T1370*O1370</f>
        <v>0</v>
      </c>
    </row>
    <row r="1371" spans="1:21">
      <c r="A1371" s="4" t="s">
        <v>1977</v>
      </c>
      <c r="B1371" s="4"/>
      <c r="C1371" s="5">
        <v>45942</v>
      </c>
      <c r="D1371" s="5">
        <v>45942</v>
      </c>
      <c r="E1371" s="6">
        <f>IF(AND(C1371&lt;&gt;"",D1371&lt;&gt;""),D1371-C1371,"")</f>
        <v>0</v>
      </c>
      <c r="F1371" s="4"/>
      <c r="G1371" s="4"/>
      <c r="H1371" s="4"/>
      <c r="I1371" s="4" t="s">
        <v>56</v>
      </c>
      <c r="J1371" s="4">
        <v>0</v>
      </c>
      <c r="K1371" s="4">
        <v>0</v>
      </c>
      <c r="L1371" s="4">
        <f>J1371+K1371</f>
        <v>0</v>
      </c>
      <c r="M1371" s="4"/>
      <c r="N1371" s="4"/>
      <c r="O1371" s="4">
        <v>0</v>
      </c>
      <c r="P1371" s="4" t="s">
        <v>703</v>
      </c>
      <c r="Q1371" s="4"/>
      <c r="R1371" s="7">
        <v>0</v>
      </c>
      <c r="S1371" s="7">
        <v>0</v>
      </c>
      <c r="T1371" s="7">
        <f>R1371-S1371</f>
        <v>0</v>
      </c>
      <c r="U1371" s="7">
        <f>T1371*O1371</f>
        <v>0</v>
      </c>
    </row>
    <row r="1372" spans="1:21">
      <c r="A1372" s="4" t="s">
        <v>1977</v>
      </c>
      <c r="B1372" s="4"/>
      <c r="C1372" s="5">
        <v>45942</v>
      </c>
      <c r="D1372" s="5">
        <v>45942</v>
      </c>
      <c r="E1372" s="6">
        <f>IF(AND(C1372&lt;&gt;"",D1372&lt;&gt;""),D1372-C1372,"")</f>
        <v>0</v>
      </c>
      <c r="F1372" s="4"/>
      <c r="G1372" s="4"/>
      <c r="H1372" s="4"/>
      <c r="I1372" s="4" t="s">
        <v>56</v>
      </c>
      <c r="J1372" s="4">
        <v>0</v>
      </c>
      <c r="K1372" s="4">
        <v>0</v>
      </c>
      <c r="L1372" s="4">
        <f>J1372+K1372</f>
        <v>0</v>
      </c>
      <c r="M1372" s="4"/>
      <c r="N1372" s="4"/>
      <c r="O1372" s="4">
        <v>0</v>
      </c>
      <c r="P1372" s="4" t="s">
        <v>703</v>
      </c>
      <c r="Q1372" s="4"/>
      <c r="R1372" s="7">
        <v>0</v>
      </c>
      <c r="S1372" s="7">
        <v>0</v>
      </c>
      <c r="T1372" s="7">
        <f>R1372-S1372</f>
        <v>0</v>
      </c>
      <c r="U1372" s="7">
        <f>T1372*O1372</f>
        <v>0</v>
      </c>
    </row>
    <row r="1373" spans="1:21">
      <c r="A1373" s="4" t="s">
        <v>1978</v>
      </c>
      <c r="B1373" s="4"/>
      <c r="C1373" s="5">
        <v>45942</v>
      </c>
      <c r="D1373" s="5">
        <v>45942</v>
      </c>
      <c r="E1373" s="6">
        <f>IF(AND(C1373&lt;&gt;"",D1373&lt;&gt;""),D1373-C1373,"")</f>
        <v>0</v>
      </c>
      <c r="F1373" s="4"/>
      <c r="G1373" s="4"/>
      <c r="H1373" s="4"/>
      <c r="I1373" s="4" t="s">
        <v>56</v>
      </c>
      <c r="J1373" s="4">
        <v>0</v>
      </c>
      <c r="K1373" s="4">
        <v>0</v>
      </c>
      <c r="L1373" s="4">
        <f>J1373+K1373</f>
        <v>0</v>
      </c>
      <c r="M1373" s="4"/>
      <c r="N1373" s="4"/>
      <c r="O1373" s="4">
        <v>0</v>
      </c>
      <c r="P1373" s="4" t="s">
        <v>703</v>
      </c>
      <c r="Q1373" s="4"/>
      <c r="R1373" s="7">
        <v>0</v>
      </c>
      <c r="S1373" s="7">
        <v>0</v>
      </c>
      <c r="T1373" s="7">
        <f>R1373-S1373</f>
        <v>0</v>
      </c>
      <c r="U1373" s="7">
        <f>T1373*O1373</f>
        <v>0</v>
      </c>
    </row>
    <row r="1374" spans="1:21">
      <c r="A1374" s="4" t="s">
        <v>1979</v>
      </c>
      <c r="B1374" s="4"/>
      <c r="C1374" s="5">
        <v>45942</v>
      </c>
      <c r="D1374" s="5">
        <v>45942</v>
      </c>
      <c r="E1374" s="6">
        <f>IF(AND(C1374&lt;&gt;"",D1374&lt;&gt;""),D1374-C1374,"")</f>
        <v>0</v>
      </c>
      <c r="F1374" s="4"/>
      <c r="G1374" s="4"/>
      <c r="H1374" s="4"/>
      <c r="I1374" s="4" t="s">
        <v>56</v>
      </c>
      <c r="J1374" s="4">
        <v>0</v>
      </c>
      <c r="K1374" s="4">
        <v>0</v>
      </c>
      <c r="L1374" s="4">
        <f>J1374+K1374</f>
        <v>0</v>
      </c>
      <c r="M1374" s="4"/>
      <c r="N1374" s="4"/>
      <c r="O1374" s="4">
        <v>0</v>
      </c>
      <c r="P1374" s="4" t="s">
        <v>703</v>
      </c>
      <c r="Q1374" s="4"/>
      <c r="R1374" s="7">
        <v>0</v>
      </c>
      <c r="S1374" s="7">
        <v>0</v>
      </c>
      <c r="T1374" s="7">
        <f>R1374-S1374</f>
        <v>0</v>
      </c>
      <c r="U1374" s="7">
        <f>T1374*O1374</f>
        <v>0</v>
      </c>
    </row>
    <row r="1375" spans="1:21">
      <c r="A1375" s="4" t="s">
        <v>1979</v>
      </c>
      <c r="B1375" s="4"/>
      <c r="C1375" s="5">
        <v>45942</v>
      </c>
      <c r="D1375" s="5">
        <v>45942</v>
      </c>
      <c r="E1375" s="6">
        <f>IF(AND(C1375&lt;&gt;"",D1375&lt;&gt;""),D1375-C1375,"")</f>
        <v>0</v>
      </c>
      <c r="F1375" s="4"/>
      <c r="G1375" s="4"/>
      <c r="H1375" s="4"/>
      <c r="I1375" s="4" t="s">
        <v>56</v>
      </c>
      <c r="J1375" s="4">
        <v>0</v>
      </c>
      <c r="K1375" s="4">
        <v>0</v>
      </c>
      <c r="L1375" s="4">
        <f>J1375+K1375</f>
        <v>0</v>
      </c>
      <c r="M1375" s="4"/>
      <c r="N1375" s="4"/>
      <c r="O1375" s="4">
        <v>0</v>
      </c>
      <c r="P1375" s="4" t="s">
        <v>703</v>
      </c>
      <c r="Q1375" s="4"/>
      <c r="R1375" s="7">
        <v>0</v>
      </c>
      <c r="S1375" s="7">
        <v>0</v>
      </c>
      <c r="T1375" s="7">
        <f>R1375-S1375</f>
        <v>0</v>
      </c>
      <c r="U1375" s="7">
        <f>T1375*O1375</f>
        <v>0</v>
      </c>
    </row>
    <row r="1376" spans="1:21">
      <c r="A1376" s="4" t="s">
        <v>1979</v>
      </c>
      <c r="B1376" s="4"/>
      <c r="C1376" s="5">
        <v>45942</v>
      </c>
      <c r="D1376" s="5">
        <v>45942</v>
      </c>
      <c r="E1376" s="6">
        <f>IF(AND(C1376&lt;&gt;"",D1376&lt;&gt;""),D1376-C1376,"")</f>
        <v>0</v>
      </c>
      <c r="F1376" s="4"/>
      <c r="G1376" s="4"/>
      <c r="H1376" s="4"/>
      <c r="I1376" s="4" t="s">
        <v>56</v>
      </c>
      <c r="J1376" s="4">
        <v>0</v>
      </c>
      <c r="K1376" s="4">
        <v>0</v>
      </c>
      <c r="L1376" s="4">
        <f>J1376+K1376</f>
        <v>0</v>
      </c>
      <c r="M1376" s="4"/>
      <c r="N1376" s="4"/>
      <c r="O1376" s="4">
        <v>0</v>
      </c>
      <c r="P1376" s="4" t="s">
        <v>703</v>
      </c>
      <c r="Q1376" s="4"/>
      <c r="R1376" s="7">
        <v>0</v>
      </c>
      <c r="S1376" s="7">
        <v>0</v>
      </c>
      <c r="T1376" s="7">
        <f>R1376-S1376</f>
        <v>0</v>
      </c>
      <c r="U1376" s="7">
        <f>T1376*O1376</f>
        <v>0</v>
      </c>
    </row>
    <row r="1377" spans="1:21">
      <c r="A1377" s="4" t="s">
        <v>1979</v>
      </c>
      <c r="B1377" s="4"/>
      <c r="C1377" s="5">
        <v>45942</v>
      </c>
      <c r="D1377" s="5">
        <v>45942</v>
      </c>
      <c r="E1377" s="6">
        <f>IF(AND(C1377&lt;&gt;"",D1377&lt;&gt;""),D1377-C1377,"")</f>
        <v>0</v>
      </c>
      <c r="F1377" s="4"/>
      <c r="G1377" s="4"/>
      <c r="H1377" s="4"/>
      <c r="I1377" s="4" t="s">
        <v>56</v>
      </c>
      <c r="J1377" s="4">
        <v>0</v>
      </c>
      <c r="K1377" s="4">
        <v>0</v>
      </c>
      <c r="L1377" s="4">
        <f>J1377+K1377</f>
        <v>0</v>
      </c>
      <c r="M1377" s="4"/>
      <c r="N1377" s="4"/>
      <c r="O1377" s="4">
        <v>0</v>
      </c>
      <c r="P1377" s="4" t="s">
        <v>703</v>
      </c>
      <c r="Q1377" s="4"/>
      <c r="R1377" s="7">
        <v>0</v>
      </c>
      <c r="S1377" s="7">
        <v>0</v>
      </c>
      <c r="T1377" s="7">
        <f>R1377-S1377</f>
        <v>0</v>
      </c>
      <c r="U1377" s="7">
        <f>T1377*O1377</f>
        <v>0</v>
      </c>
    </row>
    <row r="1378" spans="1:21">
      <c r="A1378" s="4" t="s">
        <v>1980</v>
      </c>
      <c r="B1378" s="4"/>
      <c r="C1378" s="5">
        <v>45942</v>
      </c>
      <c r="D1378" s="5">
        <v>45942</v>
      </c>
      <c r="E1378" s="6">
        <f>IF(AND(C1378&lt;&gt;"",D1378&lt;&gt;""),D1378-C1378,"")</f>
        <v>0</v>
      </c>
      <c r="F1378" s="4"/>
      <c r="G1378" s="4"/>
      <c r="H1378" s="4"/>
      <c r="I1378" s="4" t="s">
        <v>56</v>
      </c>
      <c r="J1378" s="4">
        <v>0</v>
      </c>
      <c r="K1378" s="4">
        <v>0</v>
      </c>
      <c r="L1378" s="4">
        <f>J1378+K1378</f>
        <v>0</v>
      </c>
      <c r="M1378" s="4"/>
      <c r="N1378" s="4"/>
      <c r="O1378" s="4">
        <v>0</v>
      </c>
      <c r="P1378" s="4" t="s">
        <v>703</v>
      </c>
      <c r="Q1378" s="4"/>
      <c r="R1378" s="7">
        <v>0</v>
      </c>
      <c r="S1378" s="7">
        <v>0</v>
      </c>
      <c r="T1378" s="7">
        <f>R1378-S1378</f>
        <v>0</v>
      </c>
      <c r="U1378" s="7">
        <f>T1378*O1378</f>
        <v>0</v>
      </c>
    </row>
    <row r="1379" spans="1:21">
      <c r="A1379" s="4" t="s">
        <v>1980</v>
      </c>
      <c r="B1379" s="4"/>
      <c r="C1379" s="5">
        <v>45942</v>
      </c>
      <c r="D1379" s="5">
        <v>45942</v>
      </c>
      <c r="E1379" s="6">
        <f>IF(AND(C1379&lt;&gt;"",D1379&lt;&gt;""),D1379-C1379,"")</f>
        <v>0</v>
      </c>
      <c r="F1379" s="4"/>
      <c r="G1379" s="4"/>
      <c r="H1379" s="4"/>
      <c r="I1379" s="4" t="s">
        <v>56</v>
      </c>
      <c r="J1379" s="4">
        <v>0</v>
      </c>
      <c r="K1379" s="4">
        <v>0</v>
      </c>
      <c r="L1379" s="4">
        <f>J1379+K1379</f>
        <v>0</v>
      </c>
      <c r="M1379" s="4"/>
      <c r="N1379" s="4"/>
      <c r="O1379" s="4">
        <v>0</v>
      </c>
      <c r="P1379" s="4" t="s">
        <v>703</v>
      </c>
      <c r="Q1379" s="4"/>
      <c r="R1379" s="7">
        <v>0</v>
      </c>
      <c r="S1379" s="7">
        <v>0</v>
      </c>
      <c r="T1379" s="7">
        <f>R1379-S1379</f>
        <v>0</v>
      </c>
      <c r="U1379" s="7">
        <f>T1379*O1379</f>
        <v>0</v>
      </c>
    </row>
    <row r="1380" spans="1:21">
      <c r="A1380" s="4" t="s">
        <v>1980</v>
      </c>
      <c r="B1380" s="4"/>
      <c r="C1380" s="5">
        <v>45942</v>
      </c>
      <c r="D1380" s="5">
        <v>45942</v>
      </c>
      <c r="E1380" s="6">
        <f>IF(AND(C1380&lt;&gt;"",D1380&lt;&gt;""),D1380-C1380,"")</f>
        <v>0</v>
      </c>
      <c r="F1380" s="4"/>
      <c r="G1380" s="4"/>
      <c r="H1380" s="4"/>
      <c r="I1380" s="4" t="s">
        <v>56</v>
      </c>
      <c r="J1380" s="4">
        <v>0</v>
      </c>
      <c r="K1380" s="4">
        <v>0</v>
      </c>
      <c r="L1380" s="4">
        <f>J1380+K1380</f>
        <v>0</v>
      </c>
      <c r="M1380" s="4"/>
      <c r="N1380" s="4"/>
      <c r="O1380" s="4">
        <v>0</v>
      </c>
      <c r="P1380" s="4" t="s">
        <v>703</v>
      </c>
      <c r="Q1380" s="4"/>
      <c r="R1380" s="7">
        <v>0</v>
      </c>
      <c r="S1380" s="7">
        <v>0</v>
      </c>
      <c r="T1380" s="7">
        <f>R1380-S1380</f>
        <v>0</v>
      </c>
      <c r="U1380" s="7">
        <f>T1380*O1380</f>
        <v>0</v>
      </c>
    </row>
    <row r="1381" spans="1:21">
      <c r="A1381" s="4" t="s">
        <v>1981</v>
      </c>
      <c r="B1381" s="4"/>
      <c r="C1381" s="5">
        <v>45942</v>
      </c>
      <c r="D1381" s="5">
        <v>45942</v>
      </c>
      <c r="E1381" s="6">
        <f>IF(AND(C1381&lt;&gt;"",D1381&lt;&gt;""),D1381-C1381,"")</f>
        <v>0</v>
      </c>
      <c r="F1381" s="4"/>
      <c r="G1381" s="4"/>
      <c r="H1381" s="4"/>
      <c r="I1381" s="4" t="s">
        <v>56</v>
      </c>
      <c r="J1381" s="4">
        <v>0</v>
      </c>
      <c r="K1381" s="4">
        <v>0</v>
      </c>
      <c r="L1381" s="4">
        <f>J1381+K1381</f>
        <v>0</v>
      </c>
      <c r="M1381" s="4"/>
      <c r="N1381" s="4"/>
      <c r="O1381" s="4">
        <v>0</v>
      </c>
      <c r="P1381" s="4" t="s">
        <v>703</v>
      </c>
      <c r="Q1381" s="4"/>
      <c r="R1381" s="7">
        <v>0</v>
      </c>
      <c r="S1381" s="7">
        <v>0</v>
      </c>
      <c r="T1381" s="7">
        <f>R1381-S1381</f>
        <v>0</v>
      </c>
      <c r="U1381" s="7">
        <f>T1381*O1381</f>
        <v>0</v>
      </c>
    </row>
    <row r="1382" spans="1:21">
      <c r="A1382" s="4" t="s">
        <v>1981</v>
      </c>
      <c r="B1382" s="4"/>
      <c r="C1382" s="5">
        <v>45942</v>
      </c>
      <c r="D1382" s="5">
        <v>45942</v>
      </c>
      <c r="E1382" s="6">
        <f>IF(AND(C1382&lt;&gt;"",D1382&lt;&gt;""),D1382-C1382,"")</f>
        <v>0</v>
      </c>
      <c r="F1382" s="4"/>
      <c r="G1382" s="4"/>
      <c r="H1382" s="4"/>
      <c r="I1382" s="4" t="s">
        <v>56</v>
      </c>
      <c r="J1382" s="4">
        <v>0</v>
      </c>
      <c r="K1382" s="4">
        <v>0</v>
      </c>
      <c r="L1382" s="4">
        <f>J1382+K1382</f>
        <v>0</v>
      </c>
      <c r="M1382" s="4"/>
      <c r="N1382" s="4"/>
      <c r="O1382" s="4">
        <v>0</v>
      </c>
      <c r="P1382" s="4" t="s">
        <v>703</v>
      </c>
      <c r="Q1382" s="4"/>
      <c r="R1382" s="7">
        <v>0</v>
      </c>
      <c r="S1382" s="7">
        <v>0</v>
      </c>
      <c r="T1382" s="7">
        <f>R1382-S1382</f>
        <v>0</v>
      </c>
      <c r="U1382" s="7">
        <f>T1382*O1382</f>
        <v>0</v>
      </c>
    </row>
    <row r="1383" spans="1:21">
      <c r="A1383" s="4" t="s">
        <v>1981</v>
      </c>
      <c r="B1383" s="4"/>
      <c r="C1383" s="5">
        <v>45942</v>
      </c>
      <c r="D1383" s="5">
        <v>45942</v>
      </c>
      <c r="E1383" s="6">
        <f>IF(AND(C1383&lt;&gt;"",D1383&lt;&gt;""),D1383-C1383,"")</f>
        <v>0</v>
      </c>
      <c r="F1383" s="4"/>
      <c r="G1383" s="4"/>
      <c r="H1383" s="4"/>
      <c r="I1383" s="4" t="s">
        <v>56</v>
      </c>
      <c r="J1383" s="4">
        <v>0</v>
      </c>
      <c r="K1383" s="4">
        <v>0</v>
      </c>
      <c r="L1383" s="4">
        <f>J1383+K1383</f>
        <v>0</v>
      </c>
      <c r="M1383" s="4"/>
      <c r="N1383" s="4"/>
      <c r="O1383" s="4">
        <v>0</v>
      </c>
      <c r="P1383" s="4" t="s">
        <v>703</v>
      </c>
      <c r="Q1383" s="4"/>
      <c r="R1383" s="7">
        <v>0</v>
      </c>
      <c r="S1383" s="7">
        <v>0</v>
      </c>
      <c r="T1383" s="7">
        <f>R1383-S1383</f>
        <v>0</v>
      </c>
      <c r="U1383" s="7">
        <f>T1383*O1383</f>
        <v>0</v>
      </c>
    </row>
    <row r="1384" spans="1:21">
      <c r="A1384" s="4" t="s">
        <v>1982</v>
      </c>
      <c r="B1384" s="4"/>
      <c r="C1384" s="5">
        <v>45942</v>
      </c>
      <c r="D1384" s="5">
        <v>45942</v>
      </c>
      <c r="E1384" s="6">
        <f>IF(AND(C1384&lt;&gt;"",D1384&lt;&gt;""),D1384-C1384,"")</f>
        <v>0</v>
      </c>
      <c r="F1384" s="4"/>
      <c r="G1384" s="4"/>
      <c r="H1384" s="4"/>
      <c r="I1384" s="4" t="s">
        <v>56</v>
      </c>
      <c r="J1384" s="4">
        <v>0</v>
      </c>
      <c r="K1384" s="4">
        <v>0</v>
      </c>
      <c r="L1384" s="4">
        <f>J1384+K1384</f>
        <v>0</v>
      </c>
      <c r="M1384" s="4"/>
      <c r="N1384" s="4"/>
      <c r="O1384" s="4">
        <v>0</v>
      </c>
      <c r="P1384" s="4" t="s">
        <v>703</v>
      </c>
      <c r="Q1384" s="4"/>
      <c r="R1384" s="7">
        <v>0</v>
      </c>
      <c r="S1384" s="7">
        <v>0</v>
      </c>
      <c r="T1384" s="7">
        <f>R1384-S1384</f>
        <v>0</v>
      </c>
      <c r="U1384" s="7">
        <f>T1384*O1384</f>
        <v>0</v>
      </c>
    </row>
    <row r="1385" spans="1:21">
      <c r="A1385" s="4" t="s">
        <v>1982</v>
      </c>
      <c r="B1385" s="4"/>
      <c r="C1385" s="5">
        <v>45942</v>
      </c>
      <c r="D1385" s="5">
        <v>45942</v>
      </c>
      <c r="E1385" s="6">
        <f>IF(AND(C1385&lt;&gt;"",D1385&lt;&gt;""),D1385-C1385,"")</f>
        <v>0</v>
      </c>
      <c r="F1385" s="4"/>
      <c r="G1385" s="4"/>
      <c r="H1385" s="4"/>
      <c r="I1385" s="4" t="s">
        <v>56</v>
      </c>
      <c r="J1385" s="4">
        <v>0</v>
      </c>
      <c r="K1385" s="4">
        <v>0</v>
      </c>
      <c r="L1385" s="4">
        <f>J1385+K1385</f>
        <v>0</v>
      </c>
      <c r="M1385" s="4"/>
      <c r="N1385" s="4"/>
      <c r="O1385" s="4">
        <v>0</v>
      </c>
      <c r="P1385" s="4" t="s">
        <v>703</v>
      </c>
      <c r="Q1385" s="4"/>
      <c r="R1385" s="7">
        <v>0</v>
      </c>
      <c r="S1385" s="7">
        <v>0</v>
      </c>
      <c r="T1385" s="7">
        <f>R1385-S1385</f>
        <v>0</v>
      </c>
      <c r="U1385" s="7">
        <f>T1385*O1385</f>
        <v>0</v>
      </c>
    </row>
    <row r="1386" spans="1:21">
      <c r="A1386" s="4" t="s">
        <v>1982</v>
      </c>
      <c r="B1386" s="4"/>
      <c r="C1386" s="5">
        <v>45942</v>
      </c>
      <c r="D1386" s="5">
        <v>45942</v>
      </c>
      <c r="E1386" s="6">
        <f>IF(AND(C1386&lt;&gt;"",D1386&lt;&gt;""),D1386-C1386,"")</f>
        <v>0</v>
      </c>
      <c r="F1386" s="4"/>
      <c r="G1386" s="4"/>
      <c r="H1386" s="4"/>
      <c r="I1386" s="4" t="s">
        <v>56</v>
      </c>
      <c r="J1386" s="4">
        <v>0</v>
      </c>
      <c r="K1386" s="4">
        <v>0</v>
      </c>
      <c r="L1386" s="4">
        <f>J1386+K1386</f>
        <v>0</v>
      </c>
      <c r="M1386" s="4"/>
      <c r="N1386" s="4"/>
      <c r="O1386" s="4">
        <v>0</v>
      </c>
      <c r="P1386" s="4" t="s">
        <v>703</v>
      </c>
      <c r="Q1386" s="4"/>
      <c r="R1386" s="7">
        <v>0</v>
      </c>
      <c r="S1386" s="7">
        <v>0</v>
      </c>
      <c r="T1386" s="7">
        <f>R1386-S1386</f>
        <v>0</v>
      </c>
      <c r="U1386" s="7">
        <f>T1386*O1386</f>
        <v>0</v>
      </c>
    </row>
    <row r="1387" spans="1:21">
      <c r="A1387" s="4" t="s">
        <v>1982</v>
      </c>
      <c r="B1387" s="4"/>
      <c r="C1387" s="5">
        <v>45942</v>
      </c>
      <c r="D1387" s="5">
        <v>45942</v>
      </c>
      <c r="E1387" s="6">
        <f>IF(AND(C1387&lt;&gt;"",D1387&lt;&gt;""),D1387-C1387,"")</f>
        <v>0</v>
      </c>
      <c r="F1387" s="4"/>
      <c r="G1387" s="4"/>
      <c r="H1387" s="4"/>
      <c r="I1387" s="4" t="s">
        <v>56</v>
      </c>
      <c r="J1387" s="4">
        <v>0</v>
      </c>
      <c r="K1387" s="4">
        <v>0</v>
      </c>
      <c r="L1387" s="4">
        <f>J1387+K1387</f>
        <v>0</v>
      </c>
      <c r="M1387" s="4"/>
      <c r="N1387" s="4"/>
      <c r="O1387" s="4">
        <v>0</v>
      </c>
      <c r="P1387" s="4" t="s">
        <v>703</v>
      </c>
      <c r="Q1387" s="4"/>
      <c r="R1387" s="7">
        <v>0</v>
      </c>
      <c r="S1387" s="7">
        <v>0</v>
      </c>
      <c r="T1387" s="7">
        <f>R1387-S1387</f>
        <v>0</v>
      </c>
      <c r="U1387" s="7">
        <f>T1387*O1387</f>
        <v>0</v>
      </c>
    </row>
    <row r="1388" spans="1:21">
      <c r="A1388" s="4" t="s">
        <v>1983</v>
      </c>
      <c r="B1388" s="4"/>
      <c r="C1388" s="5">
        <v>45942</v>
      </c>
      <c r="D1388" s="5">
        <v>45942</v>
      </c>
      <c r="E1388" s="6">
        <f>IF(AND(C1388&lt;&gt;"",D1388&lt;&gt;""),D1388-C1388,"")</f>
        <v>0</v>
      </c>
      <c r="F1388" s="4"/>
      <c r="G1388" s="4"/>
      <c r="H1388" s="4"/>
      <c r="I1388" s="4" t="s">
        <v>56</v>
      </c>
      <c r="J1388" s="4">
        <v>0</v>
      </c>
      <c r="K1388" s="4">
        <v>0</v>
      </c>
      <c r="L1388" s="4">
        <f>J1388+K1388</f>
        <v>0</v>
      </c>
      <c r="M1388" s="4"/>
      <c r="N1388" s="4"/>
      <c r="O1388" s="4">
        <v>0</v>
      </c>
      <c r="P1388" s="4" t="s">
        <v>703</v>
      </c>
      <c r="Q1388" s="4"/>
      <c r="R1388" s="7">
        <v>0</v>
      </c>
      <c r="S1388" s="7">
        <v>0</v>
      </c>
      <c r="T1388" s="7">
        <f>R1388-S1388</f>
        <v>0</v>
      </c>
      <c r="U1388" s="7">
        <f>T1388*O1388</f>
        <v>0</v>
      </c>
    </row>
    <row r="1389" spans="1:21">
      <c r="A1389" s="4" t="s">
        <v>1983</v>
      </c>
      <c r="B1389" s="4"/>
      <c r="C1389" s="5">
        <v>45942</v>
      </c>
      <c r="D1389" s="5">
        <v>45942</v>
      </c>
      <c r="E1389" s="6">
        <f>IF(AND(C1389&lt;&gt;"",D1389&lt;&gt;""),D1389-C1389,"")</f>
        <v>0</v>
      </c>
      <c r="F1389" s="4"/>
      <c r="G1389" s="4"/>
      <c r="H1389" s="4"/>
      <c r="I1389" s="4" t="s">
        <v>56</v>
      </c>
      <c r="J1389" s="4">
        <v>0</v>
      </c>
      <c r="K1389" s="4">
        <v>0</v>
      </c>
      <c r="L1389" s="4">
        <f>J1389+K1389</f>
        <v>0</v>
      </c>
      <c r="M1389" s="4"/>
      <c r="N1389" s="4"/>
      <c r="O1389" s="4">
        <v>0</v>
      </c>
      <c r="P1389" s="4" t="s">
        <v>703</v>
      </c>
      <c r="Q1389" s="4"/>
      <c r="R1389" s="7">
        <v>0</v>
      </c>
      <c r="S1389" s="7">
        <v>0</v>
      </c>
      <c r="T1389" s="7">
        <f>R1389-S1389</f>
        <v>0</v>
      </c>
      <c r="U1389" s="7">
        <f>T1389*O1389</f>
        <v>0</v>
      </c>
    </row>
    <row r="1390" spans="1:21">
      <c r="A1390" s="4" t="s">
        <v>1984</v>
      </c>
      <c r="B1390" s="4" t="s">
        <v>48</v>
      </c>
      <c r="C1390" s="5">
        <v>45942.00087962963</v>
      </c>
      <c r="D1390" s="5">
        <v>45961</v>
      </c>
      <c r="E1390" s="6">
        <f>IF(AND(C1390&lt;&gt;"",D1390&lt;&gt;""),D1390-C1390,"")</f>
        <v>0</v>
      </c>
      <c r="F1390" s="4" t="s">
        <v>64</v>
      </c>
      <c r="G1390" s="4" t="s">
        <v>1985</v>
      </c>
      <c r="H1390" s="4" t="s">
        <v>32</v>
      </c>
      <c r="I1390" s="4" t="s">
        <v>33</v>
      </c>
      <c r="J1390" s="4">
        <v>2</v>
      </c>
      <c r="K1390" s="4">
        <v>1</v>
      </c>
      <c r="L1390" s="4">
        <f>J1390+K1390</f>
        <v>0</v>
      </c>
      <c r="M1390" s="4"/>
      <c r="N1390" s="4"/>
      <c r="O1390" s="4">
        <v>0</v>
      </c>
      <c r="P1390" s="4"/>
      <c r="Q1390" s="4"/>
      <c r="R1390" s="7">
        <v>0</v>
      </c>
      <c r="S1390" s="7">
        <v>0</v>
      </c>
      <c r="T1390" s="7">
        <f>R1390-S1390</f>
        <v>0</v>
      </c>
      <c r="U1390" s="7">
        <f>T1390*O1390</f>
        <v>0</v>
      </c>
    </row>
    <row r="1391" spans="1:21">
      <c r="A1391" s="4" t="s">
        <v>1986</v>
      </c>
      <c r="B1391" s="4" t="s">
        <v>39</v>
      </c>
      <c r="C1391" s="5">
        <v>45942.04517361111</v>
      </c>
      <c r="D1391" s="5">
        <v>45942</v>
      </c>
      <c r="E1391" s="6">
        <f>IF(AND(C1391&lt;&gt;"",D1391&lt;&gt;""),D1391-C1391,"")</f>
        <v>0</v>
      </c>
      <c r="F1391" s="4" t="s">
        <v>1367</v>
      </c>
      <c r="G1391" s="4" t="s">
        <v>1368</v>
      </c>
      <c r="H1391" s="4" t="s">
        <v>32</v>
      </c>
      <c r="I1391" s="4" t="s">
        <v>33</v>
      </c>
      <c r="J1391" s="4">
        <v>0</v>
      </c>
      <c r="K1391" s="4">
        <v>0</v>
      </c>
      <c r="L1391" s="4">
        <f>J1391+K1391</f>
        <v>0</v>
      </c>
      <c r="M1391" s="4" t="s">
        <v>370</v>
      </c>
      <c r="N1391" s="4"/>
      <c r="O1391" s="4">
        <v>1</v>
      </c>
      <c r="P1391" s="4" t="s">
        <v>135</v>
      </c>
      <c r="Q1391" s="4" t="s">
        <v>44</v>
      </c>
      <c r="R1391" s="7">
        <v>2000000000</v>
      </c>
      <c r="S1391" s="7">
        <v>0</v>
      </c>
      <c r="T1391" s="7">
        <f>R1391-S1391</f>
        <v>0</v>
      </c>
      <c r="U1391" s="7">
        <f>T1391*O1391</f>
        <v>0</v>
      </c>
    </row>
    <row r="1392" spans="1:21">
      <c r="A1392" s="4" t="s">
        <v>1987</v>
      </c>
      <c r="B1392" s="4" t="s">
        <v>39</v>
      </c>
      <c r="C1392" s="5">
        <v>45942.0459375</v>
      </c>
      <c r="D1392" s="5">
        <v>45942</v>
      </c>
      <c r="E1392" s="6">
        <f>IF(AND(C1392&lt;&gt;"",D1392&lt;&gt;""),D1392-C1392,"")</f>
        <v>0</v>
      </c>
      <c r="F1392" s="4" t="s">
        <v>1367</v>
      </c>
      <c r="G1392" s="4" t="s">
        <v>1368</v>
      </c>
      <c r="H1392" s="4" t="s">
        <v>32</v>
      </c>
      <c r="I1392" s="4" t="s">
        <v>33</v>
      </c>
      <c r="J1392" s="4">
        <v>0</v>
      </c>
      <c r="K1392" s="4">
        <v>0</v>
      </c>
      <c r="L1392" s="4">
        <f>J1392+K1392</f>
        <v>0</v>
      </c>
      <c r="M1392" s="4" t="s">
        <v>370</v>
      </c>
      <c r="N1392" s="4"/>
      <c r="O1392" s="4">
        <v>1</v>
      </c>
      <c r="P1392" s="4" t="s">
        <v>135</v>
      </c>
      <c r="Q1392" s="4" t="s">
        <v>44</v>
      </c>
      <c r="R1392" s="7">
        <v>2000000000</v>
      </c>
      <c r="S1392" s="7">
        <v>0</v>
      </c>
      <c r="T1392" s="7">
        <f>R1392-S1392</f>
        <v>0</v>
      </c>
      <c r="U1392" s="7">
        <f>T1392*O1392</f>
        <v>0</v>
      </c>
    </row>
    <row r="1393" spans="1:21">
      <c r="A1393" s="4" t="s">
        <v>1988</v>
      </c>
      <c r="B1393" s="4" t="s">
        <v>39</v>
      </c>
      <c r="C1393" s="5">
        <v>45942.04758101852</v>
      </c>
      <c r="D1393" s="5">
        <v>45942</v>
      </c>
      <c r="E1393" s="6">
        <f>IF(AND(C1393&lt;&gt;"",D1393&lt;&gt;""),D1393-C1393,"")</f>
        <v>0</v>
      </c>
      <c r="F1393" s="4" t="s">
        <v>1367</v>
      </c>
      <c r="G1393" s="4" t="s">
        <v>1368</v>
      </c>
      <c r="H1393" s="4" t="s">
        <v>32</v>
      </c>
      <c r="I1393" s="4" t="s">
        <v>33</v>
      </c>
      <c r="J1393" s="4">
        <v>0</v>
      </c>
      <c r="K1393" s="4">
        <v>0</v>
      </c>
      <c r="L1393" s="4">
        <f>J1393+K1393</f>
        <v>0</v>
      </c>
      <c r="M1393" s="4" t="s">
        <v>370</v>
      </c>
      <c r="N1393" s="4"/>
      <c r="O1393" s="4">
        <v>1</v>
      </c>
      <c r="P1393" s="4" t="s">
        <v>135</v>
      </c>
      <c r="Q1393" s="4" t="s">
        <v>44</v>
      </c>
      <c r="R1393" s="7">
        <v>2000000</v>
      </c>
      <c r="S1393" s="7">
        <v>0</v>
      </c>
      <c r="T1393" s="7">
        <f>R1393-S1393</f>
        <v>0</v>
      </c>
      <c r="U1393" s="7">
        <f>T1393*O1393</f>
        <v>0</v>
      </c>
    </row>
    <row r="1394" spans="1:21">
      <c r="A1394" s="4" t="s">
        <v>1989</v>
      </c>
      <c r="B1394" s="4" t="s">
        <v>39</v>
      </c>
      <c r="C1394" s="5">
        <v>45942.04818287037</v>
      </c>
      <c r="D1394" s="5">
        <v>45942</v>
      </c>
      <c r="E1394" s="6">
        <f>IF(AND(C1394&lt;&gt;"",D1394&lt;&gt;""),D1394-C1394,"")</f>
        <v>0</v>
      </c>
      <c r="F1394" s="4" t="s">
        <v>1367</v>
      </c>
      <c r="G1394" s="4" t="s">
        <v>1368</v>
      </c>
      <c r="H1394" s="4" t="s">
        <v>32</v>
      </c>
      <c r="I1394" s="4" t="s">
        <v>33</v>
      </c>
      <c r="J1394" s="4">
        <v>0</v>
      </c>
      <c r="K1394" s="4">
        <v>0</v>
      </c>
      <c r="L1394" s="4">
        <f>J1394+K1394</f>
        <v>0</v>
      </c>
      <c r="M1394" s="4" t="s">
        <v>370</v>
      </c>
      <c r="N1394" s="4"/>
      <c r="O1394" s="4">
        <v>1</v>
      </c>
      <c r="P1394" s="4" t="s">
        <v>135</v>
      </c>
      <c r="Q1394" s="4" t="s">
        <v>44</v>
      </c>
      <c r="R1394" s="7">
        <v>2000000</v>
      </c>
      <c r="S1394" s="7">
        <v>0</v>
      </c>
      <c r="T1394" s="7">
        <f>R1394-S1394</f>
        <v>0</v>
      </c>
      <c r="U1394" s="7">
        <f>T1394*O1394</f>
        <v>0</v>
      </c>
    </row>
    <row r="1395" spans="1:21">
      <c r="A1395" s="4" t="s">
        <v>1990</v>
      </c>
      <c r="B1395" s="4" t="s">
        <v>39</v>
      </c>
      <c r="C1395" s="5">
        <v>45942.07622685185</v>
      </c>
      <c r="D1395" s="5">
        <v>45942</v>
      </c>
      <c r="E1395" s="6">
        <f>IF(AND(C1395&lt;&gt;"",D1395&lt;&gt;""),D1395-C1395,"")</f>
        <v>0</v>
      </c>
      <c r="F1395" s="4" t="s">
        <v>399</v>
      </c>
      <c r="G1395" s="4" t="s">
        <v>400</v>
      </c>
      <c r="H1395" s="4" t="s">
        <v>32</v>
      </c>
      <c r="I1395" s="4" t="s">
        <v>33</v>
      </c>
      <c r="J1395" s="4">
        <v>0</v>
      </c>
      <c r="K1395" s="4">
        <v>0</v>
      </c>
      <c r="L1395" s="4">
        <f>J1395+K1395</f>
        <v>0</v>
      </c>
      <c r="M1395" s="4" t="s">
        <v>1335</v>
      </c>
      <c r="N1395" s="4"/>
      <c r="O1395" s="4">
        <v>1</v>
      </c>
      <c r="P1395" s="4" t="s">
        <v>135</v>
      </c>
      <c r="Q1395" s="4"/>
      <c r="R1395" s="7">
        <v>45000</v>
      </c>
      <c r="S1395" s="7">
        <v>0</v>
      </c>
      <c r="T1395" s="7">
        <f>R1395-S1395</f>
        <v>0</v>
      </c>
      <c r="U1395" s="7">
        <f>T1395*O1395</f>
        <v>0</v>
      </c>
    </row>
    <row r="1396" spans="1:21">
      <c r="A1396" s="4" t="s">
        <v>1991</v>
      </c>
      <c r="B1396" s="4" t="s">
        <v>48</v>
      </c>
      <c r="C1396" s="5">
        <v>45942.20240740741</v>
      </c>
      <c r="D1396" s="5">
        <v>45961</v>
      </c>
      <c r="E1396" s="6">
        <f>IF(AND(C1396&lt;&gt;"",D1396&lt;&gt;""),D1396-C1396,"")</f>
        <v>0</v>
      </c>
      <c r="F1396" s="4" t="s">
        <v>64</v>
      </c>
      <c r="G1396" s="4" t="s">
        <v>1992</v>
      </c>
      <c r="H1396" s="4" t="s">
        <v>32</v>
      </c>
      <c r="I1396" s="4" t="s">
        <v>33</v>
      </c>
      <c r="J1396" s="4">
        <v>2</v>
      </c>
      <c r="K1396" s="4">
        <v>0</v>
      </c>
      <c r="L1396" s="4">
        <f>J1396+K1396</f>
        <v>0</v>
      </c>
      <c r="M1396" s="4"/>
      <c r="N1396" s="4"/>
      <c r="O1396" s="4">
        <v>0</v>
      </c>
      <c r="P1396" s="4"/>
      <c r="Q1396" s="4"/>
      <c r="R1396" s="7">
        <v>0</v>
      </c>
      <c r="S1396" s="7">
        <v>0</v>
      </c>
      <c r="T1396" s="7">
        <f>R1396-S1396</f>
        <v>0</v>
      </c>
      <c r="U1396" s="7">
        <f>T1396*O1396</f>
        <v>0</v>
      </c>
    </row>
    <row r="1397" spans="1:21">
      <c r="A1397" s="4" t="s">
        <v>1993</v>
      </c>
      <c r="B1397" s="4" t="s">
        <v>48</v>
      </c>
      <c r="C1397" s="5">
        <v>45942.20417824074</v>
      </c>
      <c r="D1397" s="5">
        <v>45961</v>
      </c>
      <c r="E1397" s="6">
        <f>IF(AND(C1397&lt;&gt;"",D1397&lt;&gt;""),D1397-C1397,"")</f>
        <v>0</v>
      </c>
      <c r="F1397" s="4" t="s">
        <v>64</v>
      </c>
      <c r="G1397" s="4" t="s">
        <v>1994</v>
      </c>
      <c r="H1397" s="4" t="s">
        <v>32</v>
      </c>
      <c r="I1397" s="4" t="s">
        <v>33</v>
      </c>
      <c r="J1397" s="4">
        <v>1</v>
      </c>
      <c r="K1397" s="4">
        <v>0</v>
      </c>
      <c r="L1397" s="4">
        <f>J1397+K1397</f>
        <v>0</v>
      </c>
      <c r="M1397" s="4"/>
      <c r="N1397" s="4"/>
      <c r="O1397" s="4">
        <v>0</v>
      </c>
      <c r="P1397" s="4"/>
      <c r="Q1397" s="4"/>
      <c r="R1397" s="7">
        <v>0</v>
      </c>
      <c r="S1397" s="7">
        <v>0</v>
      </c>
      <c r="T1397" s="7">
        <f>R1397-S1397</f>
        <v>0</v>
      </c>
      <c r="U1397" s="7">
        <f>T1397*O1397</f>
        <v>0</v>
      </c>
    </row>
    <row r="1398" spans="1:21">
      <c r="A1398" s="4" t="s">
        <v>1995</v>
      </c>
      <c r="B1398" s="4" t="s">
        <v>48</v>
      </c>
      <c r="C1398" s="5">
        <v>45942.20641203703</v>
      </c>
      <c r="D1398" s="5">
        <v>45961</v>
      </c>
      <c r="E1398" s="6">
        <f>IF(AND(C1398&lt;&gt;"",D1398&lt;&gt;""),D1398-C1398,"")</f>
        <v>0</v>
      </c>
      <c r="F1398" s="4" t="s">
        <v>64</v>
      </c>
      <c r="G1398" s="4" t="s">
        <v>1996</v>
      </c>
      <c r="H1398" s="4" t="s">
        <v>32</v>
      </c>
      <c r="I1398" s="4" t="s">
        <v>33</v>
      </c>
      <c r="J1398" s="4">
        <v>6</v>
      </c>
      <c r="K1398" s="4">
        <v>4</v>
      </c>
      <c r="L1398" s="4">
        <f>J1398+K1398</f>
        <v>0</v>
      </c>
      <c r="M1398" s="4"/>
      <c r="N1398" s="4"/>
      <c r="O1398" s="4">
        <v>0</v>
      </c>
      <c r="P1398" s="4"/>
      <c r="Q1398" s="4"/>
      <c r="R1398" s="7">
        <v>0</v>
      </c>
      <c r="S1398" s="7">
        <v>0</v>
      </c>
      <c r="T1398" s="7">
        <f>R1398-S1398</f>
        <v>0</v>
      </c>
      <c r="U1398" s="7">
        <f>T1398*O1398</f>
        <v>0</v>
      </c>
    </row>
    <row r="1399" spans="1:21">
      <c r="A1399" s="4" t="s">
        <v>1997</v>
      </c>
      <c r="B1399" s="4" t="s">
        <v>39</v>
      </c>
      <c r="C1399" s="5">
        <v>45942.31547453703</v>
      </c>
      <c r="D1399" s="5">
        <v>45942</v>
      </c>
      <c r="E1399" s="6">
        <f>IF(AND(C1399&lt;&gt;"",D1399&lt;&gt;""),D1399-C1399,"")</f>
        <v>0</v>
      </c>
      <c r="F1399" s="4" t="s">
        <v>1367</v>
      </c>
      <c r="G1399" s="4" t="s">
        <v>1368</v>
      </c>
      <c r="H1399" s="4" t="s">
        <v>32</v>
      </c>
      <c r="I1399" s="4" t="s">
        <v>33</v>
      </c>
      <c r="J1399" s="4">
        <v>0</v>
      </c>
      <c r="K1399" s="4">
        <v>0</v>
      </c>
      <c r="L1399" s="4">
        <f>J1399+K1399</f>
        <v>0</v>
      </c>
      <c r="M1399" s="4" t="s">
        <v>370</v>
      </c>
      <c r="N1399" s="4"/>
      <c r="O1399" s="4">
        <v>1</v>
      </c>
      <c r="P1399" s="4" t="s">
        <v>135</v>
      </c>
      <c r="Q1399" s="4"/>
      <c r="R1399" s="7">
        <v>108000</v>
      </c>
      <c r="S1399" s="7">
        <v>0</v>
      </c>
      <c r="T1399" s="7">
        <f>R1399-S1399</f>
        <v>0</v>
      </c>
      <c r="U1399" s="7">
        <f>T1399*O1399</f>
        <v>0</v>
      </c>
    </row>
    <row r="1400" spans="1:21">
      <c r="A1400" s="4" t="s">
        <v>1997</v>
      </c>
      <c r="B1400" s="4" t="s">
        <v>39</v>
      </c>
      <c r="C1400" s="5">
        <v>45942.31547453703</v>
      </c>
      <c r="D1400" s="5">
        <v>45942</v>
      </c>
      <c r="E1400" s="6">
        <f>IF(AND(C1400&lt;&gt;"",D1400&lt;&gt;""),D1400-C1400,"")</f>
        <v>0</v>
      </c>
      <c r="F1400" s="4" t="s">
        <v>1367</v>
      </c>
      <c r="G1400" s="4" t="s">
        <v>1368</v>
      </c>
      <c r="H1400" s="4" t="s">
        <v>32</v>
      </c>
      <c r="I1400" s="4" t="s">
        <v>33</v>
      </c>
      <c r="J1400" s="4">
        <v>0</v>
      </c>
      <c r="K1400" s="4">
        <v>0</v>
      </c>
      <c r="L1400" s="4">
        <f>J1400+K1400</f>
        <v>0</v>
      </c>
      <c r="M1400" s="4" t="s">
        <v>1420</v>
      </c>
      <c r="N1400" s="4"/>
      <c r="O1400" s="4">
        <v>-1</v>
      </c>
      <c r="P1400" s="4" t="s">
        <v>135</v>
      </c>
      <c r="Q1400" s="4"/>
      <c r="R1400" s="7">
        <v>108000</v>
      </c>
      <c r="S1400" s="7">
        <v>0</v>
      </c>
      <c r="T1400" s="7">
        <f>R1400-S1400</f>
        <v>0</v>
      </c>
      <c r="U1400" s="7">
        <f>T1400*O1400</f>
        <v>0</v>
      </c>
    </row>
    <row r="1401" spans="1:21">
      <c r="A1401" s="4" t="s">
        <v>1998</v>
      </c>
      <c r="B1401" s="4" t="s">
        <v>39</v>
      </c>
      <c r="C1401" s="5">
        <v>45942.32938657407</v>
      </c>
      <c r="D1401" s="5">
        <v>45942</v>
      </c>
      <c r="E1401" s="6">
        <f>IF(AND(C1401&lt;&gt;"",D1401&lt;&gt;""),D1401-C1401,"")</f>
        <v>0</v>
      </c>
      <c r="F1401" s="4" t="s">
        <v>1367</v>
      </c>
      <c r="G1401" s="4" t="s">
        <v>1368</v>
      </c>
      <c r="H1401" s="4" t="s">
        <v>32</v>
      </c>
      <c r="I1401" s="4" t="s">
        <v>33</v>
      </c>
      <c r="J1401" s="4">
        <v>0</v>
      </c>
      <c r="K1401" s="4">
        <v>0</v>
      </c>
      <c r="L1401" s="4">
        <f>J1401+K1401</f>
        <v>0</v>
      </c>
      <c r="M1401" s="4" t="s">
        <v>1335</v>
      </c>
      <c r="N1401" s="4"/>
      <c r="O1401" s="4">
        <v>-1</v>
      </c>
      <c r="P1401" s="4" t="s">
        <v>43</v>
      </c>
      <c r="Q1401" s="4"/>
      <c r="R1401" s="7">
        <v>45000</v>
      </c>
      <c r="S1401" s="7">
        <v>0</v>
      </c>
      <c r="T1401" s="7">
        <f>R1401-S1401</f>
        <v>0</v>
      </c>
      <c r="U1401" s="7">
        <f>T1401*O1401</f>
        <v>0</v>
      </c>
    </row>
    <row r="1402" spans="1:21">
      <c r="A1402" s="4" t="s">
        <v>1998</v>
      </c>
      <c r="B1402" s="4" t="s">
        <v>39</v>
      </c>
      <c r="C1402" s="5">
        <v>45942.32938657407</v>
      </c>
      <c r="D1402" s="5">
        <v>45942</v>
      </c>
      <c r="E1402" s="6">
        <f>IF(AND(C1402&lt;&gt;"",D1402&lt;&gt;""),D1402-C1402,"")</f>
        <v>0</v>
      </c>
      <c r="F1402" s="4" t="s">
        <v>1367</v>
      </c>
      <c r="G1402" s="4" t="s">
        <v>1368</v>
      </c>
      <c r="H1402" s="4" t="s">
        <v>32</v>
      </c>
      <c r="I1402" s="4" t="s">
        <v>33</v>
      </c>
      <c r="J1402" s="4">
        <v>0</v>
      </c>
      <c r="K1402" s="4">
        <v>0</v>
      </c>
      <c r="L1402" s="4">
        <f>J1402+K1402</f>
        <v>0</v>
      </c>
      <c r="M1402" s="4" t="s">
        <v>370</v>
      </c>
      <c r="N1402" s="4"/>
      <c r="O1402" s="4">
        <v>1</v>
      </c>
      <c r="P1402" s="4" t="s">
        <v>43</v>
      </c>
      <c r="Q1402" s="4"/>
      <c r="R1402" s="7">
        <v>45000</v>
      </c>
      <c r="S1402" s="7">
        <v>0</v>
      </c>
      <c r="T1402" s="7">
        <f>R1402-S1402</f>
        <v>0</v>
      </c>
      <c r="U1402" s="7">
        <f>T1402*O1402</f>
        <v>0</v>
      </c>
    </row>
    <row r="1403" spans="1:21">
      <c r="A1403" s="4" t="s">
        <v>1999</v>
      </c>
      <c r="B1403" s="4" t="s">
        <v>48</v>
      </c>
      <c r="C1403" s="5">
        <v>45942.36313657407</v>
      </c>
      <c r="D1403" s="5">
        <v>45961</v>
      </c>
      <c r="E1403" s="6">
        <f>IF(AND(C1403&lt;&gt;"",D1403&lt;&gt;""),D1403-C1403,"")</f>
        <v>0</v>
      </c>
      <c r="F1403" s="4" t="s">
        <v>64</v>
      </c>
      <c r="G1403" s="4" t="s">
        <v>2000</v>
      </c>
      <c r="H1403" s="4" t="s">
        <v>32</v>
      </c>
      <c r="I1403" s="4" t="s">
        <v>33</v>
      </c>
      <c r="J1403" s="4">
        <v>2</v>
      </c>
      <c r="K1403" s="4">
        <v>0</v>
      </c>
      <c r="L1403" s="4">
        <f>J1403+K1403</f>
        <v>0</v>
      </c>
      <c r="M1403" s="4"/>
      <c r="N1403" s="4"/>
      <c r="O1403" s="4">
        <v>0</v>
      </c>
      <c r="P1403" s="4"/>
      <c r="Q1403" s="4"/>
      <c r="R1403" s="7">
        <v>0</v>
      </c>
      <c r="S1403" s="7">
        <v>0</v>
      </c>
      <c r="T1403" s="7">
        <f>R1403-S1403</f>
        <v>0</v>
      </c>
      <c r="U1403" s="7">
        <f>T1403*O1403</f>
        <v>0</v>
      </c>
    </row>
    <row r="1404" spans="1:21">
      <c r="A1404" s="4" t="s">
        <v>2001</v>
      </c>
      <c r="B1404" s="4" t="s">
        <v>48</v>
      </c>
      <c r="C1404" s="5">
        <v>45942.376875</v>
      </c>
      <c r="D1404" s="5">
        <v>45961</v>
      </c>
      <c r="E1404" s="6">
        <f>IF(AND(C1404&lt;&gt;"",D1404&lt;&gt;""),D1404-C1404,"")</f>
        <v>0</v>
      </c>
      <c r="F1404" s="4" t="s">
        <v>2002</v>
      </c>
      <c r="G1404" s="4" t="s">
        <v>2003</v>
      </c>
      <c r="H1404" s="4" t="s">
        <v>32</v>
      </c>
      <c r="I1404" s="4" t="s">
        <v>33</v>
      </c>
      <c r="J1404" s="4">
        <v>2</v>
      </c>
      <c r="K1404" s="4">
        <v>0</v>
      </c>
      <c r="L1404" s="4">
        <f>J1404+K1404</f>
        <v>0</v>
      </c>
      <c r="M1404" s="4"/>
      <c r="N1404" s="4"/>
      <c r="O1404" s="4">
        <v>0</v>
      </c>
      <c r="P1404" s="4"/>
      <c r="Q1404" s="4"/>
      <c r="R1404" s="7">
        <v>0</v>
      </c>
      <c r="S1404" s="7">
        <v>0</v>
      </c>
      <c r="T1404" s="7">
        <f>R1404-S1404</f>
        <v>0</v>
      </c>
      <c r="U1404" s="7">
        <f>T1404*O1404</f>
        <v>0</v>
      </c>
    </row>
    <row r="1405" spans="1:21">
      <c r="A1405" s="4" t="s">
        <v>2004</v>
      </c>
      <c r="B1405" s="4" t="s">
        <v>48</v>
      </c>
      <c r="C1405" s="5">
        <v>45942.38893518518</v>
      </c>
      <c r="D1405" s="5">
        <v>45961</v>
      </c>
      <c r="E1405" s="6">
        <f>IF(AND(C1405&lt;&gt;"",D1405&lt;&gt;""),D1405-C1405,"")</f>
        <v>0</v>
      </c>
      <c r="F1405" s="4" t="s">
        <v>64</v>
      </c>
      <c r="G1405" s="4" t="s">
        <v>2005</v>
      </c>
      <c r="H1405" s="4" t="s">
        <v>32</v>
      </c>
      <c r="I1405" s="4" t="s">
        <v>33</v>
      </c>
      <c r="J1405" s="4">
        <v>3</v>
      </c>
      <c r="K1405" s="4">
        <v>0</v>
      </c>
      <c r="L1405" s="4">
        <f>J1405+K1405</f>
        <v>0</v>
      </c>
      <c r="M1405" s="4"/>
      <c r="N1405" s="4"/>
      <c r="O1405" s="4">
        <v>0</v>
      </c>
      <c r="P1405" s="4"/>
      <c r="Q1405" s="4"/>
      <c r="R1405" s="7">
        <v>0</v>
      </c>
      <c r="S1405" s="7">
        <v>0</v>
      </c>
      <c r="T1405" s="7">
        <f>R1405-S1405</f>
        <v>0</v>
      </c>
      <c r="U1405" s="7">
        <f>T1405*O1405</f>
        <v>0</v>
      </c>
    </row>
    <row r="1406" spans="1:21">
      <c r="A1406" s="4" t="s">
        <v>2006</v>
      </c>
      <c r="B1406" s="4" t="s">
        <v>48</v>
      </c>
      <c r="C1406" s="5">
        <v>45942.39024305555</v>
      </c>
      <c r="D1406" s="5">
        <v>45961</v>
      </c>
      <c r="E1406" s="6">
        <f>IF(AND(C1406&lt;&gt;"",D1406&lt;&gt;""),D1406-C1406,"")</f>
        <v>0</v>
      </c>
      <c r="F1406" s="4" t="s">
        <v>64</v>
      </c>
      <c r="G1406" s="4" t="s">
        <v>2007</v>
      </c>
      <c r="H1406" s="4" t="s">
        <v>32</v>
      </c>
      <c r="I1406" s="4" t="s">
        <v>33</v>
      </c>
      <c r="J1406" s="4">
        <v>1</v>
      </c>
      <c r="K1406" s="4">
        <v>0</v>
      </c>
      <c r="L1406" s="4">
        <f>J1406+K1406</f>
        <v>0</v>
      </c>
      <c r="M1406" s="4"/>
      <c r="N1406" s="4"/>
      <c r="O1406" s="4">
        <v>0</v>
      </c>
      <c r="P1406" s="4"/>
      <c r="Q1406" s="4"/>
      <c r="R1406" s="7">
        <v>0</v>
      </c>
      <c r="S1406" s="7">
        <v>0</v>
      </c>
      <c r="T1406" s="7">
        <f>R1406-S1406</f>
        <v>0</v>
      </c>
      <c r="U1406" s="7">
        <f>T1406*O1406</f>
        <v>0</v>
      </c>
    </row>
    <row r="1407" spans="1:21">
      <c r="A1407" s="4" t="s">
        <v>2008</v>
      </c>
      <c r="B1407" s="4" t="s">
        <v>48</v>
      </c>
      <c r="C1407" s="5">
        <v>45942.39223379629</v>
      </c>
      <c r="D1407" s="5">
        <v>45961</v>
      </c>
      <c r="E1407" s="6">
        <f>IF(AND(C1407&lt;&gt;"",D1407&lt;&gt;""),D1407-C1407,"")</f>
        <v>0</v>
      </c>
      <c r="F1407" s="4" t="s">
        <v>219</v>
      </c>
      <c r="G1407" s="4" t="s">
        <v>220</v>
      </c>
      <c r="H1407" s="4" t="s">
        <v>32</v>
      </c>
      <c r="I1407" s="4" t="s">
        <v>33</v>
      </c>
      <c r="J1407" s="4">
        <v>2</v>
      </c>
      <c r="K1407" s="4">
        <v>0</v>
      </c>
      <c r="L1407" s="4">
        <f>J1407+K1407</f>
        <v>0</v>
      </c>
      <c r="M1407" s="4"/>
      <c r="N1407" s="4"/>
      <c r="O1407" s="4">
        <v>0</v>
      </c>
      <c r="P1407" s="4"/>
      <c r="Q1407" s="4"/>
      <c r="R1407" s="7">
        <v>0</v>
      </c>
      <c r="S1407" s="7">
        <v>0</v>
      </c>
      <c r="T1407" s="7">
        <f>R1407-S1407</f>
        <v>0</v>
      </c>
      <c r="U1407" s="7">
        <f>T1407*O1407</f>
        <v>0</v>
      </c>
    </row>
    <row r="1408" spans="1:21">
      <c r="A1408" s="4" t="s">
        <v>2009</v>
      </c>
      <c r="B1408" s="4" t="s">
        <v>48</v>
      </c>
      <c r="C1408" s="5">
        <v>45942.394375</v>
      </c>
      <c r="D1408" s="5">
        <v>45961</v>
      </c>
      <c r="E1408" s="6">
        <f>IF(AND(C1408&lt;&gt;"",D1408&lt;&gt;""),D1408-C1408,"")</f>
        <v>0</v>
      </c>
      <c r="F1408" s="4" t="s">
        <v>64</v>
      </c>
      <c r="G1408" s="4" t="s">
        <v>2010</v>
      </c>
      <c r="H1408" s="4" t="s">
        <v>32</v>
      </c>
      <c r="I1408" s="4" t="s">
        <v>33</v>
      </c>
      <c r="J1408" s="4">
        <v>1</v>
      </c>
      <c r="K1408" s="4">
        <v>0</v>
      </c>
      <c r="L1408" s="4">
        <f>J1408+K1408</f>
        <v>0</v>
      </c>
      <c r="M1408" s="4"/>
      <c r="N1408" s="4"/>
      <c r="O1408" s="4">
        <v>0</v>
      </c>
      <c r="P1408" s="4"/>
      <c r="Q1408" s="4"/>
      <c r="R1408" s="7">
        <v>0</v>
      </c>
      <c r="S1408" s="7">
        <v>0</v>
      </c>
      <c r="T1408" s="7">
        <f>R1408-S1408</f>
        <v>0</v>
      </c>
      <c r="U1408" s="7">
        <f>T1408*O1408</f>
        <v>0</v>
      </c>
    </row>
    <row r="1409" spans="1:21">
      <c r="A1409" s="4" t="s">
        <v>2011</v>
      </c>
      <c r="B1409" s="4" t="s">
        <v>48</v>
      </c>
      <c r="C1409" s="5">
        <v>45942.39564814815</v>
      </c>
      <c r="D1409" s="5">
        <v>45961</v>
      </c>
      <c r="E1409" s="6">
        <f>IF(AND(C1409&lt;&gt;"",D1409&lt;&gt;""),D1409-C1409,"")</f>
        <v>0</v>
      </c>
      <c r="F1409" s="4" t="s">
        <v>2012</v>
      </c>
      <c r="G1409" s="4" t="s">
        <v>2013</v>
      </c>
      <c r="H1409" s="4" t="s">
        <v>32</v>
      </c>
      <c r="I1409" s="4" t="s">
        <v>33</v>
      </c>
      <c r="J1409" s="4">
        <v>1</v>
      </c>
      <c r="K1409" s="4">
        <v>0</v>
      </c>
      <c r="L1409" s="4">
        <f>J1409+K1409</f>
        <v>0</v>
      </c>
      <c r="M1409" s="4"/>
      <c r="N1409" s="4"/>
      <c r="O1409" s="4">
        <v>0</v>
      </c>
      <c r="P1409" s="4"/>
      <c r="Q1409" s="4"/>
      <c r="R1409" s="7">
        <v>0</v>
      </c>
      <c r="S1409" s="7">
        <v>0</v>
      </c>
      <c r="T1409" s="7">
        <f>R1409-S1409</f>
        <v>0</v>
      </c>
      <c r="U1409" s="7">
        <f>T1409*O1409</f>
        <v>0</v>
      </c>
    </row>
    <row r="1410" spans="1:21">
      <c r="A1410" s="4" t="s">
        <v>2014</v>
      </c>
      <c r="B1410" s="4" t="s">
        <v>48</v>
      </c>
      <c r="C1410" s="5">
        <v>45942.39744212963</v>
      </c>
      <c r="D1410" s="5">
        <v>45961</v>
      </c>
      <c r="E1410" s="6">
        <f>IF(AND(C1410&lt;&gt;"",D1410&lt;&gt;""),D1410-C1410,"")</f>
        <v>0</v>
      </c>
      <c r="F1410" s="4" t="s">
        <v>219</v>
      </c>
      <c r="G1410" s="4" t="s">
        <v>220</v>
      </c>
      <c r="H1410" s="4" t="s">
        <v>32</v>
      </c>
      <c r="I1410" s="4" t="s">
        <v>33</v>
      </c>
      <c r="J1410" s="4">
        <v>1</v>
      </c>
      <c r="K1410" s="4">
        <v>0</v>
      </c>
      <c r="L1410" s="4">
        <f>J1410+K1410</f>
        <v>0</v>
      </c>
      <c r="M1410" s="4"/>
      <c r="N1410" s="4"/>
      <c r="O1410" s="4">
        <v>0</v>
      </c>
      <c r="P1410" s="4"/>
      <c r="Q1410" s="4"/>
      <c r="R1410" s="7">
        <v>0</v>
      </c>
      <c r="S1410" s="7">
        <v>0</v>
      </c>
      <c r="T1410" s="7">
        <f>R1410-S1410</f>
        <v>0</v>
      </c>
      <c r="U1410" s="7">
        <f>T1410*O1410</f>
        <v>0</v>
      </c>
    </row>
    <row r="1411" spans="1:21">
      <c r="A1411" s="4" t="s">
        <v>2015</v>
      </c>
      <c r="B1411" s="4" t="s">
        <v>48</v>
      </c>
      <c r="C1411" s="5">
        <v>45942.39966435185</v>
      </c>
      <c r="D1411" s="5">
        <v>45961</v>
      </c>
      <c r="E1411" s="6">
        <f>IF(AND(C1411&lt;&gt;"",D1411&lt;&gt;""),D1411-C1411,"")</f>
        <v>0</v>
      </c>
      <c r="F1411" s="4" t="s">
        <v>201</v>
      </c>
      <c r="G1411" s="4" t="s">
        <v>202</v>
      </c>
      <c r="H1411" s="4" t="s">
        <v>32</v>
      </c>
      <c r="I1411" s="4" t="s">
        <v>33</v>
      </c>
      <c r="J1411" s="4">
        <v>1</v>
      </c>
      <c r="K1411" s="4">
        <v>0</v>
      </c>
      <c r="L1411" s="4">
        <f>J1411+K1411</f>
        <v>0</v>
      </c>
      <c r="M1411" s="4"/>
      <c r="N1411" s="4"/>
      <c r="O1411" s="4">
        <v>0</v>
      </c>
      <c r="P1411" s="4"/>
      <c r="Q1411" s="4"/>
      <c r="R1411" s="7">
        <v>0</v>
      </c>
      <c r="S1411" s="7">
        <v>0</v>
      </c>
      <c r="T1411" s="7">
        <f>R1411-S1411</f>
        <v>0</v>
      </c>
      <c r="U1411" s="7">
        <f>T1411*O1411</f>
        <v>0</v>
      </c>
    </row>
    <row r="1412" spans="1:21">
      <c r="A1412" s="4" t="s">
        <v>2016</v>
      </c>
      <c r="B1412" s="4" t="s">
        <v>48</v>
      </c>
      <c r="C1412" s="5">
        <v>45942.73877314815</v>
      </c>
      <c r="D1412" s="5">
        <v>45961</v>
      </c>
      <c r="E1412" s="6">
        <f>IF(AND(C1412&lt;&gt;"",D1412&lt;&gt;""),D1412-C1412,"")</f>
        <v>0</v>
      </c>
      <c r="F1412" s="4" t="s">
        <v>201</v>
      </c>
      <c r="G1412" s="4" t="s">
        <v>202</v>
      </c>
      <c r="H1412" s="4" t="s">
        <v>32</v>
      </c>
      <c r="I1412" s="4" t="s">
        <v>33</v>
      </c>
      <c r="J1412" s="4">
        <v>1</v>
      </c>
      <c r="K1412" s="4">
        <v>0</v>
      </c>
      <c r="L1412" s="4">
        <f>J1412+K1412</f>
        <v>0</v>
      </c>
      <c r="M1412" s="4"/>
      <c r="N1412" s="4"/>
      <c r="O1412" s="4">
        <v>0</v>
      </c>
      <c r="P1412" s="4"/>
      <c r="Q1412" s="4"/>
      <c r="R1412" s="7">
        <v>0</v>
      </c>
      <c r="S1412" s="7">
        <v>0</v>
      </c>
      <c r="T1412" s="7">
        <f>R1412-S1412</f>
        <v>0</v>
      </c>
      <c r="U1412" s="7">
        <f>T1412*O1412</f>
        <v>0</v>
      </c>
    </row>
    <row r="1413" spans="1:21">
      <c r="A1413" s="4" t="s">
        <v>2017</v>
      </c>
      <c r="B1413" s="4"/>
      <c r="C1413" s="5">
        <v>45942.75037037037</v>
      </c>
      <c r="D1413" s="5">
        <v>45961</v>
      </c>
      <c r="E1413" s="6">
        <f>IF(AND(C1413&lt;&gt;"",D1413&lt;&gt;""),D1413-C1413,"")</f>
        <v>0</v>
      </c>
      <c r="F1413" s="4" t="s">
        <v>30</v>
      </c>
      <c r="G1413" s="4" t="s">
        <v>31</v>
      </c>
      <c r="H1413" s="4" t="s">
        <v>32</v>
      </c>
      <c r="I1413" s="4" t="s">
        <v>33</v>
      </c>
      <c r="J1413" s="4">
        <v>2</v>
      </c>
      <c r="K1413" s="4">
        <v>0</v>
      </c>
      <c r="L1413" s="4">
        <f>J1413+K1413</f>
        <v>0</v>
      </c>
      <c r="M1413" s="4"/>
      <c r="N1413" s="4"/>
      <c r="O1413" s="4">
        <v>0</v>
      </c>
      <c r="P1413" s="4"/>
      <c r="Q1413" s="4"/>
      <c r="R1413" s="7">
        <v>0</v>
      </c>
      <c r="S1413" s="7">
        <v>0</v>
      </c>
      <c r="T1413" s="7">
        <f>R1413-S1413</f>
        <v>0</v>
      </c>
      <c r="U1413" s="7">
        <f>T1413*O1413</f>
        <v>0</v>
      </c>
    </row>
    <row r="1414" spans="1:21">
      <c r="A1414" s="4" t="s">
        <v>2018</v>
      </c>
      <c r="B1414" s="4"/>
      <c r="C1414" s="5">
        <v>45942.75094907408</v>
      </c>
      <c r="D1414" s="5">
        <v>45961</v>
      </c>
      <c r="E1414" s="6">
        <f>IF(AND(C1414&lt;&gt;"",D1414&lt;&gt;""),D1414-C1414,"")</f>
        <v>0</v>
      </c>
      <c r="F1414" s="4" t="s">
        <v>201</v>
      </c>
      <c r="G1414" s="4" t="s">
        <v>202</v>
      </c>
      <c r="H1414" s="4" t="s">
        <v>32</v>
      </c>
      <c r="I1414" s="4" t="s">
        <v>33</v>
      </c>
      <c r="J1414" s="4">
        <v>1</v>
      </c>
      <c r="K1414" s="4">
        <v>0</v>
      </c>
      <c r="L1414" s="4">
        <f>J1414+K1414</f>
        <v>0</v>
      </c>
      <c r="M1414" s="4"/>
      <c r="N1414" s="4"/>
      <c r="O1414" s="4">
        <v>0</v>
      </c>
      <c r="P1414" s="4"/>
      <c r="Q1414" s="4"/>
      <c r="R1414" s="7">
        <v>0</v>
      </c>
      <c r="S1414" s="7">
        <v>0</v>
      </c>
      <c r="T1414" s="7">
        <f>R1414-S1414</f>
        <v>0</v>
      </c>
      <c r="U1414" s="7">
        <f>T1414*O1414</f>
        <v>0</v>
      </c>
    </row>
    <row r="1415" spans="1:21">
      <c r="A1415" s="4" t="s">
        <v>2019</v>
      </c>
      <c r="B1415" s="4"/>
      <c r="C1415" s="5">
        <v>45942.75157407407</v>
      </c>
      <c r="D1415" s="5">
        <v>45943.75</v>
      </c>
      <c r="E1415" s="6">
        <f>IF(AND(C1415&lt;&gt;"",D1415&lt;&gt;""),D1415-C1415,"")</f>
        <v>0</v>
      </c>
      <c r="F1415" s="4" t="s">
        <v>64</v>
      </c>
      <c r="G1415" s="4" t="s">
        <v>664</v>
      </c>
      <c r="H1415" s="4" t="s">
        <v>32</v>
      </c>
      <c r="I1415" s="4" t="s">
        <v>33</v>
      </c>
      <c r="J1415" s="4">
        <v>1</v>
      </c>
      <c r="K1415" s="4">
        <v>0</v>
      </c>
      <c r="L1415" s="4">
        <f>J1415+K1415</f>
        <v>0</v>
      </c>
      <c r="M1415" s="4"/>
      <c r="N1415" s="4"/>
      <c r="O1415" s="4">
        <v>0</v>
      </c>
      <c r="P1415" s="4"/>
      <c r="Q1415" s="4"/>
      <c r="R1415" s="7">
        <v>0</v>
      </c>
      <c r="S1415" s="7">
        <v>0</v>
      </c>
      <c r="T1415" s="7">
        <f>R1415-S1415</f>
        <v>0</v>
      </c>
      <c r="U1415" s="7">
        <f>T1415*O1415</f>
        <v>0</v>
      </c>
    </row>
    <row r="1416" spans="1:21">
      <c r="A1416" s="4" t="s">
        <v>2020</v>
      </c>
      <c r="B1416" s="4" t="s">
        <v>48</v>
      </c>
      <c r="C1416" s="5">
        <v>45942.76484953704</v>
      </c>
      <c r="D1416" s="5">
        <v>45961</v>
      </c>
      <c r="E1416" s="6">
        <f>IF(AND(C1416&lt;&gt;"",D1416&lt;&gt;""),D1416-C1416,"")</f>
        <v>0</v>
      </c>
      <c r="F1416" s="4" t="s">
        <v>2021</v>
      </c>
      <c r="G1416" s="4" t="s">
        <v>287</v>
      </c>
      <c r="H1416" s="4"/>
      <c r="I1416" s="4" t="s">
        <v>56</v>
      </c>
      <c r="J1416" s="4">
        <v>0</v>
      </c>
      <c r="K1416" s="4">
        <v>5</v>
      </c>
      <c r="L1416" s="4">
        <f>J1416+K1416</f>
        <v>0</v>
      </c>
      <c r="M1416" s="4"/>
      <c r="N1416" s="4"/>
      <c r="O1416" s="4">
        <v>0</v>
      </c>
      <c r="P1416" s="4"/>
      <c r="Q1416" s="4"/>
      <c r="R1416" s="7">
        <v>0</v>
      </c>
      <c r="S1416" s="7">
        <v>0</v>
      </c>
      <c r="T1416" s="7">
        <f>R1416-S1416</f>
        <v>0</v>
      </c>
      <c r="U1416" s="7">
        <f>T1416*O1416</f>
        <v>0</v>
      </c>
    </row>
    <row r="1417" spans="1:21">
      <c r="A1417" s="4" t="s">
        <v>2020</v>
      </c>
      <c r="B1417" s="4" t="s">
        <v>48</v>
      </c>
      <c r="C1417" s="5">
        <v>45942.76484953704</v>
      </c>
      <c r="D1417" s="5">
        <v>45961</v>
      </c>
      <c r="E1417" s="6">
        <f>IF(AND(C1417&lt;&gt;"",D1417&lt;&gt;""),D1417-C1417,"")</f>
        <v>0</v>
      </c>
      <c r="F1417" s="4" t="s">
        <v>2022</v>
      </c>
      <c r="G1417" s="4" t="s">
        <v>287</v>
      </c>
      <c r="H1417" s="4"/>
      <c r="I1417" s="4" t="s">
        <v>56</v>
      </c>
      <c r="J1417" s="4">
        <v>3</v>
      </c>
      <c r="K1417" s="4">
        <v>0</v>
      </c>
      <c r="L1417" s="4">
        <f>J1417+K1417</f>
        <v>0</v>
      </c>
      <c r="M1417" s="4"/>
      <c r="N1417" s="4"/>
      <c r="O1417" s="4">
        <v>0</v>
      </c>
      <c r="P1417" s="4"/>
      <c r="Q1417" s="4"/>
      <c r="R1417" s="7">
        <v>0</v>
      </c>
      <c r="S1417" s="7">
        <v>0</v>
      </c>
      <c r="T1417" s="7">
        <f>R1417-S1417</f>
        <v>0</v>
      </c>
      <c r="U1417" s="7">
        <f>T1417*O1417</f>
        <v>0</v>
      </c>
    </row>
    <row r="1418" spans="1:21">
      <c r="A1418" s="4" t="s">
        <v>2020</v>
      </c>
      <c r="B1418" s="4" t="s">
        <v>48</v>
      </c>
      <c r="C1418" s="5">
        <v>45942.76484953704</v>
      </c>
      <c r="D1418" s="5">
        <v>45961</v>
      </c>
      <c r="E1418" s="6">
        <f>IF(AND(C1418&lt;&gt;"",D1418&lt;&gt;""),D1418-C1418,"")</f>
        <v>0</v>
      </c>
      <c r="F1418" s="4" t="s">
        <v>2023</v>
      </c>
      <c r="G1418" s="4" t="s">
        <v>287</v>
      </c>
      <c r="H1418" s="4"/>
      <c r="I1418" s="4" t="s">
        <v>56</v>
      </c>
      <c r="J1418" s="4">
        <v>0</v>
      </c>
      <c r="K1418" s="4">
        <v>3</v>
      </c>
      <c r="L1418" s="4">
        <f>J1418+K1418</f>
        <v>0</v>
      </c>
      <c r="M1418" s="4"/>
      <c r="N1418" s="4"/>
      <c r="O1418" s="4">
        <v>0</v>
      </c>
      <c r="P1418" s="4"/>
      <c r="Q1418" s="4"/>
      <c r="R1418" s="7">
        <v>0</v>
      </c>
      <c r="S1418" s="7">
        <v>0</v>
      </c>
      <c r="T1418" s="7">
        <f>R1418-S1418</f>
        <v>0</v>
      </c>
      <c r="U1418" s="7">
        <f>T1418*O1418</f>
        <v>0</v>
      </c>
    </row>
    <row r="1419" spans="1:21">
      <c r="A1419" s="4" t="s">
        <v>2024</v>
      </c>
      <c r="B1419" s="4" t="s">
        <v>48</v>
      </c>
      <c r="C1419" s="5">
        <v>45942.76484953704</v>
      </c>
      <c r="D1419" s="5">
        <v>45961</v>
      </c>
      <c r="E1419" s="6">
        <f>IF(AND(C1419&lt;&gt;"",D1419&lt;&gt;""),D1419-C1419,"")</f>
        <v>0</v>
      </c>
      <c r="F1419" s="4" t="s">
        <v>2025</v>
      </c>
      <c r="G1419" s="4" t="s">
        <v>287</v>
      </c>
      <c r="H1419" s="4"/>
      <c r="I1419" s="4" t="s">
        <v>56</v>
      </c>
      <c r="J1419" s="4">
        <v>0</v>
      </c>
      <c r="K1419" s="4">
        <v>2</v>
      </c>
      <c r="L1419" s="4">
        <f>J1419+K1419</f>
        <v>0</v>
      </c>
      <c r="M1419" s="4"/>
      <c r="N1419" s="4"/>
      <c r="O1419" s="4">
        <v>0</v>
      </c>
      <c r="P1419" s="4"/>
      <c r="Q1419" s="4"/>
      <c r="R1419" s="7">
        <v>0</v>
      </c>
      <c r="S1419" s="7">
        <v>0</v>
      </c>
      <c r="T1419" s="7">
        <f>R1419-S1419</f>
        <v>0</v>
      </c>
      <c r="U1419" s="7">
        <f>T1419*O1419</f>
        <v>0</v>
      </c>
    </row>
    <row r="1420" spans="1:21">
      <c r="A1420" s="4" t="s">
        <v>2024</v>
      </c>
      <c r="B1420" s="4" t="s">
        <v>48</v>
      </c>
      <c r="C1420" s="5">
        <v>45942.76484953704</v>
      </c>
      <c r="D1420" s="5">
        <v>45961</v>
      </c>
      <c r="E1420" s="6">
        <f>IF(AND(C1420&lt;&gt;"",D1420&lt;&gt;""),D1420-C1420,"")</f>
        <v>0</v>
      </c>
      <c r="F1420" s="4" t="s">
        <v>2026</v>
      </c>
      <c r="G1420" s="4" t="s">
        <v>287</v>
      </c>
      <c r="H1420" s="4"/>
      <c r="I1420" s="4" t="s">
        <v>56</v>
      </c>
      <c r="J1420" s="4">
        <v>0</v>
      </c>
      <c r="K1420" s="4">
        <v>4</v>
      </c>
      <c r="L1420" s="4">
        <f>J1420+K1420</f>
        <v>0</v>
      </c>
      <c r="M1420" s="4"/>
      <c r="N1420" s="4"/>
      <c r="O1420" s="4">
        <v>0</v>
      </c>
      <c r="P1420" s="4"/>
      <c r="Q1420" s="4"/>
      <c r="R1420" s="7">
        <v>0</v>
      </c>
      <c r="S1420" s="7">
        <v>0</v>
      </c>
      <c r="T1420" s="7">
        <f>R1420-S1420</f>
        <v>0</v>
      </c>
      <c r="U1420" s="7">
        <f>T1420*O1420</f>
        <v>0</v>
      </c>
    </row>
    <row r="1421" spans="1:21">
      <c r="A1421" s="4" t="s">
        <v>2024</v>
      </c>
      <c r="B1421" s="4" t="s">
        <v>48</v>
      </c>
      <c r="C1421" s="5">
        <v>45942.76484953704</v>
      </c>
      <c r="D1421" s="5">
        <v>45961</v>
      </c>
      <c r="E1421" s="6">
        <f>IF(AND(C1421&lt;&gt;"",D1421&lt;&gt;""),D1421-C1421,"")</f>
        <v>0</v>
      </c>
      <c r="F1421" s="4" t="s">
        <v>2027</v>
      </c>
      <c r="G1421" s="4" t="s">
        <v>287</v>
      </c>
      <c r="H1421" s="4"/>
      <c r="I1421" s="4" t="s">
        <v>56</v>
      </c>
      <c r="J1421" s="4">
        <v>4</v>
      </c>
      <c r="K1421" s="4">
        <v>0</v>
      </c>
      <c r="L1421" s="4">
        <f>J1421+K1421</f>
        <v>0</v>
      </c>
      <c r="M1421" s="4"/>
      <c r="N1421" s="4"/>
      <c r="O1421" s="4">
        <v>0</v>
      </c>
      <c r="P1421" s="4"/>
      <c r="Q1421" s="4"/>
      <c r="R1421" s="7">
        <v>0</v>
      </c>
      <c r="S1421" s="7">
        <v>0</v>
      </c>
      <c r="T1421" s="7">
        <f>R1421-S1421</f>
        <v>0</v>
      </c>
      <c r="U1421" s="7">
        <f>T1421*O1421</f>
        <v>0</v>
      </c>
    </row>
    <row r="1422" spans="1:21">
      <c r="A1422" s="4" t="s">
        <v>2028</v>
      </c>
      <c r="B1422" s="4" t="s">
        <v>48</v>
      </c>
      <c r="C1422" s="5">
        <v>45942.76486111111</v>
      </c>
      <c r="D1422" s="5">
        <v>45961</v>
      </c>
      <c r="E1422" s="6">
        <f>IF(AND(C1422&lt;&gt;"",D1422&lt;&gt;""),D1422-C1422,"")</f>
        <v>0</v>
      </c>
      <c r="F1422" s="4" t="s">
        <v>2029</v>
      </c>
      <c r="G1422" s="4" t="s">
        <v>287</v>
      </c>
      <c r="H1422" s="4"/>
      <c r="I1422" s="4" t="s">
        <v>56</v>
      </c>
      <c r="J1422" s="4">
        <v>16</v>
      </c>
      <c r="K1422" s="4">
        <v>0</v>
      </c>
      <c r="L1422" s="4">
        <f>J1422+K1422</f>
        <v>0</v>
      </c>
      <c r="M1422" s="4"/>
      <c r="N1422" s="4"/>
      <c r="O1422" s="4">
        <v>0</v>
      </c>
      <c r="P1422" s="4"/>
      <c r="Q1422" s="4"/>
      <c r="R1422" s="7">
        <v>0</v>
      </c>
      <c r="S1422" s="7">
        <v>0</v>
      </c>
      <c r="T1422" s="7">
        <f>R1422-S1422</f>
        <v>0</v>
      </c>
      <c r="U1422" s="7">
        <f>T1422*O1422</f>
        <v>0</v>
      </c>
    </row>
    <row r="1423" spans="1:21">
      <c r="A1423" s="4" t="s">
        <v>2028</v>
      </c>
      <c r="B1423" s="4" t="s">
        <v>48</v>
      </c>
      <c r="C1423" s="5">
        <v>45942.76486111111</v>
      </c>
      <c r="D1423" s="5">
        <v>45961</v>
      </c>
      <c r="E1423" s="6">
        <f>IF(AND(C1423&lt;&gt;"",D1423&lt;&gt;""),D1423-C1423,"")</f>
        <v>0</v>
      </c>
      <c r="F1423" s="4" t="s">
        <v>2030</v>
      </c>
      <c r="G1423" s="4" t="s">
        <v>287</v>
      </c>
      <c r="H1423" s="4"/>
      <c r="I1423" s="4" t="s">
        <v>56</v>
      </c>
      <c r="J1423" s="4">
        <v>3</v>
      </c>
      <c r="K1423" s="4">
        <v>0</v>
      </c>
      <c r="L1423" s="4">
        <f>J1423+K1423</f>
        <v>0</v>
      </c>
      <c r="M1423" s="4"/>
      <c r="N1423" s="4"/>
      <c r="O1423" s="4">
        <v>0</v>
      </c>
      <c r="P1423" s="4"/>
      <c r="Q1423" s="4"/>
      <c r="R1423" s="7">
        <v>0</v>
      </c>
      <c r="S1423" s="7">
        <v>0</v>
      </c>
      <c r="T1423" s="7">
        <f>R1423-S1423</f>
        <v>0</v>
      </c>
      <c r="U1423" s="7">
        <f>T1423*O1423</f>
        <v>0</v>
      </c>
    </row>
    <row r="1424" spans="1:21">
      <c r="A1424" s="4" t="s">
        <v>2028</v>
      </c>
      <c r="B1424" s="4" t="s">
        <v>48</v>
      </c>
      <c r="C1424" s="5">
        <v>45942.76486111111</v>
      </c>
      <c r="D1424" s="5">
        <v>45961</v>
      </c>
      <c r="E1424" s="6">
        <f>IF(AND(C1424&lt;&gt;"",D1424&lt;&gt;""),D1424-C1424,"")</f>
        <v>0</v>
      </c>
      <c r="F1424" s="4" t="s">
        <v>2031</v>
      </c>
      <c r="G1424" s="4" t="s">
        <v>287</v>
      </c>
      <c r="H1424" s="4"/>
      <c r="I1424" s="4" t="s">
        <v>56</v>
      </c>
      <c r="J1424" s="4">
        <v>3</v>
      </c>
      <c r="K1424" s="4">
        <v>0</v>
      </c>
      <c r="L1424" s="4">
        <f>J1424+K1424</f>
        <v>0</v>
      </c>
      <c r="M1424" s="4"/>
      <c r="N1424" s="4"/>
      <c r="O1424" s="4">
        <v>0</v>
      </c>
      <c r="P1424" s="4"/>
      <c r="Q1424" s="4"/>
      <c r="R1424" s="7">
        <v>0</v>
      </c>
      <c r="S1424" s="7">
        <v>0</v>
      </c>
      <c r="T1424" s="7">
        <f>R1424-S1424</f>
        <v>0</v>
      </c>
      <c r="U1424" s="7">
        <f>T1424*O1424</f>
        <v>0</v>
      </c>
    </row>
    <row r="1425" spans="1:21">
      <c r="A1425" s="4" t="s">
        <v>2032</v>
      </c>
      <c r="B1425" s="4" t="s">
        <v>48</v>
      </c>
      <c r="C1425" s="5">
        <v>45942.76486111111</v>
      </c>
      <c r="D1425" s="5">
        <v>45961</v>
      </c>
      <c r="E1425" s="6">
        <f>IF(AND(C1425&lt;&gt;"",D1425&lt;&gt;""),D1425-C1425,"")</f>
        <v>0</v>
      </c>
      <c r="F1425" s="4" t="s">
        <v>2033</v>
      </c>
      <c r="G1425" s="4" t="s">
        <v>287</v>
      </c>
      <c r="H1425" s="4"/>
      <c r="I1425" s="4" t="s">
        <v>56</v>
      </c>
      <c r="J1425" s="4">
        <v>5</v>
      </c>
      <c r="K1425" s="4">
        <v>0</v>
      </c>
      <c r="L1425" s="4">
        <f>J1425+K1425</f>
        <v>0</v>
      </c>
      <c r="M1425" s="4"/>
      <c r="N1425" s="4"/>
      <c r="O1425" s="4">
        <v>0</v>
      </c>
      <c r="P1425" s="4"/>
      <c r="Q1425" s="4"/>
      <c r="R1425" s="7">
        <v>0</v>
      </c>
      <c r="S1425" s="7">
        <v>0</v>
      </c>
      <c r="T1425" s="7">
        <f>R1425-S1425</f>
        <v>0</v>
      </c>
      <c r="U1425" s="7">
        <f>T1425*O1425</f>
        <v>0</v>
      </c>
    </row>
    <row r="1426" spans="1:21">
      <c r="A1426" s="4" t="s">
        <v>2032</v>
      </c>
      <c r="B1426" s="4" t="s">
        <v>48</v>
      </c>
      <c r="C1426" s="5">
        <v>45942.76486111111</v>
      </c>
      <c r="D1426" s="5">
        <v>45961</v>
      </c>
      <c r="E1426" s="6">
        <f>IF(AND(C1426&lt;&gt;"",D1426&lt;&gt;""),D1426-C1426,"")</f>
        <v>0</v>
      </c>
      <c r="F1426" s="4" t="s">
        <v>2034</v>
      </c>
      <c r="G1426" s="4" t="s">
        <v>287</v>
      </c>
      <c r="H1426" s="4"/>
      <c r="I1426" s="4" t="s">
        <v>56</v>
      </c>
      <c r="J1426" s="4">
        <v>0</v>
      </c>
      <c r="K1426" s="4">
        <v>9</v>
      </c>
      <c r="L1426" s="4">
        <f>J1426+K1426</f>
        <v>0</v>
      </c>
      <c r="M1426" s="4"/>
      <c r="N1426" s="4"/>
      <c r="O1426" s="4">
        <v>0</v>
      </c>
      <c r="P1426" s="4"/>
      <c r="Q1426" s="4"/>
      <c r="R1426" s="7">
        <v>0</v>
      </c>
      <c r="S1426" s="7">
        <v>0</v>
      </c>
      <c r="T1426" s="7">
        <f>R1426-S1426</f>
        <v>0</v>
      </c>
      <c r="U1426" s="7">
        <f>T1426*O1426</f>
        <v>0</v>
      </c>
    </row>
    <row r="1427" spans="1:21">
      <c r="A1427" s="4" t="s">
        <v>2032</v>
      </c>
      <c r="B1427" s="4" t="s">
        <v>48</v>
      </c>
      <c r="C1427" s="5">
        <v>45942.76487268518</v>
      </c>
      <c r="D1427" s="5">
        <v>45961</v>
      </c>
      <c r="E1427" s="6">
        <f>IF(AND(C1427&lt;&gt;"",D1427&lt;&gt;""),D1427-C1427,"")</f>
        <v>0</v>
      </c>
      <c r="F1427" s="4" t="s">
        <v>2035</v>
      </c>
      <c r="G1427" s="4" t="s">
        <v>287</v>
      </c>
      <c r="H1427" s="4"/>
      <c r="I1427" s="4" t="s">
        <v>56</v>
      </c>
      <c r="J1427" s="4">
        <v>12</v>
      </c>
      <c r="K1427" s="4">
        <v>8</v>
      </c>
      <c r="L1427" s="4">
        <f>J1427+K1427</f>
        <v>0</v>
      </c>
      <c r="M1427" s="4"/>
      <c r="N1427" s="4"/>
      <c r="O1427" s="4">
        <v>0</v>
      </c>
      <c r="P1427" s="4"/>
      <c r="Q1427" s="4"/>
      <c r="R1427" s="7">
        <v>0</v>
      </c>
      <c r="S1427" s="7">
        <v>0</v>
      </c>
      <c r="T1427" s="7">
        <f>R1427-S1427</f>
        <v>0</v>
      </c>
      <c r="U1427" s="7">
        <f>T1427*O1427</f>
        <v>0</v>
      </c>
    </row>
    <row r="1428" spans="1:21">
      <c r="A1428" s="4" t="s">
        <v>2032</v>
      </c>
      <c r="B1428" s="4" t="s">
        <v>48</v>
      </c>
      <c r="C1428" s="5">
        <v>45942.76487268518</v>
      </c>
      <c r="D1428" s="5">
        <v>45961</v>
      </c>
      <c r="E1428" s="6">
        <f>IF(AND(C1428&lt;&gt;"",D1428&lt;&gt;""),D1428-C1428,"")</f>
        <v>0</v>
      </c>
      <c r="F1428" s="4" t="s">
        <v>2036</v>
      </c>
      <c r="G1428" s="4" t="s">
        <v>287</v>
      </c>
      <c r="H1428" s="4"/>
      <c r="I1428" s="4" t="s">
        <v>56</v>
      </c>
      <c r="J1428" s="4">
        <v>2</v>
      </c>
      <c r="K1428" s="4">
        <v>0</v>
      </c>
      <c r="L1428" s="4">
        <f>J1428+K1428</f>
        <v>0</v>
      </c>
      <c r="M1428" s="4"/>
      <c r="N1428" s="4"/>
      <c r="O1428" s="4">
        <v>0</v>
      </c>
      <c r="P1428" s="4"/>
      <c r="Q1428" s="4"/>
      <c r="R1428" s="7">
        <v>0</v>
      </c>
      <c r="S1428" s="7">
        <v>0</v>
      </c>
      <c r="T1428" s="7">
        <f>R1428-S1428</f>
        <v>0</v>
      </c>
      <c r="U1428" s="7">
        <f>T1428*O1428</f>
        <v>0</v>
      </c>
    </row>
    <row r="1429" spans="1:21">
      <c r="A1429" s="4" t="s">
        <v>2037</v>
      </c>
      <c r="B1429" s="4" t="s">
        <v>48</v>
      </c>
      <c r="C1429" s="5">
        <v>45942.76487268518</v>
      </c>
      <c r="D1429" s="5">
        <v>45961</v>
      </c>
      <c r="E1429" s="6">
        <f>IF(AND(C1429&lt;&gt;"",D1429&lt;&gt;""),D1429-C1429,"")</f>
        <v>0</v>
      </c>
      <c r="F1429" s="4" t="s">
        <v>2038</v>
      </c>
      <c r="G1429" s="4" t="s">
        <v>287</v>
      </c>
      <c r="H1429" s="4"/>
      <c r="I1429" s="4" t="s">
        <v>56</v>
      </c>
      <c r="J1429" s="4">
        <v>0</v>
      </c>
      <c r="K1429" s="4">
        <v>3</v>
      </c>
      <c r="L1429" s="4">
        <f>J1429+K1429</f>
        <v>0</v>
      </c>
      <c r="M1429" s="4"/>
      <c r="N1429" s="4"/>
      <c r="O1429" s="4">
        <v>0</v>
      </c>
      <c r="P1429" s="4"/>
      <c r="Q1429" s="4"/>
      <c r="R1429" s="7">
        <v>0</v>
      </c>
      <c r="S1429" s="7">
        <v>0</v>
      </c>
      <c r="T1429" s="7">
        <f>R1429-S1429</f>
        <v>0</v>
      </c>
      <c r="U1429" s="7">
        <f>T1429*O1429</f>
        <v>0</v>
      </c>
    </row>
    <row r="1430" spans="1:21">
      <c r="A1430" s="4" t="s">
        <v>2037</v>
      </c>
      <c r="B1430" s="4" t="s">
        <v>48</v>
      </c>
      <c r="C1430" s="5">
        <v>45942.76487268518</v>
      </c>
      <c r="D1430" s="5">
        <v>45961</v>
      </c>
      <c r="E1430" s="6">
        <f>IF(AND(C1430&lt;&gt;"",D1430&lt;&gt;""),D1430-C1430,"")</f>
        <v>0</v>
      </c>
      <c r="F1430" s="4" t="s">
        <v>2039</v>
      </c>
      <c r="G1430" s="4" t="s">
        <v>287</v>
      </c>
      <c r="H1430" s="4"/>
      <c r="I1430" s="4" t="s">
        <v>56</v>
      </c>
      <c r="J1430" s="4">
        <v>7</v>
      </c>
      <c r="K1430" s="4">
        <v>0</v>
      </c>
      <c r="L1430" s="4">
        <f>J1430+K1430</f>
        <v>0</v>
      </c>
      <c r="M1430" s="4"/>
      <c r="N1430" s="4"/>
      <c r="O1430" s="4">
        <v>0</v>
      </c>
      <c r="P1430" s="4"/>
      <c r="Q1430" s="4"/>
      <c r="R1430" s="7">
        <v>0</v>
      </c>
      <c r="S1430" s="7">
        <v>0</v>
      </c>
      <c r="T1430" s="7">
        <f>R1430-S1430</f>
        <v>0</v>
      </c>
      <c r="U1430" s="7">
        <f>T1430*O1430</f>
        <v>0</v>
      </c>
    </row>
    <row r="1431" spans="1:21">
      <c r="A1431" s="4" t="s">
        <v>2040</v>
      </c>
      <c r="B1431" s="4" t="s">
        <v>48</v>
      </c>
      <c r="C1431" s="5">
        <v>45942.76487268518</v>
      </c>
      <c r="D1431" s="5">
        <v>45961</v>
      </c>
      <c r="E1431" s="6">
        <f>IF(AND(C1431&lt;&gt;"",D1431&lt;&gt;""),D1431-C1431,"")</f>
        <v>0</v>
      </c>
      <c r="F1431" s="4" t="s">
        <v>2041</v>
      </c>
      <c r="G1431" s="4" t="s">
        <v>287</v>
      </c>
      <c r="H1431" s="4"/>
      <c r="I1431" s="4" t="s">
        <v>56</v>
      </c>
      <c r="J1431" s="4">
        <v>7</v>
      </c>
      <c r="K1431" s="4">
        <v>2</v>
      </c>
      <c r="L1431" s="4">
        <f>J1431+K1431</f>
        <v>0</v>
      </c>
      <c r="M1431" s="4"/>
      <c r="N1431" s="4"/>
      <c r="O1431" s="4">
        <v>0</v>
      </c>
      <c r="P1431" s="4"/>
      <c r="Q1431" s="4"/>
      <c r="R1431" s="7">
        <v>0</v>
      </c>
      <c r="S1431" s="7">
        <v>0</v>
      </c>
      <c r="T1431" s="7">
        <f>R1431-S1431</f>
        <v>0</v>
      </c>
      <c r="U1431" s="7">
        <f>T1431*O1431</f>
        <v>0</v>
      </c>
    </row>
    <row r="1432" spans="1:21">
      <c r="A1432" s="4" t="s">
        <v>2042</v>
      </c>
      <c r="B1432" s="4" t="s">
        <v>48</v>
      </c>
      <c r="C1432" s="5">
        <v>45942.76702546296</v>
      </c>
      <c r="D1432" s="5">
        <v>45961</v>
      </c>
      <c r="E1432" s="6">
        <f>IF(AND(C1432&lt;&gt;"",D1432&lt;&gt;""),D1432-C1432,"")</f>
        <v>0</v>
      </c>
      <c r="F1432" s="4" t="s">
        <v>64</v>
      </c>
      <c r="G1432" s="4" t="s">
        <v>2010</v>
      </c>
      <c r="H1432" s="4" t="s">
        <v>32</v>
      </c>
      <c r="I1432" s="4" t="s">
        <v>33</v>
      </c>
      <c r="J1432" s="4">
        <v>2</v>
      </c>
      <c r="K1432" s="4">
        <v>0</v>
      </c>
      <c r="L1432" s="4">
        <f>J1432+K1432</f>
        <v>0</v>
      </c>
      <c r="M1432" s="4"/>
      <c r="N1432" s="4"/>
      <c r="O1432" s="4">
        <v>0</v>
      </c>
      <c r="P1432" s="4"/>
      <c r="Q1432" s="4"/>
      <c r="R1432" s="7">
        <v>0</v>
      </c>
      <c r="S1432" s="7">
        <v>0</v>
      </c>
      <c r="T1432" s="7">
        <f>R1432-S1432</f>
        <v>0</v>
      </c>
      <c r="U1432" s="7">
        <f>T1432*O1432</f>
        <v>0</v>
      </c>
    </row>
    <row r="1433" spans="1:21">
      <c r="A1433" s="4" t="s">
        <v>2043</v>
      </c>
      <c r="B1433" s="4" t="s">
        <v>48</v>
      </c>
      <c r="C1433" s="5">
        <v>45942.76789351852</v>
      </c>
      <c r="D1433" s="5">
        <v>45961</v>
      </c>
      <c r="E1433" s="6">
        <f>IF(AND(C1433&lt;&gt;"",D1433&lt;&gt;""),D1433-C1433,"")</f>
        <v>0</v>
      </c>
      <c r="F1433" s="4" t="s">
        <v>201</v>
      </c>
      <c r="G1433" s="4" t="s">
        <v>202</v>
      </c>
      <c r="H1433" s="4" t="s">
        <v>32</v>
      </c>
      <c r="I1433" s="4" t="s">
        <v>33</v>
      </c>
      <c r="J1433" s="4">
        <v>3</v>
      </c>
      <c r="K1433" s="4">
        <v>0</v>
      </c>
      <c r="L1433" s="4">
        <f>J1433+K1433</f>
        <v>0</v>
      </c>
      <c r="M1433" s="4"/>
      <c r="N1433" s="4"/>
      <c r="O1433" s="4">
        <v>0</v>
      </c>
      <c r="P1433" s="4"/>
      <c r="Q1433" s="4"/>
      <c r="R1433" s="7">
        <v>0</v>
      </c>
      <c r="S1433" s="7">
        <v>0</v>
      </c>
      <c r="T1433" s="7">
        <f>R1433-S1433</f>
        <v>0</v>
      </c>
      <c r="U1433" s="7">
        <f>T1433*O1433</f>
        <v>0</v>
      </c>
    </row>
    <row r="1434" spans="1:21">
      <c r="A1434" s="4" t="s">
        <v>2044</v>
      </c>
      <c r="B1434" s="4"/>
      <c r="C1434" s="5">
        <v>45943</v>
      </c>
      <c r="D1434" s="5">
        <v>45943</v>
      </c>
      <c r="E1434" s="6">
        <f>IF(AND(C1434&lt;&gt;"",D1434&lt;&gt;""),D1434-C1434,"")</f>
        <v>0</v>
      </c>
      <c r="F1434" s="4"/>
      <c r="G1434" s="4"/>
      <c r="H1434" s="4"/>
      <c r="I1434" s="4" t="s">
        <v>56</v>
      </c>
      <c r="J1434" s="4">
        <v>0</v>
      </c>
      <c r="K1434" s="4">
        <v>0</v>
      </c>
      <c r="L1434" s="4">
        <f>J1434+K1434</f>
        <v>0</v>
      </c>
      <c r="M1434" s="4"/>
      <c r="N1434" s="4"/>
      <c r="O1434" s="4">
        <v>0</v>
      </c>
      <c r="P1434" s="4" t="s">
        <v>703</v>
      </c>
      <c r="Q1434" s="4"/>
      <c r="R1434" s="7">
        <v>0</v>
      </c>
      <c r="S1434" s="7">
        <v>0</v>
      </c>
      <c r="T1434" s="7">
        <f>R1434-S1434</f>
        <v>0</v>
      </c>
      <c r="U1434" s="7">
        <f>T1434*O1434</f>
        <v>0</v>
      </c>
    </row>
    <row r="1435" spans="1:21">
      <c r="A1435" s="4" t="s">
        <v>2044</v>
      </c>
      <c r="B1435" s="4"/>
      <c r="C1435" s="5">
        <v>45943</v>
      </c>
      <c r="D1435" s="5">
        <v>45943</v>
      </c>
      <c r="E1435" s="6">
        <f>IF(AND(C1435&lt;&gt;"",D1435&lt;&gt;""),D1435-C1435,"")</f>
        <v>0</v>
      </c>
      <c r="F1435" s="4"/>
      <c r="G1435" s="4"/>
      <c r="H1435" s="4"/>
      <c r="I1435" s="4" t="s">
        <v>56</v>
      </c>
      <c r="J1435" s="4">
        <v>0</v>
      </c>
      <c r="K1435" s="4">
        <v>0</v>
      </c>
      <c r="L1435" s="4">
        <f>J1435+K1435</f>
        <v>0</v>
      </c>
      <c r="M1435" s="4"/>
      <c r="N1435" s="4"/>
      <c r="O1435" s="4">
        <v>0</v>
      </c>
      <c r="P1435" s="4" t="s">
        <v>703</v>
      </c>
      <c r="Q1435" s="4"/>
      <c r="R1435" s="7">
        <v>0</v>
      </c>
      <c r="S1435" s="7">
        <v>0</v>
      </c>
      <c r="T1435" s="7">
        <f>R1435-S1435</f>
        <v>0</v>
      </c>
      <c r="U1435" s="7">
        <f>T1435*O1435</f>
        <v>0</v>
      </c>
    </row>
    <row r="1436" spans="1:21">
      <c r="A1436" s="4" t="s">
        <v>2045</v>
      </c>
      <c r="B1436" s="4"/>
      <c r="C1436" s="5">
        <v>45943</v>
      </c>
      <c r="D1436" s="5">
        <v>45943</v>
      </c>
      <c r="E1436" s="6">
        <f>IF(AND(C1436&lt;&gt;"",D1436&lt;&gt;""),D1436-C1436,"")</f>
        <v>0</v>
      </c>
      <c r="F1436" s="4"/>
      <c r="G1436" s="4"/>
      <c r="H1436" s="4"/>
      <c r="I1436" s="4" t="s">
        <v>56</v>
      </c>
      <c r="J1436" s="4">
        <v>0</v>
      </c>
      <c r="K1436" s="4">
        <v>0</v>
      </c>
      <c r="L1436" s="4">
        <f>J1436+K1436</f>
        <v>0</v>
      </c>
      <c r="M1436" s="4"/>
      <c r="N1436" s="4"/>
      <c r="O1436" s="4">
        <v>0</v>
      </c>
      <c r="P1436" s="4" t="s">
        <v>703</v>
      </c>
      <c r="Q1436" s="4"/>
      <c r="R1436" s="7">
        <v>0</v>
      </c>
      <c r="S1436" s="7">
        <v>0</v>
      </c>
      <c r="T1436" s="7">
        <f>R1436-S1436</f>
        <v>0</v>
      </c>
      <c r="U1436" s="7">
        <f>T1436*O1436</f>
        <v>0</v>
      </c>
    </row>
    <row r="1437" spans="1:21">
      <c r="A1437" s="4" t="s">
        <v>2045</v>
      </c>
      <c r="B1437" s="4"/>
      <c r="C1437" s="5">
        <v>45943</v>
      </c>
      <c r="D1437" s="5">
        <v>45943</v>
      </c>
      <c r="E1437" s="6">
        <f>IF(AND(C1437&lt;&gt;"",D1437&lt;&gt;""),D1437-C1437,"")</f>
        <v>0</v>
      </c>
      <c r="F1437" s="4"/>
      <c r="G1437" s="4"/>
      <c r="H1437" s="4"/>
      <c r="I1437" s="4" t="s">
        <v>56</v>
      </c>
      <c r="J1437" s="4">
        <v>0</v>
      </c>
      <c r="K1437" s="4">
        <v>0</v>
      </c>
      <c r="L1437" s="4">
        <f>J1437+K1437</f>
        <v>0</v>
      </c>
      <c r="M1437" s="4"/>
      <c r="N1437" s="4"/>
      <c r="O1437" s="4">
        <v>0</v>
      </c>
      <c r="P1437" s="4" t="s">
        <v>703</v>
      </c>
      <c r="Q1437" s="4"/>
      <c r="R1437" s="7">
        <v>0</v>
      </c>
      <c r="S1437" s="7">
        <v>0</v>
      </c>
      <c r="T1437" s="7">
        <f>R1437-S1437</f>
        <v>0</v>
      </c>
      <c r="U1437" s="7">
        <f>T1437*O1437</f>
        <v>0</v>
      </c>
    </row>
    <row r="1438" spans="1:21">
      <c r="A1438" s="4" t="s">
        <v>2045</v>
      </c>
      <c r="B1438" s="4"/>
      <c r="C1438" s="5">
        <v>45943</v>
      </c>
      <c r="D1438" s="5">
        <v>45943</v>
      </c>
      <c r="E1438" s="6">
        <f>IF(AND(C1438&lt;&gt;"",D1438&lt;&gt;""),D1438-C1438,"")</f>
        <v>0</v>
      </c>
      <c r="F1438" s="4"/>
      <c r="G1438" s="4"/>
      <c r="H1438" s="4"/>
      <c r="I1438" s="4" t="s">
        <v>56</v>
      </c>
      <c r="J1438" s="4">
        <v>0</v>
      </c>
      <c r="K1438" s="4">
        <v>0</v>
      </c>
      <c r="L1438" s="4">
        <f>J1438+K1438</f>
        <v>0</v>
      </c>
      <c r="M1438" s="4"/>
      <c r="N1438" s="4"/>
      <c r="O1438" s="4">
        <v>0</v>
      </c>
      <c r="P1438" s="4" t="s">
        <v>703</v>
      </c>
      <c r="Q1438" s="4"/>
      <c r="R1438" s="7">
        <v>0</v>
      </c>
      <c r="S1438" s="7">
        <v>0</v>
      </c>
      <c r="T1438" s="7">
        <f>R1438-S1438</f>
        <v>0</v>
      </c>
      <c r="U1438" s="7">
        <f>T1438*O1438</f>
        <v>0</v>
      </c>
    </row>
    <row r="1439" spans="1:21">
      <c r="A1439" s="4" t="s">
        <v>2046</v>
      </c>
      <c r="B1439" s="4"/>
      <c r="C1439" s="5">
        <v>45943</v>
      </c>
      <c r="D1439" s="5">
        <v>45943</v>
      </c>
      <c r="E1439" s="6">
        <f>IF(AND(C1439&lt;&gt;"",D1439&lt;&gt;""),D1439-C1439,"")</f>
        <v>0</v>
      </c>
      <c r="F1439" s="4"/>
      <c r="G1439" s="4"/>
      <c r="H1439" s="4"/>
      <c r="I1439" s="4" t="s">
        <v>56</v>
      </c>
      <c r="J1439" s="4">
        <v>0</v>
      </c>
      <c r="K1439" s="4">
        <v>0</v>
      </c>
      <c r="L1439" s="4">
        <f>J1439+K1439</f>
        <v>0</v>
      </c>
      <c r="M1439" s="4"/>
      <c r="N1439" s="4"/>
      <c r="O1439" s="4">
        <v>0</v>
      </c>
      <c r="P1439" s="4" t="s">
        <v>703</v>
      </c>
      <c r="Q1439" s="4"/>
      <c r="R1439" s="7">
        <v>0</v>
      </c>
      <c r="S1439" s="7">
        <v>0</v>
      </c>
      <c r="T1439" s="7">
        <f>R1439-S1439</f>
        <v>0</v>
      </c>
      <c r="U1439" s="7">
        <f>T1439*O1439</f>
        <v>0</v>
      </c>
    </row>
    <row r="1440" spans="1:21">
      <c r="A1440" s="4" t="s">
        <v>2046</v>
      </c>
      <c r="B1440" s="4"/>
      <c r="C1440" s="5">
        <v>45943</v>
      </c>
      <c r="D1440" s="5">
        <v>45943</v>
      </c>
      <c r="E1440" s="6">
        <f>IF(AND(C1440&lt;&gt;"",D1440&lt;&gt;""),D1440-C1440,"")</f>
        <v>0</v>
      </c>
      <c r="F1440" s="4"/>
      <c r="G1440" s="4"/>
      <c r="H1440" s="4"/>
      <c r="I1440" s="4" t="s">
        <v>56</v>
      </c>
      <c r="J1440" s="4">
        <v>0</v>
      </c>
      <c r="K1440" s="4">
        <v>0</v>
      </c>
      <c r="L1440" s="4">
        <f>J1440+K1440</f>
        <v>0</v>
      </c>
      <c r="M1440" s="4"/>
      <c r="N1440" s="4"/>
      <c r="O1440" s="4">
        <v>0</v>
      </c>
      <c r="P1440" s="4" t="s">
        <v>703</v>
      </c>
      <c r="Q1440" s="4"/>
      <c r="R1440" s="7">
        <v>0</v>
      </c>
      <c r="S1440" s="7">
        <v>0</v>
      </c>
      <c r="T1440" s="7">
        <f>R1440-S1440</f>
        <v>0</v>
      </c>
      <c r="U1440" s="7">
        <f>T1440*O1440</f>
        <v>0</v>
      </c>
    </row>
    <row r="1441" spans="1:21">
      <c r="A1441" s="4" t="s">
        <v>2047</v>
      </c>
      <c r="B1441" s="4"/>
      <c r="C1441" s="5">
        <v>45943</v>
      </c>
      <c r="D1441" s="5">
        <v>45943</v>
      </c>
      <c r="E1441" s="6">
        <f>IF(AND(C1441&lt;&gt;"",D1441&lt;&gt;""),D1441-C1441,"")</f>
        <v>0</v>
      </c>
      <c r="F1441" s="4"/>
      <c r="G1441" s="4"/>
      <c r="H1441" s="4"/>
      <c r="I1441" s="4" t="s">
        <v>56</v>
      </c>
      <c r="J1441" s="4">
        <v>0</v>
      </c>
      <c r="K1441" s="4">
        <v>0</v>
      </c>
      <c r="L1441" s="4">
        <f>J1441+K1441</f>
        <v>0</v>
      </c>
      <c r="M1441" s="4"/>
      <c r="N1441" s="4"/>
      <c r="O1441" s="4">
        <v>0</v>
      </c>
      <c r="P1441" s="4" t="s">
        <v>703</v>
      </c>
      <c r="Q1441" s="4"/>
      <c r="R1441" s="7">
        <v>0</v>
      </c>
      <c r="S1441" s="7">
        <v>0</v>
      </c>
      <c r="T1441" s="7">
        <f>R1441-S1441</f>
        <v>0</v>
      </c>
      <c r="U1441" s="7">
        <f>T1441*O1441</f>
        <v>0</v>
      </c>
    </row>
    <row r="1442" spans="1:21">
      <c r="A1442" s="4" t="s">
        <v>2047</v>
      </c>
      <c r="B1442" s="4"/>
      <c r="C1442" s="5">
        <v>45943</v>
      </c>
      <c r="D1442" s="5">
        <v>45943</v>
      </c>
      <c r="E1442" s="6">
        <f>IF(AND(C1442&lt;&gt;"",D1442&lt;&gt;""),D1442-C1442,"")</f>
        <v>0</v>
      </c>
      <c r="F1442" s="4"/>
      <c r="G1442" s="4"/>
      <c r="H1442" s="4"/>
      <c r="I1442" s="4" t="s">
        <v>56</v>
      </c>
      <c r="J1442" s="4">
        <v>0</v>
      </c>
      <c r="K1442" s="4">
        <v>0</v>
      </c>
      <c r="L1442" s="4">
        <f>J1442+K1442</f>
        <v>0</v>
      </c>
      <c r="M1442" s="4"/>
      <c r="N1442" s="4"/>
      <c r="O1442" s="4">
        <v>0</v>
      </c>
      <c r="P1442" s="4" t="s">
        <v>703</v>
      </c>
      <c r="Q1442" s="4"/>
      <c r="R1442" s="7">
        <v>0</v>
      </c>
      <c r="S1442" s="7">
        <v>0</v>
      </c>
      <c r="T1442" s="7">
        <f>R1442-S1442</f>
        <v>0</v>
      </c>
      <c r="U1442" s="7">
        <f>T1442*O1442</f>
        <v>0</v>
      </c>
    </row>
    <row r="1443" spans="1:21">
      <c r="A1443" s="4" t="s">
        <v>2047</v>
      </c>
      <c r="B1443" s="4"/>
      <c r="C1443" s="5">
        <v>45943</v>
      </c>
      <c r="D1443" s="5">
        <v>45943</v>
      </c>
      <c r="E1443" s="6">
        <f>IF(AND(C1443&lt;&gt;"",D1443&lt;&gt;""),D1443-C1443,"")</f>
        <v>0</v>
      </c>
      <c r="F1443" s="4"/>
      <c r="G1443" s="4"/>
      <c r="H1443" s="4"/>
      <c r="I1443" s="4" t="s">
        <v>56</v>
      </c>
      <c r="J1443" s="4">
        <v>0</v>
      </c>
      <c r="K1443" s="4">
        <v>0</v>
      </c>
      <c r="L1443" s="4">
        <f>J1443+K1443</f>
        <v>0</v>
      </c>
      <c r="M1443" s="4"/>
      <c r="N1443" s="4"/>
      <c r="O1443" s="4">
        <v>0</v>
      </c>
      <c r="P1443" s="4" t="s">
        <v>703</v>
      </c>
      <c r="Q1443" s="4"/>
      <c r="R1443" s="7">
        <v>0</v>
      </c>
      <c r="S1443" s="7">
        <v>0</v>
      </c>
      <c r="T1443" s="7">
        <f>R1443-S1443</f>
        <v>0</v>
      </c>
      <c r="U1443" s="7">
        <f>T1443*O1443</f>
        <v>0</v>
      </c>
    </row>
    <row r="1444" spans="1:21">
      <c r="A1444" s="4" t="s">
        <v>2048</v>
      </c>
      <c r="B1444" s="4"/>
      <c r="C1444" s="5">
        <v>45943</v>
      </c>
      <c r="D1444" s="5">
        <v>45943</v>
      </c>
      <c r="E1444" s="6">
        <f>IF(AND(C1444&lt;&gt;"",D1444&lt;&gt;""),D1444-C1444,"")</f>
        <v>0</v>
      </c>
      <c r="F1444" s="4"/>
      <c r="G1444" s="4"/>
      <c r="H1444" s="4"/>
      <c r="I1444" s="4" t="s">
        <v>56</v>
      </c>
      <c r="J1444" s="4">
        <v>0</v>
      </c>
      <c r="K1444" s="4">
        <v>0</v>
      </c>
      <c r="L1444" s="4">
        <f>J1444+K1444</f>
        <v>0</v>
      </c>
      <c r="M1444" s="4"/>
      <c r="N1444" s="4"/>
      <c r="O1444" s="4">
        <v>0</v>
      </c>
      <c r="P1444" s="4" t="s">
        <v>703</v>
      </c>
      <c r="Q1444" s="4"/>
      <c r="R1444" s="7">
        <v>0</v>
      </c>
      <c r="S1444" s="7">
        <v>0</v>
      </c>
      <c r="T1444" s="7">
        <f>R1444-S1444</f>
        <v>0</v>
      </c>
      <c r="U1444" s="7">
        <f>T1444*O1444</f>
        <v>0</v>
      </c>
    </row>
    <row r="1445" spans="1:21">
      <c r="A1445" s="4" t="s">
        <v>2048</v>
      </c>
      <c r="B1445" s="4"/>
      <c r="C1445" s="5">
        <v>45943</v>
      </c>
      <c r="D1445" s="5">
        <v>45943</v>
      </c>
      <c r="E1445" s="6">
        <f>IF(AND(C1445&lt;&gt;"",D1445&lt;&gt;""),D1445-C1445,"")</f>
        <v>0</v>
      </c>
      <c r="F1445" s="4"/>
      <c r="G1445" s="4"/>
      <c r="H1445" s="4"/>
      <c r="I1445" s="4" t="s">
        <v>56</v>
      </c>
      <c r="J1445" s="4">
        <v>0</v>
      </c>
      <c r="K1445" s="4">
        <v>0</v>
      </c>
      <c r="L1445" s="4">
        <f>J1445+K1445</f>
        <v>0</v>
      </c>
      <c r="M1445" s="4"/>
      <c r="N1445" s="4"/>
      <c r="O1445" s="4">
        <v>0</v>
      </c>
      <c r="P1445" s="4" t="s">
        <v>703</v>
      </c>
      <c r="Q1445" s="4"/>
      <c r="R1445" s="7">
        <v>0</v>
      </c>
      <c r="S1445" s="7">
        <v>0</v>
      </c>
      <c r="T1445" s="7">
        <f>R1445-S1445</f>
        <v>0</v>
      </c>
      <c r="U1445" s="7">
        <f>T1445*O1445</f>
        <v>0</v>
      </c>
    </row>
    <row r="1446" spans="1:21">
      <c r="A1446" s="4" t="s">
        <v>2048</v>
      </c>
      <c r="B1446" s="4"/>
      <c r="C1446" s="5">
        <v>45943</v>
      </c>
      <c r="D1446" s="5">
        <v>45943</v>
      </c>
      <c r="E1446" s="6">
        <f>IF(AND(C1446&lt;&gt;"",D1446&lt;&gt;""),D1446-C1446,"")</f>
        <v>0</v>
      </c>
      <c r="F1446" s="4"/>
      <c r="G1446" s="4"/>
      <c r="H1446" s="4"/>
      <c r="I1446" s="4" t="s">
        <v>56</v>
      </c>
      <c r="J1446" s="4">
        <v>0</v>
      </c>
      <c r="K1446" s="4">
        <v>0</v>
      </c>
      <c r="L1446" s="4">
        <f>J1446+K1446</f>
        <v>0</v>
      </c>
      <c r="M1446" s="4"/>
      <c r="N1446" s="4"/>
      <c r="O1446" s="4">
        <v>0</v>
      </c>
      <c r="P1446" s="4" t="s">
        <v>703</v>
      </c>
      <c r="Q1446" s="4"/>
      <c r="R1446" s="7">
        <v>0</v>
      </c>
      <c r="S1446" s="7">
        <v>0</v>
      </c>
      <c r="T1446" s="7">
        <f>R1446-S1446</f>
        <v>0</v>
      </c>
      <c r="U1446" s="7">
        <f>T1446*O1446</f>
        <v>0</v>
      </c>
    </row>
    <row r="1447" spans="1:21">
      <c r="A1447" s="4" t="s">
        <v>2048</v>
      </c>
      <c r="B1447" s="4"/>
      <c r="C1447" s="5">
        <v>45943</v>
      </c>
      <c r="D1447" s="5">
        <v>45943</v>
      </c>
      <c r="E1447" s="6">
        <f>IF(AND(C1447&lt;&gt;"",D1447&lt;&gt;""),D1447-C1447,"")</f>
        <v>0</v>
      </c>
      <c r="F1447" s="4"/>
      <c r="G1447" s="4"/>
      <c r="H1447" s="4"/>
      <c r="I1447" s="4" t="s">
        <v>56</v>
      </c>
      <c r="J1447" s="4">
        <v>0</v>
      </c>
      <c r="K1447" s="4">
        <v>0</v>
      </c>
      <c r="L1447" s="4">
        <f>J1447+K1447</f>
        <v>0</v>
      </c>
      <c r="M1447" s="4"/>
      <c r="N1447" s="4"/>
      <c r="O1447" s="4">
        <v>0</v>
      </c>
      <c r="P1447" s="4" t="s">
        <v>703</v>
      </c>
      <c r="Q1447" s="4"/>
      <c r="R1447" s="7">
        <v>0</v>
      </c>
      <c r="S1447" s="7">
        <v>0</v>
      </c>
      <c r="T1447" s="7">
        <f>R1447-S1447</f>
        <v>0</v>
      </c>
      <c r="U1447" s="7">
        <f>T1447*O1447</f>
        <v>0</v>
      </c>
    </row>
    <row r="1448" spans="1:21">
      <c r="A1448" s="4" t="s">
        <v>2048</v>
      </c>
      <c r="B1448" s="4"/>
      <c r="C1448" s="5">
        <v>45943</v>
      </c>
      <c r="D1448" s="5">
        <v>45943</v>
      </c>
      <c r="E1448" s="6">
        <f>IF(AND(C1448&lt;&gt;"",D1448&lt;&gt;""),D1448-C1448,"")</f>
        <v>0</v>
      </c>
      <c r="F1448" s="4"/>
      <c r="G1448" s="4"/>
      <c r="H1448" s="4"/>
      <c r="I1448" s="4" t="s">
        <v>56</v>
      </c>
      <c r="J1448" s="4">
        <v>0</v>
      </c>
      <c r="K1448" s="4">
        <v>0</v>
      </c>
      <c r="L1448" s="4">
        <f>J1448+K1448</f>
        <v>0</v>
      </c>
      <c r="M1448" s="4"/>
      <c r="N1448" s="4"/>
      <c r="O1448" s="4">
        <v>0</v>
      </c>
      <c r="P1448" s="4" t="s">
        <v>703</v>
      </c>
      <c r="Q1448" s="4"/>
      <c r="R1448" s="7">
        <v>0</v>
      </c>
      <c r="S1448" s="7">
        <v>0</v>
      </c>
      <c r="T1448" s="7">
        <f>R1448-S1448</f>
        <v>0</v>
      </c>
      <c r="U1448" s="7">
        <f>T1448*O1448</f>
        <v>0</v>
      </c>
    </row>
    <row r="1449" spans="1:21">
      <c r="A1449" s="4" t="s">
        <v>2049</v>
      </c>
      <c r="B1449" s="4"/>
      <c r="C1449" s="5">
        <v>45943</v>
      </c>
      <c r="D1449" s="5">
        <v>45943</v>
      </c>
      <c r="E1449" s="6">
        <f>IF(AND(C1449&lt;&gt;"",D1449&lt;&gt;""),D1449-C1449,"")</f>
        <v>0</v>
      </c>
      <c r="F1449" s="4"/>
      <c r="G1449" s="4"/>
      <c r="H1449" s="4"/>
      <c r="I1449" s="4" t="s">
        <v>56</v>
      </c>
      <c r="J1449" s="4">
        <v>0</v>
      </c>
      <c r="K1449" s="4">
        <v>0</v>
      </c>
      <c r="L1449" s="4">
        <f>J1449+K1449</f>
        <v>0</v>
      </c>
      <c r="M1449" s="4"/>
      <c r="N1449" s="4"/>
      <c r="O1449" s="4">
        <v>0</v>
      </c>
      <c r="P1449" s="4" t="s">
        <v>703</v>
      </c>
      <c r="Q1449" s="4"/>
      <c r="R1449" s="7">
        <v>0</v>
      </c>
      <c r="S1449" s="7">
        <v>0</v>
      </c>
      <c r="T1449" s="7">
        <f>R1449-S1449</f>
        <v>0</v>
      </c>
      <c r="U1449" s="7">
        <f>T1449*O1449</f>
        <v>0</v>
      </c>
    </row>
    <row r="1450" spans="1:21">
      <c r="A1450" s="4" t="s">
        <v>2049</v>
      </c>
      <c r="B1450" s="4"/>
      <c r="C1450" s="5">
        <v>45943</v>
      </c>
      <c r="D1450" s="5">
        <v>45943</v>
      </c>
      <c r="E1450" s="6">
        <f>IF(AND(C1450&lt;&gt;"",D1450&lt;&gt;""),D1450-C1450,"")</f>
        <v>0</v>
      </c>
      <c r="F1450" s="4"/>
      <c r="G1450" s="4"/>
      <c r="H1450" s="4"/>
      <c r="I1450" s="4" t="s">
        <v>56</v>
      </c>
      <c r="J1450" s="4">
        <v>0</v>
      </c>
      <c r="K1450" s="4">
        <v>0</v>
      </c>
      <c r="L1450" s="4">
        <f>J1450+K1450</f>
        <v>0</v>
      </c>
      <c r="M1450" s="4"/>
      <c r="N1450" s="4"/>
      <c r="O1450" s="4">
        <v>0</v>
      </c>
      <c r="P1450" s="4" t="s">
        <v>703</v>
      </c>
      <c r="Q1450" s="4"/>
      <c r="R1450" s="7">
        <v>0</v>
      </c>
      <c r="S1450" s="7">
        <v>0</v>
      </c>
      <c r="T1450" s="7">
        <f>R1450-S1450</f>
        <v>0</v>
      </c>
      <c r="U1450" s="7">
        <f>T1450*O1450</f>
        <v>0</v>
      </c>
    </row>
    <row r="1451" spans="1:21">
      <c r="A1451" s="4" t="s">
        <v>2049</v>
      </c>
      <c r="B1451" s="4"/>
      <c r="C1451" s="5">
        <v>45943</v>
      </c>
      <c r="D1451" s="5">
        <v>45943</v>
      </c>
      <c r="E1451" s="6">
        <f>IF(AND(C1451&lt;&gt;"",D1451&lt;&gt;""),D1451-C1451,"")</f>
        <v>0</v>
      </c>
      <c r="F1451" s="4"/>
      <c r="G1451" s="4"/>
      <c r="H1451" s="4"/>
      <c r="I1451" s="4" t="s">
        <v>56</v>
      </c>
      <c r="J1451" s="4">
        <v>0</v>
      </c>
      <c r="K1451" s="4">
        <v>0</v>
      </c>
      <c r="L1451" s="4">
        <f>J1451+K1451</f>
        <v>0</v>
      </c>
      <c r="M1451" s="4"/>
      <c r="N1451" s="4"/>
      <c r="O1451" s="4">
        <v>0</v>
      </c>
      <c r="P1451" s="4" t="s">
        <v>703</v>
      </c>
      <c r="Q1451" s="4"/>
      <c r="R1451" s="7">
        <v>0</v>
      </c>
      <c r="S1451" s="7">
        <v>0</v>
      </c>
      <c r="T1451" s="7">
        <f>R1451-S1451</f>
        <v>0</v>
      </c>
      <c r="U1451" s="7">
        <f>T1451*O1451</f>
        <v>0</v>
      </c>
    </row>
    <row r="1452" spans="1:21">
      <c r="A1452" s="4" t="s">
        <v>2050</v>
      </c>
      <c r="B1452" s="4"/>
      <c r="C1452" s="5">
        <v>45943</v>
      </c>
      <c r="D1452" s="5">
        <v>45943</v>
      </c>
      <c r="E1452" s="6">
        <f>IF(AND(C1452&lt;&gt;"",D1452&lt;&gt;""),D1452-C1452,"")</f>
        <v>0</v>
      </c>
      <c r="F1452" s="4"/>
      <c r="G1452" s="4"/>
      <c r="H1452" s="4"/>
      <c r="I1452" s="4" t="s">
        <v>56</v>
      </c>
      <c r="J1452" s="4">
        <v>0</v>
      </c>
      <c r="K1452" s="4">
        <v>0</v>
      </c>
      <c r="L1452" s="4">
        <f>J1452+K1452</f>
        <v>0</v>
      </c>
      <c r="M1452" s="4"/>
      <c r="N1452" s="4"/>
      <c r="O1452" s="4">
        <v>0</v>
      </c>
      <c r="P1452" s="4" t="s">
        <v>703</v>
      </c>
      <c r="Q1452" s="4"/>
      <c r="R1452" s="7">
        <v>0</v>
      </c>
      <c r="S1452" s="7">
        <v>0</v>
      </c>
      <c r="T1452" s="7">
        <f>R1452-S1452</f>
        <v>0</v>
      </c>
      <c r="U1452" s="7">
        <f>T1452*O1452</f>
        <v>0</v>
      </c>
    </row>
    <row r="1453" spans="1:21">
      <c r="A1453" s="4" t="s">
        <v>2051</v>
      </c>
      <c r="B1453" s="4"/>
      <c r="C1453" s="5">
        <v>45943</v>
      </c>
      <c r="D1453" s="5">
        <v>45943</v>
      </c>
      <c r="E1453" s="6">
        <f>IF(AND(C1453&lt;&gt;"",D1453&lt;&gt;""),D1453-C1453,"")</f>
        <v>0</v>
      </c>
      <c r="F1453" s="4"/>
      <c r="G1453" s="4"/>
      <c r="H1453" s="4"/>
      <c r="I1453" s="4" t="s">
        <v>56</v>
      </c>
      <c r="J1453" s="4">
        <v>0</v>
      </c>
      <c r="K1453" s="4">
        <v>0</v>
      </c>
      <c r="L1453" s="4">
        <f>J1453+K1453</f>
        <v>0</v>
      </c>
      <c r="M1453" s="4"/>
      <c r="N1453" s="4"/>
      <c r="O1453" s="4">
        <v>0</v>
      </c>
      <c r="P1453" s="4" t="s">
        <v>703</v>
      </c>
      <c r="Q1453" s="4"/>
      <c r="R1453" s="7">
        <v>0</v>
      </c>
      <c r="S1453" s="7">
        <v>0</v>
      </c>
      <c r="T1453" s="7">
        <f>R1453-S1453</f>
        <v>0</v>
      </c>
      <c r="U1453" s="7">
        <f>T1453*O1453</f>
        <v>0</v>
      </c>
    </row>
    <row r="1454" spans="1:21">
      <c r="A1454" s="4" t="s">
        <v>2051</v>
      </c>
      <c r="B1454" s="4"/>
      <c r="C1454" s="5">
        <v>45943</v>
      </c>
      <c r="D1454" s="5">
        <v>45943</v>
      </c>
      <c r="E1454" s="6">
        <f>IF(AND(C1454&lt;&gt;"",D1454&lt;&gt;""),D1454-C1454,"")</f>
        <v>0</v>
      </c>
      <c r="F1454" s="4"/>
      <c r="G1454" s="4"/>
      <c r="H1454" s="4"/>
      <c r="I1454" s="4" t="s">
        <v>56</v>
      </c>
      <c r="J1454" s="4">
        <v>0</v>
      </c>
      <c r="K1454" s="4">
        <v>0</v>
      </c>
      <c r="L1454" s="4">
        <f>J1454+K1454</f>
        <v>0</v>
      </c>
      <c r="M1454" s="4"/>
      <c r="N1454" s="4"/>
      <c r="O1454" s="4">
        <v>0</v>
      </c>
      <c r="P1454" s="4" t="s">
        <v>703</v>
      </c>
      <c r="Q1454" s="4"/>
      <c r="R1454" s="7">
        <v>0</v>
      </c>
      <c r="S1454" s="7">
        <v>0</v>
      </c>
      <c r="T1454" s="7">
        <f>R1454-S1454</f>
        <v>0</v>
      </c>
      <c r="U1454" s="7">
        <f>T1454*O1454</f>
        <v>0</v>
      </c>
    </row>
    <row r="1455" spans="1:21">
      <c r="A1455" s="4" t="s">
        <v>2051</v>
      </c>
      <c r="B1455" s="4"/>
      <c r="C1455" s="5">
        <v>45943</v>
      </c>
      <c r="D1455" s="5">
        <v>45943</v>
      </c>
      <c r="E1455" s="6">
        <f>IF(AND(C1455&lt;&gt;"",D1455&lt;&gt;""),D1455-C1455,"")</f>
        <v>0</v>
      </c>
      <c r="F1455" s="4"/>
      <c r="G1455" s="4"/>
      <c r="H1455" s="4"/>
      <c r="I1455" s="4" t="s">
        <v>56</v>
      </c>
      <c r="J1455" s="4">
        <v>0</v>
      </c>
      <c r="K1455" s="4">
        <v>0</v>
      </c>
      <c r="L1455" s="4">
        <f>J1455+K1455</f>
        <v>0</v>
      </c>
      <c r="M1455" s="4"/>
      <c r="N1455" s="4"/>
      <c r="O1455" s="4">
        <v>0</v>
      </c>
      <c r="P1455" s="4" t="s">
        <v>703</v>
      </c>
      <c r="Q1455" s="4"/>
      <c r="R1455" s="7">
        <v>0</v>
      </c>
      <c r="S1455" s="7">
        <v>0</v>
      </c>
      <c r="T1455" s="7">
        <f>R1455-S1455</f>
        <v>0</v>
      </c>
      <c r="U1455" s="7">
        <f>T1455*O1455</f>
        <v>0</v>
      </c>
    </row>
    <row r="1456" spans="1:21">
      <c r="A1456" s="4" t="s">
        <v>2051</v>
      </c>
      <c r="B1456" s="4"/>
      <c r="C1456" s="5">
        <v>45943</v>
      </c>
      <c r="D1456" s="5">
        <v>45943</v>
      </c>
      <c r="E1456" s="6">
        <f>IF(AND(C1456&lt;&gt;"",D1456&lt;&gt;""),D1456-C1456,"")</f>
        <v>0</v>
      </c>
      <c r="F1456" s="4"/>
      <c r="G1456" s="4"/>
      <c r="H1456" s="4"/>
      <c r="I1456" s="4" t="s">
        <v>56</v>
      </c>
      <c r="J1456" s="4">
        <v>0</v>
      </c>
      <c r="K1456" s="4">
        <v>0</v>
      </c>
      <c r="L1456" s="4">
        <f>J1456+K1456</f>
        <v>0</v>
      </c>
      <c r="M1456" s="4"/>
      <c r="N1456" s="4"/>
      <c r="O1456" s="4">
        <v>0</v>
      </c>
      <c r="P1456" s="4" t="s">
        <v>703</v>
      </c>
      <c r="Q1456" s="4"/>
      <c r="R1456" s="7">
        <v>0</v>
      </c>
      <c r="S1456" s="7">
        <v>0</v>
      </c>
      <c r="T1456" s="7">
        <f>R1456-S1456</f>
        <v>0</v>
      </c>
      <c r="U1456" s="7">
        <f>T1456*O1456</f>
        <v>0</v>
      </c>
    </row>
    <row r="1457" spans="1:21">
      <c r="A1457" s="4" t="s">
        <v>2051</v>
      </c>
      <c r="B1457" s="4"/>
      <c r="C1457" s="5">
        <v>45943</v>
      </c>
      <c r="D1457" s="5">
        <v>45943</v>
      </c>
      <c r="E1457" s="6">
        <f>IF(AND(C1457&lt;&gt;"",D1457&lt;&gt;""),D1457-C1457,"")</f>
        <v>0</v>
      </c>
      <c r="F1457" s="4"/>
      <c r="G1457" s="4"/>
      <c r="H1457" s="4"/>
      <c r="I1457" s="4" t="s">
        <v>56</v>
      </c>
      <c r="J1457" s="4">
        <v>0</v>
      </c>
      <c r="K1457" s="4">
        <v>0</v>
      </c>
      <c r="L1457" s="4">
        <f>J1457+K1457</f>
        <v>0</v>
      </c>
      <c r="M1457" s="4"/>
      <c r="N1457" s="4"/>
      <c r="O1457" s="4">
        <v>0</v>
      </c>
      <c r="P1457" s="4" t="s">
        <v>703</v>
      </c>
      <c r="Q1457" s="4"/>
      <c r="R1457" s="7">
        <v>0</v>
      </c>
      <c r="S1457" s="7">
        <v>0</v>
      </c>
      <c r="T1457" s="7">
        <f>R1457-S1457</f>
        <v>0</v>
      </c>
      <c r="U1457" s="7">
        <f>T1457*O1457</f>
        <v>0</v>
      </c>
    </row>
    <row r="1458" spans="1:21">
      <c r="A1458" s="4" t="s">
        <v>2052</v>
      </c>
      <c r="B1458" s="4"/>
      <c r="C1458" s="5">
        <v>45943</v>
      </c>
      <c r="D1458" s="5">
        <v>45943</v>
      </c>
      <c r="E1458" s="6">
        <f>IF(AND(C1458&lt;&gt;"",D1458&lt;&gt;""),D1458-C1458,"")</f>
        <v>0</v>
      </c>
      <c r="F1458" s="4"/>
      <c r="G1458" s="4"/>
      <c r="H1458" s="4"/>
      <c r="I1458" s="4" t="s">
        <v>56</v>
      </c>
      <c r="J1458" s="4">
        <v>0</v>
      </c>
      <c r="K1458" s="4">
        <v>0</v>
      </c>
      <c r="L1458" s="4">
        <f>J1458+K1458</f>
        <v>0</v>
      </c>
      <c r="M1458" s="4"/>
      <c r="N1458" s="4"/>
      <c r="O1458" s="4">
        <v>0</v>
      </c>
      <c r="P1458" s="4" t="s">
        <v>703</v>
      </c>
      <c r="Q1458" s="4"/>
      <c r="R1458" s="7">
        <v>0</v>
      </c>
      <c r="S1458" s="7">
        <v>0</v>
      </c>
      <c r="T1458" s="7">
        <f>R1458-S1458</f>
        <v>0</v>
      </c>
      <c r="U1458" s="7">
        <f>T1458*O1458</f>
        <v>0</v>
      </c>
    </row>
    <row r="1459" spans="1:21">
      <c r="A1459" s="4" t="s">
        <v>2053</v>
      </c>
      <c r="B1459" s="4"/>
      <c r="C1459" s="5">
        <v>45943</v>
      </c>
      <c r="D1459" s="5">
        <v>45943</v>
      </c>
      <c r="E1459" s="6">
        <f>IF(AND(C1459&lt;&gt;"",D1459&lt;&gt;""),D1459-C1459,"")</f>
        <v>0</v>
      </c>
      <c r="F1459" s="4"/>
      <c r="G1459" s="4"/>
      <c r="H1459" s="4"/>
      <c r="I1459" s="4" t="s">
        <v>56</v>
      </c>
      <c r="J1459" s="4">
        <v>0</v>
      </c>
      <c r="K1459" s="4">
        <v>0</v>
      </c>
      <c r="L1459" s="4">
        <f>J1459+K1459</f>
        <v>0</v>
      </c>
      <c r="M1459" s="4"/>
      <c r="N1459" s="4"/>
      <c r="O1459" s="4">
        <v>0</v>
      </c>
      <c r="P1459" s="4" t="s">
        <v>703</v>
      </c>
      <c r="Q1459" s="4"/>
      <c r="R1459" s="7">
        <v>0</v>
      </c>
      <c r="S1459" s="7">
        <v>0</v>
      </c>
      <c r="T1459" s="7">
        <f>R1459-S1459</f>
        <v>0</v>
      </c>
      <c r="U1459" s="7">
        <f>T1459*O1459</f>
        <v>0</v>
      </c>
    </row>
    <row r="1460" spans="1:21">
      <c r="A1460" s="4" t="s">
        <v>2053</v>
      </c>
      <c r="B1460" s="4"/>
      <c r="C1460" s="5">
        <v>45943</v>
      </c>
      <c r="D1460" s="5">
        <v>45943</v>
      </c>
      <c r="E1460" s="6">
        <f>IF(AND(C1460&lt;&gt;"",D1460&lt;&gt;""),D1460-C1460,"")</f>
        <v>0</v>
      </c>
      <c r="F1460" s="4"/>
      <c r="G1460" s="4"/>
      <c r="H1460" s="4"/>
      <c r="I1460" s="4" t="s">
        <v>56</v>
      </c>
      <c r="J1460" s="4">
        <v>0</v>
      </c>
      <c r="K1460" s="4">
        <v>0</v>
      </c>
      <c r="L1460" s="4">
        <f>J1460+K1460</f>
        <v>0</v>
      </c>
      <c r="M1460" s="4"/>
      <c r="N1460" s="4"/>
      <c r="O1460" s="4">
        <v>0</v>
      </c>
      <c r="P1460" s="4" t="s">
        <v>703</v>
      </c>
      <c r="Q1460" s="4"/>
      <c r="R1460" s="7">
        <v>0</v>
      </c>
      <c r="S1460" s="7">
        <v>0</v>
      </c>
      <c r="T1460" s="7">
        <f>R1460-S1460</f>
        <v>0</v>
      </c>
      <c r="U1460" s="7">
        <f>T1460*O1460</f>
        <v>0</v>
      </c>
    </row>
    <row r="1461" spans="1:21">
      <c r="A1461" s="4" t="s">
        <v>2054</v>
      </c>
      <c r="B1461" s="4"/>
      <c r="C1461" s="5">
        <v>45943</v>
      </c>
      <c r="D1461" s="5">
        <v>45943</v>
      </c>
      <c r="E1461" s="6">
        <f>IF(AND(C1461&lt;&gt;"",D1461&lt;&gt;""),D1461-C1461,"")</f>
        <v>0</v>
      </c>
      <c r="F1461" s="4"/>
      <c r="G1461" s="4"/>
      <c r="H1461" s="4"/>
      <c r="I1461" s="4" t="s">
        <v>56</v>
      </c>
      <c r="J1461" s="4">
        <v>0</v>
      </c>
      <c r="K1461" s="4">
        <v>0</v>
      </c>
      <c r="L1461" s="4">
        <f>J1461+K1461</f>
        <v>0</v>
      </c>
      <c r="M1461" s="4"/>
      <c r="N1461" s="4"/>
      <c r="O1461" s="4">
        <v>0</v>
      </c>
      <c r="P1461" s="4" t="s">
        <v>703</v>
      </c>
      <c r="Q1461" s="4"/>
      <c r="R1461" s="7">
        <v>0</v>
      </c>
      <c r="S1461" s="7">
        <v>0</v>
      </c>
      <c r="T1461" s="7">
        <f>R1461-S1461</f>
        <v>0</v>
      </c>
      <c r="U1461" s="7">
        <f>T1461*O1461</f>
        <v>0</v>
      </c>
    </row>
    <row r="1462" spans="1:21">
      <c r="A1462" s="4" t="s">
        <v>2055</v>
      </c>
      <c r="B1462" s="4"/>
      <c r="C1462" s="5">
        <v>45943</v>
      </c>
      <c r="D1462" s="5">
        <v>45943</v>
      </c>
      <c r="E1462" s="6">
        <f>IF(AND(C1462&lt;&gt;"",D1462&lt;&gt;""),D1462-C1462,"")</f>
        <v>0</v>
      </c>
      <c r="F1462" s="4"/>
      <c r="G1462" s="4"/>
      <c r="H1462" s="4"/>
      <c r="I1462" s="4" t="s">
        <v>56</v>
      </c>
      <c r="J1462" s="4">
        <v>0</v>
      </c>
      <c r="K1462" s="4">
        <v>0</v>
      </c>
      <c r="L1462" s="4">
        <f>J1462+K1462</f>
        <v>0</v>
      </c>
      <c r="M1462" s="4"/>
      <c r="N1462" s="4"/>
      <c r="O1462" s="4">
        <v>0</v>
      </c>
      <c r="P1462" s="4" t="s">
        <v>703</v>
      </c>
      <c r="Q1462" s="4"/>
      <c r="R1462" s="7">
        <v>0</v>
      </c>
      <c r="S1462" s="7">
        <v>0</v>
      </c>
      <c r="T1462" s="7">
        <f>R1462-S1462</f>
        <v>0</v>
      </c>
      <c r="U1462" s="7">
        <f>T1462*O1462</f>
        <v>0</v>
      </c>
    </row>
    <row r="1463" spans="1:21">
      <c r="A1463" s="4" t="s">
        <v>2055</v>
      </c>
      <c r="B1463" s="4"/>
      <c r="C1463" s="5">
        <v>45943</v>
      </c>
      <c r="D1463" s="5">
        <v>45943</v>
      </c>
      <c r="E1463" s="6">
        <f>IF(AND(C1463&lt;&gt;"",D1463&lt;&gt;""),D1463-C1463,"")</f>
        <v>0</v>
      </c>
      <c r="F1463" s="4"/>
      <c r="G1463" s="4"/>
      <c r="H1463" s="4"/>
      <c r="I1463" s="4" t="s">
        <v>56</v>
      </c>
      <c r="J1463" s="4">
        <v>0</v>
      </c>
      <c r="K1463" s="4">
        <v>0</v>
      </c>
      <c r="L1463" s="4">
        <f>J1463+K1463</f>
        <v>0</v>
      </c>
      <c r="M1463" s="4"/>
      <c r="N1463" s="4"/>
      <c r="O1463" s="4">
        <v>0</v>
      </c>
      <c r="P1463" s="4" t="s">
        <v>703</v>
      </c>
      <c r="Q1463" s="4"/>
      <c r="R1463" s="7">
        <v>0</v>
      </c>
      <c r="S1463" s="7">
        <v>0</v>
      </c>
      <c r="T1463" s="7">
        <f>R1463-S1463</f>
        <v>0</v>
      </c>
      <c r="U1463" s="7">
        <f>T1463*O1463</f>
        <v>0</v>
      </c>
    </row>
    <row r="1464" spans="1:21">
      <c r="A1464" s="4" t="s">
        <v>2056</v>
      </c>
      <c r="B1464" s="4"/>
      <c r="C1464" s="5">
        <v>45943</v>
      </c>
      <c r="D1464" s="5">
        <v>45943</v>
      </c>
      <c r="E1464" s="6">
        <f>IF(AND(C1464&lt;&gt;"",D1464&lt;&gt;""),D1464-C1464,"")</f>
        <v>0</v>
      </c>
      <c r="F1464" s="4"/>
      <c r="G1464" s="4"/>
      <c r="H1464" s="4"/>
      <c r="I1464" s="4" t="s">
        <v>56</v>
      </c>
      <c r="J1464" s="4">
        <v>0</v>
      </c>
      <c r="K1464" s="4">
        <v>0</v>
      </c>
      <c r="L1464" s="4">
        <f>J1464+K1464</f>
        <v>0</v>
      </c>
      <c r="M1464" s="4"/>
      <c r="N1464" s="4"/>
      <c r="O1464" s="4">
        <v>0</v>
      </c>
      <c r="P1464" s="4" t="s">
        <v>703</v>
      </c>
      <c r="Q1464" s="4"/>
      <c r="R1464" s="7">
        <v>0</v>
      </c>
      <c r="S1464" s="7">
        <v>0</v>
      </c>
      <c r="T1464" s="7">
        <f>R1464-S1464</f>
        <v>0</v>
      </c>
      <c r="U1464" s="7">
        <f>T1464*O1464</f>
        <v>0</v>
      </c>
    </row>
    <row r="1465" spans="1:21">
      <c r="A1465" s="4" t="s">
        <v>2057</v>
      </c>
      <c r="B1465" s="4"/>
      <c r="C1465" s="5">
        <v>45943</v>
      </c>
      <c r="D1465" s="5">
        <v>45943</v>
      </c>
      <c r="E1465" s="6">
        <f>IF(AND(C1465&lt;&gt;"",D1465&lt;&gt;""),D1465-C1465,"")</f>
        <v>0</v>
      </c>
      <c r="F1465" s="4"/>
      <c r="G1465" s="4"/>
      <c r="H1465" s="4"/>
      <c r="I1465" s="4" t="s">
        <v>56</v>
      </c>
      <c r="J1465" s="4">
        <v>0</v>
      </c>
      <c r="K1465" s="4">
        <v>0</v>
      </c>
      <c r="L1465" s="4">
        <f>J1465+K1465</f>
        <v>0</v>
      </c>
      <c r="M1465" s="4"/>
      <c r="N1465" s="4"/>
      <c r="O1465" s="4">
        <v>0</v>
      </c>
      <c r="P1465" s="4" t="s">
        <v>703</v>
      </c>
      <c r="Q1465" s="4"/>
      <c r="R1465" s="7">
        <v>0</v>
      </c>
      <c r="S1465" s="7">
        <v>0</v>
      </c>
      <c r="T1465" s="7">
        <f>R1465-S1465</f>
        <v>0</v>
      </c>
      <c r="U1465" s="7">
        <f>T1465*O1465</f>
        <v>0</v>
      </c>
    </row>
    <row r="1466" spans="1:21">
      <c r="A1466" s="4" t="s">
        <v>2057</v>
      </c>
      <c r="B1466" s="4"/>
      <c r="C1466" s="5">
        <v>45943</v>
      </c>
      <c r="D1466" s="5">
        <v>45943</v>
      </c>
      <c r="E1466" s="6">
        <f>IF(AND(C1466&lt;&gt;"",D1466&lt;&gt;""),D1466-C1466,"")</f>
        <v>0</v>
      </c>
      <c r="F1466" s="4"/>
      <c r="G1466" s="4"/>
      <c r="H1466" s="4"/>
      <c r="I1466" s="4" t="s">
        <v>56</v>
      </c>
      <c r="J1466" s="4">
        <v>0</v>
      </c>
      <c r="K1466" s="4">
        <v>0</v>
      </c>
      <c r="L1466" s="4">
        <f>J1466+K1466</f>
        <v>0</v>
      </c>
      <c r="M1466" s="4"/>
      <c r="N1466" s="4"/>
      <c r="O1466" s="4">
        <v>0</v>
      </c>
      <c r="P1466" s="4" t="s">
        <v>703</v>
      </c>
      <c r="Q1466" s="4"/>
      <c r="R1466" s="7">
        <v>0</v>
      </c>
      <c r="S1466" s="7">
        <v>0</v>
      </c>
      <c r="T1466" s="7">
        <f>R1466-S1466</f>
        <v>0</v>
      </c>
      <c r="U1466" s="7">
        <f>T1466*O1466</f>
        <v>0</v>
      </c>
    </row>
    <row r="1467" spans="1:21">
      <c r="A1467" s="4" t="s">
        <v>2057</v>
      </c>
      <c r="B1467" s="4"/>
      <c r="C1467" s="5">
        <v>45943</v>
      </c>
      <c r="D1467" s="5">
        <v>45943</v>
      </c>
      <c r="E1467" s="6">
        <f>IF(AND(C1467&lt;&gt;"",D1467&lt;&gt;""),D1467-C1467,"")</f>
        <v>0</v>
      </c>
      <c r="F1467" s="4"/>
      <c r="G1467" s="4"/>
      <c r="H1467" s="4"/>
      <c r="I1467" s="4" t="s">
        <v>56</v>
      </c>
      <c r="J1467" s="4">
        <v>0</v>
      </c>
      <c r="K1467" s="4">
        <v>0</v>
      </c>
      <c r="L1467" s="4">
        <f>J1467+K1467</f>
        <v>0</v>
      </c>
      <c r="M1467" s="4"/>
      <c r="N1467" s="4"/>
      <c r="O1467" s="4">
        <v>0</v>
      </c>
      <c r="P1467" s="4" t="s">
        <v>703</v>
      </c>
      <c r="Q1467" s="4"/>
      <c r="R1467" s="7">
        <v>0</v>
      </c>
      <c r="S1467" s="7">
        <v>0</v>
      </c>
      <c r="T1467" s="7">
        <f>R1467-S1467</f>
        <v>0</v>
      </c>
      <c r="U1467" s="7">
        <f>T1467*O1467</f>
        <v>0</v>
      </c>
    </row>
    <row r="1468" spans="1:21">
      <c r="A1468" s="4" t="s">
        <v>2057</v>
      </c>
      <c r="B1468" s="4"/>
      <c r="C1468" s="5">
        <v>45943</v>
      </c>
      <c r="D1468" s="5">
        <v>45943</v>
      </c>
      <c r="E1468" s="6">
        <f>IF(AND(C1468&lt;&gt;"",D1468&lt;&gt;""),D1468-C1468,"")</f>
        <v>0</v>
      </c>
      <c r="F1468" s="4"/>
      <c r="G1468" s="4"/>
      <c r="H1468" s="4"/>
      <c r="I1468" s="4" t="s">
        <v>56</v>
      </c>
      <c r="J1468" s="4">
        <v>0</v>
      </c>
      <c r="K1468" s="4">
        <v>0</v>
      </c>
      <c r="L1468" s="4">
        <f>J1468+K1468</f>
        <v>0</v>
      </c>
      <c r="M1468" s="4"/>
      <c r="N1468" s="4"/>
      <c r="O1468" s="4">
        <v>0</v>
      </c>
      <c r="P1468" s="4" t="s">
        <v>703</v>
      </c>
      <c r="Q1468" s="4"/>
      <c r="R1468" s="7">
        <v>0</v>
      </c>
      <c r="S1468" s="7">
        <v>0</v>
      </c>
      <c r="T1468" s="7">
        <f>R1468-S1468</f>
        <v>0</v>
      </c>
      <c r="U1468" s="7">
        <f>T1468*O1468</f>
        <v>0</v>
      </c>
    </row>
    <row r="1469" spans="1:21">
      <c r="A1469" s="4" t="s">
        <v>2058</v>
      </c>
      <c r="B1469" s="4"/>
      <c r="C1469" s="5">
        <v>45943</v>
      </c>
      <c r="D1469" s="5">
        <v>45943</v>
      </c>
      <c r="E1469" s="6">
        <f>IF(AND(C1469&lt;&gt;"",D1469&lt;&gt;""),D1469-C1469,"")</f>
        <v>0</v>
      </c>
      <c r="F1469" s="4"/>
      <c r="G1469" s="4"/>
      <c r="H1469" s="4"/>
      <c r="I1469" s="4" t="s">
        <v>56</v>
      </c>
      <c r="J1469" s="4">
        <v>0</v>
      </c>
      <c r="K1469" s="4">
        <v>0</v>
      </c>
      <c r="L1469" s="4">
        <f>J1469+K1469</f>
        <v>0</v>
      </c>
      <c r="M1469" s="4"/>
      <c r="N1469" s="4"/>
      <c r="O1469" s="4">
        <v>0</v>
      </c>
      <c r="P1469" s="4" t="s">
        <v>703</v>
      </c>
      <c r="Q1469" s="4"/>
      <c r="R1469" s="7">
        <v>0</v>
      </c>
      <c r="S1469" s="7">
        <v>0</v>
      </c>
      <c r="T1469" s="7">
        <f>R1469-S1469</f>
        <v>0</v>
      </c>
      <c r="U1469" s="7">
        <f>T1469*O1469</f>
        <v>0</v>
      </c>
    </row>
    <row r="1470" spans="1:21">
      <c r="A1470" s="4" t="s">
        <v>2058</v>
      </c>
      <c r="B1470" s="4"/>
      <c r="C1470" s="5">
        <v>45943</v>
      </c>
      <c r="D1470" s="5">
        <v>45943</v>
      </c>
      <c r="E1470" s="6">
        <f>IF(AND(C1470&lt;&gt;"",D1470&lt;&gt;""),D1470-C1470,"")</f>
        <v>0</v>
      </c>
      <c r="F1470" s="4"/>
      <c r="G1470" s="4"/>
      <c r="H1470" s="4"/>
      <c r="I1470" s="4" t="s">
        <v>56</v>
      </c>
      <c r="J1470" s="4">
        <v>0</v>
      </c>
      <c r="K1470" s="4">
        <v>0</v>
      </c>
      <c r="L1470" s="4">
        <f>J1470+K1470</f>
        <v>0</v>
      </c>
      <c r="M1470" s="4"/>
      <c r="N1470" s="4"/>
      <c r="O1470" s="4">
        <v>0</v>
      </c>
      <c r="P1470" s="4" t="s">
        <v>703</v>
      </c>
      <c r="Q1470" s="4"/>
      <c r="R1470" s="7">
        <v>0</v>
      </c>
      <c r="S1470" s="7">
        <v>0</v>
      </c>
      <c r="T1470" s="7">
        <f>R1470-S1470</f>
        <v>0</v>
      </c>
      <c r="U1470" s="7">
        <f>T1470*O1470</f>
        <v>0</v>
      </c>
    </row>
    <row r="1471" spans="1:21">
      <c r="A1471" s="4" t="s">
        <v>2058</v>
      </c>
      <c r="B1471" s="4"/>
      <c r="C1471" s="5">
        <v>45943</v>
      </c>
      <c r="D1471" s="5">
        <v>45943</v>
      </c>
      <c r="E1471" s="6">
        <f>IF(AND(C1471&lt;&gt;"",D1471&lt;&gt;""),D1471-C1471,"")</f>
        <v>0</v>
      </c>
      <c r="F1471" s="4"/>
      <c r="G1471" s="4"/>
      <c r="H1471" s="4"/>
      <c r="I1471" s="4" t="s">
        <v>56</v>
      </c>
      <c r="J1471" s="4">
        <v>0</v>
      </c>
      <c r="K1471" s="4">
        <v>0</v>
      </c>
      <c r="L1471" s="4">
        <f>J1471+K1471</f>
        <v>0</v>
      </c>
      <c r="M1471" s="4"/>
      <c r="N1471" s="4"/>
      <c r="O1471" s="4">
        <v>0</v>
      </c>
      <c r="P1471" s="4" t="s">
        <v>703</v>
      </c>
      <c r="Q1471" s="4"/>
      <c r="R1471" s="7">
        <v>0</v>
      </c>
      <c r="S1471" s="7">
        <v>0</v>
      </c>
      <c r="T1471" s="7">
        <f>R1471-S1471</f>
        <v>0</v>
      </c>
      <c r="U1471" s="7">
        <f>T1471*O1471</f>
        <v>0</v>
      </c>
    </row>
    <row r="1472" spans="1:21">
      <c r="A1472" s="4" t="s">
        <v>2058</v>
      </c>
      <c r="B1472" s="4"/>
      <c r="C1472" s="5">
        <v>45943</v>
      </c>
      <c r="D1472" s="5">
        <v>45943</v>
      </c>
      <c r="E1472" s="6">
        <f>IF(AND(C1472&lt;&gt;"",D1472&lt;&gt;""),D1472-C1472,"")</f>
        <v>0</v>
      </c>
      <c r="F1472" s="4"/>
      <c r="G1472" s="4"/>
      <c r="H1472" s="4"/>
      <c r="I1472" s="4" t="s">
        <v>56</v>
      </c>
      <c r="J1472" s="4">
        <v>0</v>
      </c>
      <c r="K1472" s="4">
        <v>0</v>
      </c>
      <c r="L1472" s="4">
        <f>J1472+K1472</f>
        <v>0</v>
      </c>
      <c r="M1472" s="4"/>
      <c r="N1472" s="4"/>
      <c r="O1472" s="4">
        <v>0</v>
      </c>
      <c r="P1472" s="4" t="s">
        <v>703</v>
      </c>
      <c r="Q1472" s="4"/>
      <c r="R1472" s="7">
        <v>0</v>
      </c>
      <c r="S1472" s="7">
        <v>0</v>
      </c>
      <c r="T1472" s="7">
        <f>R1472-S1472</f>
        <v>0</v>
      </c>
      <c r="U1472" s="7">
        <f>T1472*O1472</f>
        <v>0</v>
      </c>
    </row>
    <row r="1473" spans="1:21">
      <c r="A1473" s="4" t="s">
        <v>2059</v>
      </c>
      <c r="B1473" s="4"/>
      <c r="C1473" s="5">
        <v>45943</v>
      </c>
      <c r="D1473" s="5">
        <v>45943</v>
      </c>
      <c r="E1473" s="6">
        <f>IF(AND(C1473&lt;&gt;"",D1473&lt;&gt;""),D1473-C1473,"")</f>
        <v>0</v>
      </c>
      <c r="F1473" s="4"/>
      <c r="G1473" s="4"/>
      <c r="H1473" s="4"/>
      <c r="I1473" s="4" t="s">
        <v>56</v>
      </c>
      <c r="J1473" s="4">
        <v>0</v>
      </c>
      <c r="K1473" s="4">
        <v>0</v>
      </c>
      <c r="L1473" s="4">
        <f>J1473+K1473</f>
        <v>0</v>
      </c>
      <c r="M1473" s="4"/>
      <c r="N1473" s="4"/>
      <c r="O1473" s="4">
        <v>0</v>
      </c>
      <c r="P1473" s="4" t="s">
        <v>703</v>
      </c>
      <c r="Q1473" s="4"/>
      <c r="R1473" s="7">
        <v>0</v>
      </c>
      <c r="S1473" s="7">
        <v>0</v>
      </c>
      <c r="T1473" s="7">
        <f>R1473-S1473</f>
        <v>0</v>
      </c>
      <c r="U1473" s="7">
        <f>T1473*O1473</f>
        <v>0</v>
      </c>
    </row>
    <row r="1474" spans="1:21">
      <c r="A1474" s="4" t="s">
        <v>2059</v>
      </c>
      <c r="B1474" s="4"/>
      <c r="C1474" s="5">
        <v>45943</v>
      </c>
      <c r="D1474" s="5">
        <v>45943</v>
      </c>
      <c r="E1474" s="6">
        <f>IF(AND(C1474&lt;&gt;"",D1474&lt;&gt;""),D1474-C1474,"")</f>
        <v>0</v>
      </c>
      <c r="F1474" s="4"/>
      <c r="G1474" s="4"/>
      <c r="H1474" s="4"/>
      <c r="I1474" s="4" t="s">
        <v>56</v>
      </c>
      <c r="J1474" s="4">
        <v>0</v>
      </c>
      <c r="K1474" s="4">
        <v>0</v>
      </c>
      <c r="L1474" s="4">
        <f>J1474+K1474</f>
        <v>0</v>
      </c>
      <c r="M1474" s="4"/>
      <c r="N1474" s="4"/>
      <c r="O1474" s="4">
        <v>0</v>
      </c>
      <c r="P1474" s="4" t="s">
        <v>703</v>
      </c>
      <c r="Q1474" s="4"/>
      <c r="R1474" s="7">
        <v>0</v>
      </c>
      <c r="S1474" s="7">
        <v>0</v>
      </c>
      <c r="T1474" s="7">
        <f>R1474-S1474</f>
        <v>0</v>
      </c>
      <c r="U1474" s="7">
        <f>T1474*O1474</f>
        <v>0</v>
      </c>
    </row>
    <row r="1475" spans="1:21">
      <c r="A1475" s="4" t="s">
        <v>2059</v>
      </c>
      <c r="B1475" s="4"/>
      <c r="C1475" s="5">
        <v>45943</v>
      </c>
      <c r="D1475" s="5">
        <v>45943</v>
      </c>
      <c r="E1475" s="6">
        <f>IF(AND(C1475&lt;&gt;"",D1475&lt;&gt;""),D1475-C1475,"")</f>
        <v>0</v>
      </c>
      <c r="F1475" s="4"/>
      <c r="G1475" s="4"/>
      <c r="H1475" s="4"/>
      <c r="I1475" s="4" t="s">
        <v>56</v>
      </c>
      <c r="J1475" s="4">
        <v>0</v>
      </c>
      <c r="K1475" s="4">
        <v>0</v>
      </c>
      <c r="L1475" s="4">
        <f>J1475+K1475</f>
        <v>0</v>
      </c>
      <c r="M1475" s="4"/>
      <c r="N1475" s="4"/>
      <c r="O1475" s="4">
        <v>0</v>
      </c>
      <c r="P1475" s="4" t="s">
        <v>703</v>
      </c>
      <c r="Q1475" s="4"/>
      <c r="R1475" s="7">
        <v>0</v>
      </c>
      <c r="S1475" s="7">
        <v>0</v>
      </c>
      <c r="T1475" s="7">
        <f>R1475-S1475</f>
        <v>0</v>
      </c>
      <c r="U1475" s="7">
        <f>T1475*O1475</f>
        <v>0</v>
      </c>
    </row>
    <row r="1476" spans="1:21">
      <c r="A1476" s="4" t="s">
        <v>2059</v>
      </c>
      <c r="B1476" s="4"/>
      <c r="C1476" s="5">
        <v>45943</v>
      </c>
      <c r="D1476" s="5">
        <v>45943</v>
      </c>
      <c r="E1476" s="6">
        <f>IF(AND(C1476&lt;&gt;"",D1476&lt;&gt;""),D1476-C1476,"")</f>
        <v>0</v>
      </c>
      <c r="F1476" s="4"/>
      <c r="G1476" s="4"/>
      <c r="H1476" s="4"/>
      <c r="I1476" s="4" t="s">
        <v>56</v>
      </c>
      <c r="J1476" s="4">
        <v>0</v>
      </c>
      <c r="K1476" s="4">
        <v>0</v>
      </c>
      <c r="L1476" s="4">
        <f>J1476+K1476</f>
        <v>0</v>
      </c>
      <c r="M1476" s="4"/>
      <c r="N1476" s="4"/>
      <c r="O1476" s="4">
        <v>0</v>
      </c>
      <c r="P1476" s="4" t="s">
        <v>703</v>
      </c>
      <c r="Q1476" s="4"/>
      <c r="R1476" s="7">
        <v>0</v>
      </c>
      <c r="S1476" s="7">
        <v>0</v>
      </c>
      <c r="T1476" s="7">
        <f>R1476-S1476</f>
        <v>0</v>
      </c>
      <c r="U1476" s="7">
        <f>T1476*O1476</f>
        <v>0</v>
      </c>
    </row>
    <row r="1477" spans="1:21">
      <c r="A1477" s="4" t="s">
        <v>2060</v>
      </c>
      <c r="B1477" s="4"/>
      <c r="C1477" s="5">
        <v>45943</v>
      </c>
      <c r="D1477" s="5">
        <v>45943</v>
      </c>
      <c r="E1477" s="6">
        <f>IF(AND(C1477&lt;&gt;"",D1477&lt;&gt;""),D1477-C1477,"")</f>
        <v>0</v>
      </c>
      <c r="F1477" s="4"/>
      <c r="G1477" s="4"/>
      <c r="H1477" s="4"/>
      <c r="I1477" s="4" t="s">
        <v>56</v>
      </c>
      <c r="J1477" s="4">
        <v>0</v>
      </c>
      <c r="K1477" s="4">
        <v>0</v>
      </c>
      <c r="L1477" s="4">
        <f>J1477+K1477</f>
        <v>0</v>
      </c>
      <c r="M1477" s="4"/>
      <c r="N1477" s="4"/>
      <c r="O1477" s="4">
        <v>0</v>
      </c>
      <c r="P1477" s="4" t="s">
        <v>703</v>
      </c>
      <c r="Q1477" s="4"/>
      <c r="R1477" s="7">
        <v>0</v>
      </c>
      <c r="S1477" s="7">
        <v>0</v>
      </c>
      <c r="T1477" s="7">
        <f>R1477-S1477</f>
        <v>0</v>
      </c>
      <c r="U1477" s="7">
        <f>T1477*O1477</f>
        <v>0</v>
      </c>
    </row>
    <row r="1478" spans="1:21">
      <c r="A1478" s="4" t="s">
        <v>2060</v>
      </c>
      <c r="B1478" s="4"/>
      <c r="C1478" s="5">
        <v>45943</v>
      </c>
      <c r="D1478" s="5">
        <v>45943</v>
      </c>
      <c r="E1478" s="6">
        <f>IF(AND(C1478&lt;&gt;"",D1478&lt;&gt;""),D1478-C1478,"")</f>
        <v>0</v>
      </c>
      <c r="F1478" s="4"/>
      <c r="G1478" s="4"/>
      <c r="H1478" s="4"/>
      <c r="I1478" s="4" t="s">
        <v>56</v>
      </c>
      <c r="J1478" s="4">
        <v>0</v>
      </c>
      <c r="K1478" s="4">
        <v>0</v>
      </c>
      <c r="L1478" s="4">
        <f>J1478+K1478</f>
        <v>0</v>
      </c>
      <c r="M1478" s="4"/>
      <c r="N1478" s="4"/>
      <c r="O1478" s="4">
        <v>0</v>
      </c>
      <c r="P1478" s="4" t="s">
        <v>703</v>
      </c>
      <c r="Q1478" s="4"/>
      <c r="R1478" s="7">
        <v>0</v>
      </c>
      <c r="S1478" s="7">
        <v>0</v>
      </c>
      <c r="T1478" s="7">
        <f>R1478-S1478</f>
        <v>0</v>
      </c>
      <c r="U1478" s="7">
        <f>T1478*O1478</f>
        <v>0</v>
      </c>
    </row>
    <row r="1479" spans="1:21">
      <c r="A1479" s="4" t="s">
        <v>2061</v>
      </c>
      <c r="B1479" s="4"/>
      <c r="C1479" s="5">
        <v>45943</v>
      </c>
      <c r="D1479" s="5">
        <v>45943</v>
      </c>
      <c r="E1479" s="6">
        <f>IF(AND(C1479&lt;&gt;"",D1479&lt;&gt;""),D1479-C1479,"")</f>
        <v>0</v>
      </c>
      <c r="F1479" s="4"/>
      <c r="G1479" s="4"/>
      <c r="H1479" s="4"/>
      <c r="I1479" s="4" t="s">
        <v>56</v>
      </c>
      <c r="J1479" s="4">
        <v>0</v>
      </c>
      <c r="K1479" s="4">
        <v>0</v>
      </c>
      <c r="L1479" s="4">
        <f>J1479+K1479</f>
        <v>0</v>
      </c>
      <c r="M1479" s="4"/>
      <c r="N1479" s="4"/>
      <c r="O1479" s="4">
        <v>0</v>
      </c>
      <c r="P1479" s="4" t="s">
        <v>703</v>
      </c>
      <c r="Q1479" s="4"/>
      <c r="R1479" s="7">
        <v>0</v>
      </c>
      <c r="S1479" s="7">
        <v>0</v>
      </c>
      <c r="T1479" s="7">
        <f>R1479-S1479</f>
        <v>0</v>
      </c>
      <c r="U1479" s="7">
        <f>T1479*O1479</f>
        <v>0</v>
      </c>
    </row>
    <row r="1480" spans="1:21">
      <c r="A1480" s="4" t="s">
        <v>2061</v>
      </c>
      <c r="B1480" s="4"/>
      <c r="C1480" s="5">
        <v>45943</v>
      </c>
      <c r="D1480" s="5">
        <v>45943</v>
      </c>
      <c r="E1480" s="6">
        <f>IF(AND(C1480&lt;&gt;"",D1480&lt;&gt;""),D1480-C1480,"")</f>
        <v>0</v>
      </c>
      <c r="F1480" s="4"/>
      <c r="G1480" s="4"/>
      <c r="H1480" s="4"/>
      <c r="I1480" s="4" t="s">
        <v>56</v>
      </c>
      <c r="J1480" s="4">
        <v>0</v>
      </c>
      <c r="K1480" s="4">
        <v>0</v>
      </c>
      <c r="L1480" s="4">
        <f>J1480+K1480</f>
        <v>0</v>
      </c>
      <c r="M1480" s="4"/>
      <c r="N1480" s="4"/>
      <c r="O1480" s="4">
        <v>0</v>
      </c>
      <c r="P1480" s="4" t="s">
        <v>703</v>
      </c>
      <c r="Q1480" s="4"/>
      <c r="R1480" s="7">
        <v>0</v>
      </c>
      <c r="S1480" s="7">
        <v>0</v>
      </c>
      <c r="T1480" s="7">
        <f>R1480-S1480</f>
        <v>0</v>
      </c>
      <c r="U1480" s="7">
        <f>T1480*O1480</f>
        <v>0</v>
      </c>
    </row>
    <row r="1481" spans="1:21">
      <c r="A1481" s="4" t="s">
        <v>2062</v>
      </c>
      <c r="B1481" s="4"/>
      <c r="C1481" s="5">
        <v>45943</v>
      </c>
      <c r="D1481" s="5">
        <v>45943</v>
      </c>
      <c r="E1481" s="6">
        <f>IF(AND(C1481&lt;&gt;"",D1481&lt;&gt;""),D1481-C1481,"")</f>
        <v>0</v>
      </c>
      <c r="F1481" s="4"/>
      <c r="G1481" s="4"/>
      <c r="H1481" s="4"/>
      <c r="I1481" s="4" t="s">
        <v>56</v>
      </c>
      <c r="J1481" s="4">
        <v>0</v>
      </c>
      <c r="K1481" s="4">
        <v>0</v>
      </c>
      <c r="L1481" s="4">
        <f>J1481+K1481</f>
        <v>0</v>
      </c>
      <c r="M1481" s="4"/>
      <c r="N1481" s="4"/>
      <c r="O1481" s="4">
        <v>0</v>
      </c>
      <c r="P1481" s="4" t="s">
        <v>703</v>
      </c>
      <c r="Q1481" s="4"/>
      <c r="R1481" s="7">
        <v>0</v>
      </c>
      <c r="S1481" s="7">
        <v>0</v>
      </c>
      <c r="T1481" s="7">
        <f>R1481-S1481</f>
        <v>0</v>
      </c>
      <c r="U1481" s="7">
        <f>T1481*O1481</f>
        <v>0</v>
      </c>
    </row>
    <row r="1482" spans="1:21">
      <c r="A1482" s="4" t="s">
        <v>2062</v>
      </c>
      <c r="B1482" s="4"/>
      <c r="C1482" s="5">
        <v>45943</v>
      </c>
      <c r="D1482" s="5">
        <v>45943</v>
      </c>
      <c r="E1482" s="6">
        <f>IF(AND(C1482&lt;&gt;"",D1482&lt;&gt;""),D1482-C1482,"")</f>
        <v>0</v>
      </c>
      <c r="F1482" s="4"/>
      <c r="G1482" s="4"/>
      <c r="H1482" s="4"/>
      <c r="I1482" s="4" t="s">
        <v>56</v>
      </c>
      <c r="J1482" s="4">
        <v>0</v>
      </c>
      <c r="K1482" s="4">
        <v>0</v>
      </c>
      <c r="L1482" s="4">
        <f>J1482+K1482</f>
        <v>0</v>
      </c>
      <c r="M1482" s="4"/>
      <c r="N1482" s="4"/>
      <c r="O1482" s="4">
        <v>0</v>
      </c>
      <c r="P1482" s="4" t="s">
        <v>703</v>
      </c>
      <c r="Q1482" s="4"/>
      <c r="R1482" s="7">
        <v>0</v>
      </c>
      <c r="S1482" s="7">
        <v>0</v>
      </c>
      <c r="T1482" s="7">
        <f>R1482-S1482</f>
        <v>0</v>
      </c>
      <c r="U1482" s="7">
        <f>T1482*O1482</f>
        <v>0</v>
      </c>
    </row>
    <row r="1483" spans="1:21">
      <c r="A1483" s="4" t="s">
        <v>2063</v>
      </c>
      <c r="B1483" s="4"/>
      <c r="C1483" s="5">
        <v>45943</v>
      </c>
      <c r="D1483" s="5">
        <v>45943</v>
      </c>
      <c r="E1483" s="6">
        <f>IF(AND(C1483&lt;&gt;"",D1483&lt;&gt;""),D1483-C1483,"")</f>
        <v>0</v>
      </c>
      <c r="F1483" s="4"/>
      <c r="G1483" s="4"/>
      <c r="H1483" s="4"/>
      <c r="I1483" s="4" t="s">
        <v>56</v>
      </c>
      <c r="J1483" s="4">
        <v>0</v>
      </c>
      <c r="K1483" s="4">
        <v>0</v>
      </c>
      <c r="L1483" s="4">
        <f>J1483+K1483</f>
        <v>0</v>
      </c>
      <c r="M1483" s="4"/>
      <c r="N1483" s="4"/>
      <c r="O1483" s="4">
        <v>0</v>
      </c>
      <c r="P1483" s="4" t="s">
        <v>703</v>
      </c>
      <c r="Q1483" s="4"/>
      <c r="R1483" s="7">
        <v>0</v>
      </c>
      <c r="S1483" s="7">
        <v>0</v>
      </c>
      <c r="T1483" s="7">
        <f>R1483-S1483</f>
        <v>0</v>
      </c>
      <c r="U1483" s="7">
        <f>T1483*O1483</f>
        <v>0</v>
      </c>
    </row>
    <row r="1484" spans="1:21">
      <c r="A1484" s="4" t="s">
        <v>2063</v>
      </c>
      <c r="B1484" s="4"/>
      <c r="C1484" s="5">
        <v>45943</v>
      </c>
      <c r="D1484" s="5">
        <v>45943</v>
      </c>
      <c r="E1484" s="6">
        <f>IF(AND(C1484&lt;&gt;"",D1484&lt;&gt;""),D1484-C1484,"")</f>
        <v>0</v>
      </c>
      <c r="F1484" s="4"/>
      <c r="G1484" s="4"/>
      <c r="H1484" s="4"/>
      <c r="I1484" s="4" t="s">
        <v>56</v>
      </c>
      <c r="J1484" s="4">
        <v>0</v>
      </c>
      <c r="K1484" s="4">
        <v>0</v>
      </c>
      <c r="L1484" s="4">
        <f>J1484+K1484</f>
        <v>0</v>
      </c>
      <c r="M1484" s="4"/>
      <c r="N1484" s="4"/>
      <c r="O1484" s="4">
        <v>0</v>
      </c>
      <c r="P1484" s="4" t="s">
        <v>703</v>
      </c>
      <c r="Q1484" s="4"/>
      <c r="R1484" s="7">
        <v>0</v>
      </c>
      <c r="S1484" s="7">
        <v>0</v>
      </c>
      <c r="T1484" s="7">
        <f>R1484-S1484</f>
        <v>0</v>
      </c>
      <c r="U1484" s="7">
        <f>T1484*O1484</f>
        <v>0</v>
      </c>
    </row>
    <row r="1485" spans="1:21">
      <c r="A1485" s="4" t="s">
        <v>2064</v>
      </c>
      <c r="B1485" s="4"/>
      <c r="C1485" s="5">
        <v>45943</v>
      </c>
      <c r="D1485" s="5">
        <v>45943</v>
      </c>
      <c r="E1485" s="6">
        <f>IF(AND(C1485&lt;&gt;"",D1485&lt;&gt;""),D1485-C1485,"")</f>
        <v>0</v>
      </c>
      <c r="F1485" s="4"/>
      <c r="G1485" s="4"/>
      <c r="H1485" s="4"/>
      <c r="I1485" s="4" t="s">
        <v>56</v>
      </c>
      <c r="J1485" s="4">
        <v>0</v>
      </c>
      <c r="K1485" s="4">
        <v>0</v>
      </c>
      <c r="L1485" s="4">
        <f>J1485+K1485</f>
        <v>0</v>
      </c>
      <c r="M1485" s="4"/>
      <c r="N1485" s="4"/>
      <c r="O1485" s="4">
        <v>0</v>
      </c>
      <c r="P1485" s="4" t="s">
        <v>703</v>
      </c>
      <c r="Q1485" s="4"/>
      <c r="R1485" s="7">
        <v>0</v>
      </c>
      <c r="S1485" s="7">
        <v>0</v>
      </c>
      <c r="T1485" s="7">
        <f>R1485-S1485</f>
        <v>0</v>
      </c>
      <c r="U1485" s="7">
        <f>T1485*O1485</f>
        <v>0</v>
      </c>
    </row>
    <row r="1486" spans="1:21">
      <c r="A1486" s="4" t="s">
        <v>2065</v>
      </c>
      <c r="B1486" s="4"/>
      <c r="C1486" s="5">
        <v>45943</v>
      </c>
      <c r="D1486" s="5">
        <v>45943</v>
      </c>
      <c r="E1486" s="6">
        <f>IF(AND(C1486&lt;&gt;"",D1486&lt;&gt;""),D1486-C1486,"")</f>
        <v>0</v>
      </c>
      <c r="F1486" s="4"/>
      <c r="G1486" s="4"/>
      <c r="H1486" s="4"/>
      <c r="I1486" s="4" t="s">
        <v>56</v>
      </c>
      <c r="J1486" s="4">
        <v>0</v>
      </c>
      <c r="K1486" s="4">
        <v>0</v>
      </c>
      <c r="L1486" s="4">
        <f>J1486+K1486</f>
        <v>0</v>
      </c>
      <c r="M1486" s="4"/>
      <c r="N1486" s="4"/>
      <c r="O1486" s="4">
        <v>0</v>
      </c>
      <c r="P1486" s="4" t="s">
        <v>703</v>
      </c>
      <c r="Q1486" s="4"/>
      <c r="R1486" s="7">
        <v>0</v>
      </c>
      <c r="S1486" s="7">
        <v>0</v>
      </c>
      <c r="T1486" s="7">
        <f>R1486-S1486</f>
        <v>0</v>
      </c>
      <c r="U1486" s="7">
        <f>T1486*O1486</f>
        <v>0</v>
      </c>
    </row>
    <row r="1487" spans="1:21">
      <c r="A1487" s="4" t="s">
        <v>2065</v>
      </c>
      <c r="B1487" s="4"/>
      <c r="C1487" s="5">
        <v>45943</v>
      </c>
      <c r="D1487" s="5">
        <v>45943</v>
      </c>
      <c r="E1487" s="6">
        <f>IF(AND(C1487&lt;&gt;"",D1487&lt;&gt;""),D1487-C1487,"")</f>
        <v>0</v>
      </c>
      <c r="F1487" s="4"/>
      <c r="G1487" s="4"/>
      <c r="H1487" s="4"/>
      <c r="I1487" s="4" t="s">
        <v>56</v>
      </c>
      <c r="J1487" s="4">
        <v>0</v>
      </c>
      <c r="K1487" s="4">
        <v>0</v>
      </c>
      <c r="L1487" s="4">
        <f>J1487+K1487</f>
        <v>0</v>
      </c>
      <c r="M1487" s="4"/>
      <c r="N1487" s="4"/>
      <c r="O1487" s="4">
        <v>0</v>
      </c>
      <c r="P1487" s="4" t="s">
        <v>703</v>
      </c>
      <c r="Q1487" s="4"/>
      <c r="R1487" s="7">
        <v>0</v>
      </c>
      <c r="S1487" s="7">
        <v>0</v>
      </c>
      <c r="T1487" s="7">
        <f>R1487-S1487</f>
        <v>0</v>
      </c>
      <c r="U1487" s="7">
        <f>T1487*O1487</f>
        <v>0</v>
      </c>
    </row>
    <row r="1488" spans="1:21">
      <c r="A1488" s="4" t="s">
        <v>2065</v>
      </c>
      <c r="B1488" s="4"/>
      <c r="C1488" s="5">
        <v>45943</v>
      </c>
      <c r="D1488" s="5">
        <v>45943</v>
      </c>
      <c r="E1488" s="6">
        <f>IF(AND(C1488&lt;&gt;"",D1488&lt;&gt;""),D1488-C1488,"")</f>
        <v>0</v>
      </c>
      <c r="F1488" s="4"/>
      <c r="G1488" s="4"/>
      <c r="H1488" s="4"/>
      <c r="I1488" s="4" t="s">
        <v>56</v>
      </c>
      <c r="J1488" s="4">
        <v>0</v>
      </c>
      <c r="K1488" s="4">
        <v>0</v>
      </c>
      <c r="L1488" s="4">
        <f>J1488+K1488</f>
        <v>0</v>
      </c>
      <c r="M1488" s="4"/>
      <c r="N1488" s="4"/>
      <c r="O1488" s="4">
        <v>0</v>
      </c>
      <c r="P1488" s="4" t="s">
        <v>703</v>
      </c>
      <c r="Q1488" s="4"/>
      <c r="R1488" s="7">
        <v>0</v>
      </c>
      <c r="S1488" s="7">
        <v>0</v>
      </c>
      <c r="T1488" s="7">
        <f>R1488-S1488</f>
        <v>0</v>
      </c>
      <c r="U1488" s="7">
        <f>T1488*O1488</f>
        <v>0</v>
      </c>
    </row>
    <row r="1489" spans="1:21">
      <c r="A1489" s="4" t="s">
        <v>2066</v>
      </c>
      <c r="B1489" s="4"/>
      <c r="C1489" s="5">
        <v>45943</v>
      </c>
      <c r="D1489" s="5">
        <v>45943</v>
      </c>
      <c r="E1489" s="6">
        <f>IF(AND(C1489&lt;&gt;"",D1489&lt;&gt;""),D1489-C1489,"")</f>
        <v>0</v>
      </c>
      <c r="F1489" s="4"/>
      <c r="G1489" s="4"/>
      <c r="H1489" s="4"/>
      <c r="I1489" s="4" t="s">
        <v>56</v>
      </c>
      <c r="J1489" s="4">
        <v>0</v>
      </c>
      <c r="K1489" s="4">
        <v>0</v>
      </c>
      <c r="L1489" s="4">
        <f>J1489+K1489</f>
        <v>0</v>
      </c>
      <c r="M1489" s="4"/>
      <c r="N1489" s="4"/>
      <c r="O1489" s="4">
        <v>0</v>
      </c>
      <c r="P1489" s="4" t="s">
        <v>703</v>
      </c>
      <c r="Q1489" s="4"/>
      <c r="R1489" s="7">
        <v>0</v>
      </c>
      <c r="S1489" s="7">
        <v>0</v>
      </c>
      <c r="T1489" s="7">
        <f>R1489-S1489</f>
        <v>0</v>
      </c>
      <c r="U1489" s="7">
        <f>T1489*O1489</f>
        <v>0</v>
      </c>
    </row>
    <row r="1490" spans="1:21">
      <c r="A1490" s="4" t="s">
        <v>2067</v>
      </c>
      <c r="B1490" s="4"/>
      <c r="C1490" s="5">
        <v>45943</v>
      </c>
      <c r="D1490" s="5">
        <v>45943</v>
      </c>
      <c r="E1490" s="6">
        <f>IF(AND(C1490&lt;&gt;"",D1490&lt;&gt;""),D1490-C1490,"")</f>
        <v>0</v>
      </c>
      <c r="F1490" s="4"/>
      <c r="G1490" s="4"/>
      <c r="H1490" s="4"/>
      <c r="I1490" s="4" t="s">
        <v>56</v>
      </c>
      <c r="J1490" s="4">
        <v>0</v>
      </c>
      <c r="K1490" s="4">
        <v>0</v>
      </c>
      <c r="L1490" s="4">
        <f>J1490+K1490</f>
        <v>0</v>
      </c>
      <c r="M1490" s="4"/>
      <c r="N1490" s="4"/>
      <c r="O1490" s="4">
        <v>0</v>
      </c>
      <c r="P1490" s="4" t="s">
        <v>703</v>
      </c>
      <c r="Q1490" s="4"/>
      <c r="R1490" s="7">
        <v>0</v>
      </c>
      <c r="S1490" s="7">
        <v>0</v>
      </c>
      <c r="T1490" s="7">
        <f>R1490-S1490</f>
        <v>0</v>
      </c>
      <c r="U1490" s="7">
        <f>T1490*O1490</f>
        <v>0</v>
      </c>
    </row>
    <row r="1491" spans="1:21">
      <c r="A1491" s="4" t="s">
        <v>2067</v>
      </c>
      <c r="B1491" s="4"/>
      <c r="C1491" s="5">
        <v>45943</v>
      </c>
      <c r="D1491" s="5">
        <v>45943</v>
      </c>
      <c r="E1491" s="6">
        <f>IF(AND(C1491&lt;&gt;"",D1491&lt;&gt;""),D1491-C1491,"")</f>
        <v>0</v>
      </c>
      <c r="F1491" s="4"/>
      <c r="G1491" s="4"/>
      <c r="H1491" s="4"/>
      <c r="I1491" s="4" t="s">
        <v>56</v>
      </c>
      <c r="J1491" s="4">
        <v>0</v>
      </c>
      <c r="K1491" s="4">
        <v>0</v>
      </c>
      <c r="L1491" s="4">
        <f>J1491+K1491</f>
        <v>0</v>
      </c>
      <c r="M1491" s="4"/>
      <c r="N1491" s="4"/>
      <c r="O1491" s="4">
        <v>0</v>
      </c>
      <c r="P1491" s="4" t="s">
        <v>703</v>
      </c>
      <c r="Q1491" s="4"/>
      <c r="R1491" s="7">
        <v>0</v>
      </c>
      <c r="S1491" s="7">
        <v>0</v>
      </c>
      <c r="T1491" s="7">
        <f>R1491-S1491</f>
        <v>0</v>
      </c>
      <c r="U1491" s="7">
        <f>T1491*O1491</f>
        <v>0</v>
      </c>
    </row>
    <row r="1492" spans="1:21">
      <c r="A1492" s="4" t="s">
        <v>2068</v>
      </c>
      <c r="B1492" s="4"/>
      <c r="C1492" s="5">
        <v>45943</v>
      </c>
      <c r="D1492" s="5">
        <v>45943</v>
      </c>
      <c r="E1492" s="6">
        <f>IF(AND(C1492&lt;&gt;"",D1492&lt;&gt;""),D1492-C1492,"")</f>
        <v>0</v>
      </c>
      <c r="F1492" s="4"/>
      <c r="G1492" s="4"/>
      <c r="H1492" s="4"/>
      <c r="I1492" s="4" t="s">
        <v>56</v>
      </c>
      <c r="J1492" s="4">
        <v>0</v>
      </c>
      <c r="K1492" s="4">
        <v>0</v>
      </c>
      <c r="L1492" s="4">
        <f>J1492+K1492</f>
        <v>0</v>
      </c>
      <c r="M1492" s="4"/>
      <c r="N1492" s="4"/>
      <c r="O1492" s="4">
        <v>0</v>
      </c>
      <c r="P1492" s="4" t="s">
        <v>703</v>
      </c>
      <c r="Q1492" s="4"/>
      <c r="R1492" s="7">
        <v>0</v>
      </c>
      <c r="S1492" s="7">
        <v>0</v>
      </c>
      <c r="T1492" s="7">
        <f>R1492-S1492</f>
        <v>0</v>
      </c>
      <c r="U1492" s="7">
        <f>T1492*O1492</f>
        <v>0</v>
      </c>
    </row>
    <row r="1493" spans="1:21">
      <c r="A1493" s="4" t="s">
        <v>2069</v>
      </c>
      <c r="B1493" s="4" t="s">
        <v>39</v>
      </c>
      <c r="C1493" s="5">
        <v>45943.03636574074</v>
      </c>
      <c r="D1493" s="5">
        <v>45943</v>
      </c>
      <c r="E1493" s="6">
        <f>IF(AND(C1493&lt;&gt;"",D1493&lt;&gt;""),D1493-C1493,"")</f>
        <v>0</v>
      </c>
      <c r="F1493" s="4" t="s">
        <v>2070</v>
      </c>
      <c r="G1493" s="4" t="s">
        <v>2071</v>
      </c>
      <c r="H1493" s="4" t="s">
        <v>32</v>
      </c>
      <c r="I1493" s="4" t="s">
        <v>33</v>
      </c>
      <c r="J1493" s="4">
        <v>0</v>
      </c>
      <c r="K1493" s="4">
        <v>0</v>
      </c>
      <c r="L1493" s="4">
        <f>J1493+K1493</f>
        <v>0</v>
      </c>
      <c r="M1493" s="4" t="s">
        <v>370</v>
      </c>
      <c r="N1493" s="4"/>
      <c r="O1493" s="4">
        <v>1</v>
      </c>
      <c r="P1493" s="4" t="s">
        <v>135</v>
      </c>
      <c r="Q1493" s="4" t="s">
        <v>44</v>
      </c>
      <c r="R1493" s="7">
        <v>20000000</v>
      </c>
      <c r="S1493" s="7">
        <v>0</v>
      </c>
      <c r="T1493" s="7">
        <f>R1493-S1493</f>
        <v>0</v>
      </c>
      <c r="U1493" s="7">
        <f>T1493*O1493</f>
        <v>0</v>
      </c>
    </row>
    <row r="1494" spans="1:21">
      <c r="A1494" s="4" t="s">
        <v>2072</v>
      </c>
      <c r="B1494" s="4" t="s">
        <v>39</v>
      </c>
      <c r="C1494" s="5">
        <v>45943.03685185185</v>
      </c>
      <c r="D1494" s="5">
        <v>45943</v>
      </c>
      <c r="E1494" s="6">
        <f>IF(AND(C1494&lt;&gt;"",D1494&lt;&gt;""),D1494-C1494,"")</f>
        <v>0</v>
      </c>
      <c r="F1494" s="4" t="s">
        <v>2073</v>
      </c>
      <c r="G1494" s="4" t="s">
        <v>2074</v>
      </c>
      <c r="H1494" s="4" t="s">
        <v>32</v>
      </c>
      <c r="I1494" s="4" t="s">
        <v>33</v>
      </c>
      <c r="J1494" s="4">
        <v>0</v>
      </c>
      <c r="K1494" s="4">
        <v>0</v>
      </c>
      <c r="L1494" s="4">
        <f>J1494+K1494</f>
        <v>0</v>
      </c>
      <c r="M1494" s="4" t="s">
        <v>370</v>
      </c>
      <c r="N1494" s="4"/>
      <c r="O1494" s="4">
        <v>1</v>
      </c>
      <c r="P1494" s="4" t="s">
        <v>135</v>
      </c>
      <c r="Q1494" s="4" t="s">
        <v>44</v>
      </c>
      <c r="R1494" s="7">
        <v>20000000</v>
      </c>
      <c r="S1494" s="7">
        <v>0</v>
      </c>
      <c r="T1494" s="7">
        <f>R1494-S1494</f>
        <v>0</v>
      </c>
      <c r="U1494" s="7">
        <f>T1494*O1494</f>
        <v>0</v>
      </c>
    </row>
    <row r="1495" spans="1:21">
      <c r="A1495" s="4" t="s">
        <v>2075</v>
      </c>
      <c r="B1495" s="4" t="s">
        <v>39</v>
      </c>
      <c r="C1495" s="5">
        <v>45943.03731481481</v>
      </c>
      <c r="D1495" s="5">
        <v>45943</v>
      </c>
      <c r="E1495" s="6">
        <f>IF(AND(C1495&lt;&gt;"",D1495&lt;&gt;""),D1495-C1495,"")</f>
        <v>0</v>
      </c>
      <c r="F1495" s="4" t="s">
        <v>2076</v>
      </c>
      <c r="G1495" s="4" t="s">
        <v>2077</v>
      </c>
      <c r="H1495" s="4" t="s">
        <v>32</v>
      </c>
      <c r="I1495" s="4" t="s">
        <v>33</v>
      </c>
      <c r="J1495" s="4">
        <v>0</v>
      </c>
      <c r="K1495" s="4">
        <v>0</v>
      </c>
      <c r="L1495" s="4">
        <f>J1495+K1495</f>
        <v>0</v>
      </c>
      <c r="M1495" s="4" t="s">
        <v>370</v>
      </c>
      <c r="N1495" s="4"/>
      <c r="O1495" s="4">
        <v>1</v>
      </c>
      <c r="P1495" s="4" t="s">
        <v>135</v>
      </c>
      <c r="Q1495" s="4" t="s">
        <v>44</v>
      </c>
      <c r="R1495" s="7">
        <v>20000000</v>
      </c>
      <c r="S1495" s="7">
        <v>0</v>
      </c>
      <c r="T1495" s="7">
        <f>R1495-S1495</f>
        <v>0</v>
      </c>
      <c r="U1495" s="7">
        <f>T1495*O1495</f>
        <v>0</v>
      </c>
    </row>
    <row r="1496" spans="1:21">
      <c r="A1496" s="4" t="s">
        <v>2078</v>
      </c>
      <c r="B1496" s="4" t="s">
        <v>39</v>
      </c>
      <c r="C1496" s="5">
        <v>45943.03782407408</v>
      </c>
      <c r="D1496" s="5">
        <v>45943</v>
      </c>
      <c r="E1496" s="6">
        <f>IF(AND(C1496&lt;&gt;"",D1496&lt;&gt;""),D1496-C1496,"")</f>
        <v>0</v>
      </c>
      <c r="F1496" s="4" t="s">
        <v>2079</v>
      </c>
      <c r="G1496" s="4" t="s">
        <v>2080</v>
      </c>
      <c r="H1496" s="4" t="s">
        <v>32</v>
      </c>
      <c r="I1496" s="4" t="s">
        <v>33</v>
      </c>
      <c r="J1496" s="4">
        <v>0</v>
      </c>
      <c r="K1496" s="4">
        <v>0</v>
      </c>
      <c r="L1496" s="4">
        <f>J1496+K1496</f>
        <v>0</v>
      </c>
      <c r="M1496" s="4" t="s">
        <v>370</v>
      </c>
      <c r="N1496" s="4"/>
      <c r="O1496" s="4">
        <v>1</v>
      </c>
      <c r="P1496" s="4" t="s">
        <v>135</v>
      </c>
      <c r="Q1496" s="4" t="s">
        <v>44</v>
      </c>
      <c r="R1496" s="7">
        <v>20000000</v>
      </c>
      <c r="S1496" s="7">
        <v>0</v>
      </c>
      <c r="T1496" s="7">
        <f>R1496-S1496</f>
        <v>0</v>
      </c>
      <c r="U1496" s="7">
        <f>T1496*O1496</f>
        <v>0</v>
      </c>
    </row>
    <row r="1497" spans="1:21">
      <c r="A1497" s="4" t="s">
        <v>2081</v>
      </c>
      <c r="B1497" s="4" t="s">
        <v>39</v>
      </c>
      <c r="C1497" s="5">
        <v>45943.03820601852</v>
      </c>
      <c r="D1497" s="5">
        <v>45943</v>
      </c>
      <c r="E1497" s="6">
        <f>IF(AND(C1497&lt;&gt;"",D1497&lt;&gt;""),D1497-C1497,"")</f>
        <v>0</v>
      </c>
      <c r="F1497" s="4" t="s">
        <v>2082</v>
      </c>
      <c r="G1497" s="4" t="s">
        <v>2083</v>
      </c>
      <c r="H1497" s="4" t="s">
        <v>32</v>
      </c>
      <c r="I1497" s="4" t="s">
        <v>33</v>
      </c>
      <c r="J1497" s="4">
        <v>0</v>
      </c>
      <c r="K1497" s="4">
        <v>0</v>
      </c>
      <c r="L1497" s="4">
        <f>J1497+K1497</f>
        <v>0</v>
      </c>
      <c r="M1497" s="4" t="s">
        <v>370</v>
      </c>
      <c r="N1497" s="4"/>
      <c r="O1497" s="4">
        <v>1</v>
      </c>
      <c r="P1497" s="4" t="s">
        <v>135</v>
      </c>
      <c r="Q1497" s="4" t="s">
        <v>44</v>
      </c>
      <c r="R1497" s="7">
        <v>20000000</v>
      </c>
      <c r="S1497" s="7">
        <v>0</v>
      </c>
      <c r="T1497" s="7">
        <f>R1497-S1497</f>
        <v>0</v>
      </c>
      <c r="U1497" s="7">
        <f>T1497*O1497</f>
        <v>0</v>
      </c>
    </row>
    <row r="1498" spans="1:21">
      <c r="A1498" s="4" t="s">
        <v>2084</v>
      </c>
      <c r="B1498" s="4" t="s">
        <v>39</v>
      </c>
      <c r="C1498" s="5">
        <v>45943.03868055555</v>
      </c>
      <c r="D1498" s="5">
        <v>45943</v>
      </c>
      <c r="E1498" s="6">
        <f>IF(AND(C1498&lt;&gt;"",D1498&lt;&gt;""),D1498-C1498,"")</f>
        <v>0</v>
      </c>
      <c r="F1498" s="4" t="s">
        <v>2082</v>
      </c>
      <c r="G1498" s="4" t="s">
        <v>2083</v>
      </c>
      <c r="H1498" s="4" t="s">
        <v>32</v>
      </c>
      <c r="I1498" s="4" t="s">
        <v>33</v>
      </c>
      <c r="J1498" s="4">
        <v>0</v>
      </c>
      <c r="K1498" s="4">
        <v>0</v>
      </c>
      <c r="L1498" s="4">
        <f>J1498+K1498</f>
        <v>0</v>
      </c>
      <c r="M1498" s="4" t="s">
        <v>370</v>
      </c>
      <c r="N1498" s="4"/>
      <c r="O1498" s="4">
        <v>1</v>
      </c>
      <c r="P1498" s="4" t="s">
        <v>135</v>
      </c>
      <c r="Q1498" s="4" t="s">
        <v>44</v>
      </c>
      <c r="R1498" s="7">
        <v>20000000</v>
      </c>
      <c r="S1498" s="7">
        <v>0</v>
      </c>
      <c r="T1498" s="7">
        <f>R1498-S1498</f>
        <v>0</v>
      </c>
      <c r="U1498" s="7">
        <f>T1498*O1498</f>
        <v>0</v>
      </c>
    </row>
    <row r="1499" spans="1:21">
      <c r="A1499" s="4" t="s">
        <v>2085</v>
      </c>
      <c r="B1499" s="4" t="s">
        <v>39</v>
      </c>
      <c r="C1499" s="5">
        <v>45943.0694212963</v>
      </c>
      <c r="D1499" s="5">
        <v>45943</v>
      </c>
      <c r="E1499" s="6">
        <f>IF(AND(C1499&lt;&gt;"",D1499&lt;&gt;""),D1499-C1499,"")</f>
        <v>0</v>
      </c>
      <c r="F1499" s="4" t="s">
        <v>2086</v>
      </c>
      <c r="G1499" s="4" t="s">
        <v>2087</v>
      </c>
      <c r="H1499" s="4" t="s">
        <v>32</v>
      </c>
      <c r="I1499" s="4" t="s">
        <v>33</v>
      </c>
      <c r="J1499" s="4">
        <v>2</v>
      </c>
      <c r="K1499" s="4">
        <v>0</v>
      </c>
      <c r="L1499" s="4">
        <f>J1499+K1499</f>
        <v>0</v>
      </c>
      <c r="M1499" s="4" t="s">
        <v>80</v>
      </c>
      <c r="N1499" s="4"/>
      <c r="O1499" s="4">
        <v>2</v>
      </c>
      <c r="P1499" s="4" t="s">
        <v>135</v>
      </c>
      <c r="Q1499" s="4" t="s">
        <v>44</v>
      </c>
      <c r="R1499" s="7">
        <v>610000</v>
      </c>
      <c r="S1499" s="7">
        <v>0</v>
      </c>
      <c r="T1499" s="7">
        <f>R1499-S1499</f>
        <v>0</v>
      </c>
      <c r="U1499" s="7">
        <f>T1499*O1499</f>
        <v>0</v>
      </c>
    </row>
    <row r="1500" spans="1:21">
      <c r="A1500" s="4" t="s">
        <v>2088</v>
      </c>
      <c r="B1500" s="4" t="s">
        <v>39</v>
      </c>
      <c r="C1500" s="5">
        <v>45943.07240740741</v>
      </c>
      <c r="D1500" s="5">
        <v>45943</v>
      </c>
      <c r="E1500" s="6">
        <f>IF(AND(C1500&lt;&gt;"",D1500&lt;&gt;""),D1500-C1500,"")</f>
        <v>0</v>
      </c>
      <c r="F1500" s="4" t="s">
        <v>2089</v>
      </c>
      <c r="G1500" s="4" t="s">
        <v>2090</v>
      </c>
      <c r="H1500" s="4" t="s">
        <v>32</v>
      </c>
      <c r="I1500" s="4" t="s">
        <v>33</v>
      </c>
      <c r="J1500" s="4">
        <v>2</v>
      </c>
      <c r="K1500" s="4">
        <v>0</v>
      </c>
      <c r="L1500" s="4">
        <f>J1500+K1500</f>
        <v>0</v>
      </c>
      <c r="M1500" s="4" t="s">
        <v>80</v>
      </c>
      <c r="N1500" s="4"/>
      <c r="O1500" s="4">
        <v>2</v>
      </c>
      <c r="P1500" s="4" t="s">
        <v>135</v>
      </c>
      <c r="Q1500" s="4" t="s">
        <v>44</v>
      </c>
      <c r="R1500" s="7">
        <v>610000</v>
      </c>
      <c r="S1500" s="7">
        <v>0</v>
      </c>
      <c r="T1500" s="7">
        <f>R1500-S1500</f>
        <v>0</v>
      </c>
      <c r="U1500" s="7">
        <f>T1500*O1500</f>
        <v>0</v>
      </c>
    </row>
    <row r="1501" spans="1:21">
      <c r="A1501" s="4" t="s">
        <v>2091</v>
      </c>
      <c r="B1501" s="4" t="s">
        <v>39</v>
      </c>
      <c r="C1501" s="5">
        <v>45943.07581018518</v>
      </c>
      <c r="D1501" s="5">
        <v>45943</v>
      </c>
      <c r="E1501" s="6">
        <f>IF(AND(C1501&lt;&gt;"",D1501&lt;&gt;""),D1501-C1501,"")</f>
        <v>0</v>
      </c>
      <c r="F1501" s="4" t="s">
        <v>2092</v>
      </c>
      <c r="G1501" s="4" t="s">
        <v>2093</v>
      </c>
      <c r="H1501" s="4" t="s">
        <v>190</v>
      </c>
      <c r="I1501" s="4" t="s">
        <v>56</v>
      </c>
      <c r="J1501" s="4">
        <v>0</v>
      </c>
      <c r="K1501" s="4">
        <v>0</v>
      </c>
      <c r="L1501" s="4">
        <f>J1501+K1501</f>
        <v>0</v>
      </c>
      <c r="M1501" s="4" t="s">
        <v>370</v>
      </c>
      <c r="N1501" s="4"/>
      <c r="O1501" s="4">
        <v>1</v>
      </c>
      <c r="P1501" s="4" t="s">
        <v>135</v>
      </c>
      <c r="Q1501" s="4" t="s">
        <v>44</v>
      </c>
      <c r="R1501" s="7">
        <v>1000000</v>
      </c>
      <c r="S1501" s="7">
        <v>0</v>
      </c>
      <c r="T1501" s="7">
        <f>R1501-S1501</f>
        <v>0</v>
      </c>
      <c r="U1501" s="7">
        <f>T1501*O1501</f>
        <v>0</v>
      </c>
    </row>
    <row r="1502" spans="1:21">
      <c r="A1502" s="4" t="s">
        <v>2091</v>
      </c>
      <c r="B1502" s="4" t="s">
        <v>39</v>
      </c>
      <c r="C1502" s="5">
        <v>45943.07581018518</v>
      </c>
      <c r="D1502" s="5">
        <v>45943</v>
      </c>
      <c r="E1502" s="6">
        <f>IF(AND(C1502&lt;&gt;"",D1502&lt;&gt;""),D1502-C1502,"")</f>
        <v>0</v>
      </c>
      <c r="F1502" s="4" t="s">
        <v>2092</v>
      </c>
      <c r="G1502" s="4" t="s">
        <v>2093</v>
      </c>
      <c r="H1502" s="4" t="s">
        <v>190</v>
      </c>
      <c r="I1502" s="4" t="s">
        <v>56</v>
      </c>
      <c r="J1502" s="4">
        <v>0</v>
      </c>
      <c r="K1502" s="4">
        <v>3</v>
      </c>
      <c r="L1502" s="4">
        <f>J1502+K1502</f>
        <v>0</v>
      </c>
      <c r="M1502" s="4" t="s">
        <v>81</v>
      </c>
      <c r="N1502" s="4"/>
      <c r="O1502" s="4">
        <v>3</v>
      </c>
      <c r="P1502" s="4" t="s">
        <v>135</v>
      </c>
      <c r="Q1502" s="4" t="s">
        <v>44</v>
      </c>
      <c r="R1502" s="7">
        <v>495000</v>
      </c>
      <c r="S1502" s="7">
        <v>0</v>
      </c>
      <c r="T1502" s="7">
        <f>R1502-S1502</f>
        <v>0</v>
      </c>
      <c r="U1502" s="7">
        <f>T1502*O1502</f>
        <v>0</v>
      </c>
    </row>
    <row r="1503" spans="1:21">
      <c r="A1503" s="4" t="s">
        <v>2091</v>
      </c>
      <c r="B1503" s="4" t="s">
        <v>39</v>
      </c>
      <c r="C1503" s="5">
        <v>45943.07581018518</v>
      </c>
      <c r="D1503" s="5">
        <v>45943</v>
      </c>
      <c r="E1503" s="6">
        <f>IF(AND(C1503&lt;&gt;"",D1503&lt;&gt;""),D1503-C1503,"")</f>
        <v>0</v>
      </c>
      <c r="F1503" s="4" t="s">
        <v>2092</v>
      </c>
      <c r="G1503" s="4" t="s">
        <v>2093</v>
      </c>
      <c r="H1503" s="4" t="s">
        <v>190</v>
      </c>
      <c r="I1503" s="4" t="s">
        <v>56</v>
      </c>
      <c r="J1503" s="4">
        <v>2</v>
      </c>
      <c r="K1503" s="4">
        <v>0</v>
      </c>
      <c r="L1503" s="4">
        <f>J1503+K1503</f>
        <v>0</v>
      </c>
      <c r="M1503" s="4" t="s">
        <v>80</v>
      </c>
      <c r="N1503" s="4"/>
      <c r="O1503" s="4">
        <v>2</v>
      </c>
      <c r="P1503" s="4" t="s">
        <v>135</v>
      </c>
      <c r="Q1503" s="4" t="s">
        <v>44</v>
      </c>
      <c r="R1503" s="7">
        <v>610000</v>
      </c>
      <c r="S1503" s="7">
        <v>0</v>
      </c>
      <c r="T1503" s="7">
        <f>R1503-S1503</f>
        <v>0</v>
      </c>
      <c r="U1503" s="7">
        <f>T1503*O1503</f>
        <v>0</v>
      </c>
    </row>
    <row r="1504" spans="1:21">
      <c r="A1504" s="4" t="s">
        <v>2094</v>
      </c>
      <c r="B1504" s="4" t="s">
        <v>39</v>
      </c>
      <c r="C1504" s="5">
        <v>45943.07761574074</v>
      </c>
      <c r="D1504" s="5">
        <v>45943</v>
      </c>
      <c r="E1504" s="6">
        <f>IF(AND(C1504&lt;&gt;"",D1504&lt;&gt;""),D1504-C1504,"")</f>
        <v>0</v>
      </c>
      <c r="F1504" s="4" t="s">
        <v>2095</v>
      </c>
      <c r="G1504" s="4" t="s">
        <v>2096</v>
      </c>
      <c r="H1504" s="4" t="s">
        <v>32</v>
      </c>
      <c r="I1504" s="4" t="s">
        <v>33</v>
      </c>
      <c r="J1504" s="4">
        <v>2</v>
      </c>
      <c r="K1504" s="4">
        <v>0</v>
      </c>
      <c r="L1504" s="4">
        <f>J1504+K1504</f>
        <v>0</v>
      </c>
      <c r="M1504" s="4" t="s">
        <v>80</v>
      </c>
      <c r="N1504" s="4"/>
      <c r="O1504" s="4">
        <v>2</v>
      </c>
      <c r="P1504" s="4" t="s">
        <v>135</v>
      </c>
      <c r="Q1504" s="4" t="s">
        <v>44</v>
      </c>
      <c r="R1504" s="7">
        <v>610000</v>
      </c>
      <c r="S1504" s="7">
        <v>0</v>
      </c>
      <c r="T1504" s="7">
        <f>R1504-S1504</f>
        <v>0</v>
      </c>
      <c r="U1504" s="7">
        <f>T1504*O1504</f>
        <v>0</v>
      </c>
    </row>
    <row r="1505" spans="1:21">
      <c r="A1505" s="4" t="s">
        <v>2097</v>
      </c>
      <c r="B1505" s="4" t="s">
        <v>39</v>
      </c>
      <c r="C1505" s="5">
        <v>45943.07991898148</v>
      </c>
      <c r="D1505" s="5">
        <v>45943</v>
      </c>
      <c r="E1505" s="6">
        <f>IF(AND(C1505&lt;&gt;"",D1505&lt;&gt;""),D1505-C1505,"")</f>
        <v>0</v>
      </c>
      <c r="F1505" s="4" t="s">
        <v>2098</v>
      </c>
      <c r="G1505" s="4" t="s">
        <v>2099</v>
      </c>
      <c r="H1505" s="4" t="s">
        <v>32</v>
      </c>
      <c r="I1505" s="4" t="s">
        <v>33</v>
      </c>
      <c r="J1505" s="4">
        <v>0</v>
      </c>
      <c r="K1505" s="4">
        <v>0</v>
      </c>
      <c r="L1505" s="4">
        <f>J1505+K1505</f>
        <v>0</v>
      </c>
      <c r="M1505" s="4" t="s">
        <v>370</v>
      </c>
      <c r="N1505" s="4"/>
      <c r="O1505" s="4">
        <v>1</v>
      </c>
      <c r="P1505" s="4" t="s">
        <v>135</v>
      </c>
      <c r="Q1505" s="4" t="s">
        <v>44</v>
      </c>
      <c r="R1505" s="7">
        <v>500000</v>
      </c>
      <c r="S1505" s="7">
        <v>0</v>
      </c>
      <c r="T1505" s="7">
        <f>R1505-S1505</f>
        <v>0</v>
      </c>
      <c r="U1505" s="7">
        <f>T1505*O1505</f>
        <v>0</v>
      </c>
    </row>
    <row r="1506" spans="1:21">
      <c r="A1506" s="4" t="s">
        <v>2100</v>
      </c>
      <c r="B1506" s="4" t="s">
        <v>39</v>
      </c>
      <c r="C1506" s="5">
        <v>45943.08076388889</v>
      </c>
      <c r="D1506" s="5">
        <v>45943</v>
      </c>
      <c r="E1506" s="6">
        <f>IF(AND(C1506&lt;&gt;"",D1506&lt;&gt;""),D1506-C1506,"")</f>
        <v>0</v>
      </c>
      <c r="F1506" s="4" t="s">
        <v>2098</v>
      </c>
      <c r="G1506" s="4" t="s">
        <v>2099</v>
      </c>
      <c r="H1506" s="4" t="s">
        <v>32</v>
      </c>
      <c r="I1506" s="4" t="s">
        <v>33</v>
      </c>
      <c r="J1506" s="4">
        <v>0</v>
      </c>
      <c r="K1506" s="4">
        <v>0</v>
      </c>
      <c r="L1506" s="4">
        <f>J1506+K1506</f>
        <v>0</v>
      </c>
      <c r="M1506" s="4" t="s">
        <v>370</v>
      </c>
      <c r="N1506" s="4"/>
      <c r="O1506" s="4">
        <v>1</v>
      </c>
      <c r="P1506" s="4" t="s">
        <v>135</v>
      </c>
      <c r="Q1506" s="4" t="s">
        <v>44</v>
      </c>
      <c r="R1506" s="7">
        <v>500000</v>
      </c>
      <c r="S1506" s="7">
        <v>0</v>
      </c>
      <c r="T1506" s="7">
        <f>R1506-S1506</f>
        <v>0</v>
      </c>
      <c r="U1506" s="7">
        <f>T1506*O1506</f>
        <v>0</v>
      </c>
    </row>
    <row r="1507" spans="1:21">
      <c r="A1507" s="4" t="s">
        <v>2101</v>
      </c>
      <c r="B1507" s="4" t="s">
        <v>48</v>
      </c>
      <c r="C1507" s="5">
        <v>45943.08982638889</v>
      </c>
      <c r="D1507" s="5">
        <v>45961</v>
      </c>
      <c r="E1507" s="6">
        <f>IF(AND(C1507&lt;&gt;"",D1507&lt;&gt;""),D1507-C1507,"")</f>
        <v>0</v>
      </c>
      <c r="F1507" s="4" t="s">
        <v>1960</v>
      </c>
      <c r="G1507" s="4" t="s">
        <v>1961</v>
      </c>
      <c r="H1507" s="4" t="s">
        <v>32</v>
      </c>
      <c r="I1507" s="4" t="s">
        <v>33</v>
      </c>
      <c r="J1507" s="4">
        <v>2</v>
      </c>
      <c r="K1507" s="4">
        <v>0</v>
      </c>
      <c r="L1507" s="4">
        <f>J1507+K1507</f>
        <v>0</v>
      </c>
      <c r="M1507" s="4"/>
      <c r="N1507" s="4"/>
      <c r="O1507" s="4">
        <v>0</v>
      </c>
      <c r="P1507" s="4"/>
      <c r="Q1507" s="4"/>
      <c r="R1507" s="7">
        <v>0</v>
      </c>
      <c r="S1507" s="7">
        <v>0</v>
      </c>
      <c r="T1507" s="7">
        <f>R1507-S1507</f>
        <v>0</v>
      </c>
      <c r="U1507" s="7">
        <f>T1507*O1507</f>
        <v>0</v>
      </c>
    </row>
    <row r="1508" spans="1:21">
      <c r="A1508" s="4" t="s">
        <v>2102</v>
      </c>
      <c r="B1508" s="4" t="s">
        <v>39</v>
      </c>
      <c r="C1508" s="5">
        <v>45943.0906712963</v>
      </c>
      <c r="D1508" s="5">
        <v>45943</v>
      </c>
      <c r="E1508" s="6">
        <f>IF(AND(C1508&lt;&gt;"",D1508&lt;&gt;""),D1508-C1508,"")</f>
        <v>0</v>
      </c>
      <c r="F1508" s="4" t="s">
        <v>2103</v>
      </c>
      <c r="G1508" s="4" t="s">
        <v>2104</v>
      </c>
      <c r="H1508" s="4" t="s">
        <v>32</v>
      </c>
      <c r="I1508" s="4" t="s">
        <v>33</v>
      </c>
      <c r="J1508" s="4">
        <v>1</v>
      </c>
      <c r="K1508" s="4">
        <v>0</v>
      </c>
      <c r="L1508" s="4">
        <f>J1508+K1508</f>
        <v>0</v>
      </c>
      <c r="M1508" s="4" t="s">
        <v>42</v>
      </c>
      <c r="N1508" s="4"/>
      <c r="O1508" s="4">
        <v>1</v>
      </c>
      <c r="P1508" s="4" t="s">
        <v>135</v>
      </c>
      <c r="Q1508" s="4" t="s">
        <v>44</v>
      </c>
      <c r="R1508" s="7">
        <v>370000</v>
      </c>
      <c r="S1508" s="7">
        <v>370000</v>
      </c>
      <c r="T1508" s="7">
        <f>R1508-S1508</f>
        <v>0</v>
      </c>
      <c r="U1508" s="7">
        <f>T1508*O1508</f>
        <v>0</v>
      </c>
    </row>
    <row r="1509" spans="1:21">
      <c r="A1509" s="4" t="s">
        <v>2105</v>
      </c>
      <c r="B1509" s="4" t="s">
        <v>48</v>
      </c>
      <c r="C1509" s="5">
        <v>45943.1259375</v>
      </c>
      <c r="D1509" s="5">
        <v>45961</v>
      </c>
      <c r="E1509" s="6">
        <f>IF(AND(C1509&lt;&gt;"",D1509&lt;&gt;""),D1509-C1509,"")</f>
        <v>0</v>
      </c>
      <c r="F1509" s="4" t="s">
        <v>1960</v>
      </c>
      <c r="G1509" s="4" t="s">
        <v>1961</v>
      </c>
      <c r="H1509" s="4" t="s">
        <v>32</v>
      </c>
      <c r="I1509" s="4" t="s">
        <v>33</v>
      </c>
      <c r="J1509" s="4">
        <v>2</v>
      </c>
      <c r="K1509" s="4">
        <v>0</v>
      </c>
      <c r="L1509" s="4">
        <f>J1509+K1509</f>
        <v>0</v>
      </c>
      <c r="M1509" s="4"/>
      <c r="N1509" s="4"/>
      <c r="O1509" s="4">
        <v>0</v>
      </c>
      <c r="P1509" s="4"/>
      <c r="Q1509" s="4"/>
      <c r="R1509" s="7">
        <v>0</v>
      </c>
      <c r="S1509" s="7">
        <v>0</v>
      </c>
      <c r="T1509" s="7">
        <f>R1509-S1509</f>
        <v>0</v>
      </c>
      <c r="U1509" s="7">
        <f>T1509*O1509</f>
        <v>0</v>
      </c>
    </row>
    <row r="1510" spans="1:21">
      <c r="A1510" s="4" t="s">
        <v>2106</v>
      </c>
      <c r="B1510" s="4" t="s">
        <v>48</v>
      </c>
      <c r="C1510" s="5">
        <v>45943.12633101852</v>
      </c>
      <c r="D1510" s="5">
        <v>45961</v>
      </c>
      <c r="E1510" s="6">
        <f>IF(AND(C1510&lt;&gt;"",D1510&lt;&gt;""),D1510-C1510,"")</f>
        <v>0</v>
      </c>
      <c r="F1510" s="4" t="s">
        <v>1399</v>
      </c>
      <c r="G1510" s="4" t="s">
        <v>202</v>
      </c>
      <c r="H1510" s="4" t="s">
        <v>32</v>
      </c>
      <c r="I1510" s="4" t="s">
        <v>33</v>
      </c>
      <c r="J1510" s="4">
        <v>3</v>
      </c>
      <c r="K1510" s="4">
        <v>2</v>
      </c>
      <c r="L1510" s="4">
        <f>J1510+K1510</f>
        <v>0</v>
      </c>
      <c r="M1510" s="4"/>
      <c r="N1510" s="4"/>
      <c r="O1510" s="4">
        <v>0</v>
      </c>
      <c r="P1510" s="4"/>
      <c r="Q1510" s="4"/>
      <c r="R1510" s="7">
        <v>0</v>
      </c>
      <c r="S1510" s="7">
        <v>0</v>
      </c>
      <c r="T1510" s="7">
        <f>R1510-S1510</f>
        <v>0</v>
      </c>
      <c r="U1510" s="7">
        <f>T1510*O1510</f>
        <v>0</v>
      </c>
    </row>
    <row r="1511" spans="1:21">
      <c r="A1511" s="4" t="s">
        <v>2107</v>
      </c>
      <c r="B1511" s="4" t="s">
        <v>48</v>
      </c>
      <c r="C1511" s="5">
        <v>45943.1282175926</v>
      </c>
      <c r="D1511" s="5">
        <v>45961</v>
      </c>
      <c r="E1511" s="6">
        <f>IF(AND(C1511&lt;&gt;"",D1511&lt;&gt;""),D1511-C1511,"")</f>
        <v>0</v>
      </c>
      <c r="F1511" s="4" t="s">
        <v>1960</v>
      </c>
      <c r="G1511" s="4" t="s">
        <v>1961</v>
      </c>
      <c r="H1511" s="4" t="s">
        <v>32</v>
      </c>
      <c r="I1511" s="4" t="s">
        <v>33</v>
      </c>
      <c r="J1511" s="4">
        <v>2</v>
      </c>
      <c r="K1511" s="4">
        <v>0</v>
      </c>
      <c r="L1511" s="4">
        <f>J1511+K1511</f>
        <v>0</v>
      </c>
      <c r="M1511" s="4"/>
      <c r="N1511" s="4"/>
      <c r="O1511" s="4">
        <v>0</v>
      </c>
      <c r="P1511" s="4"/>
      <c r="Q1511" s="4"/>
      <c r="R1511" s="7">
        <v>0</v>
      </c>
      <c r="S1511" s="7">
        <v>0</v>
      </c>
      <c r="T1511" s="7">
        <f>R1511-S1511</f>
        <v>0</v>
      </c>
      <c r="U1511" s="7">
        <f>T1511*O1511</f>
        <v>0</v>
      </c>
    </row>
    <row r="1512" spans="1:21">
      <c r="A1512" s="4" t="s">
        <v>2108</v>
      </c>
      <c r="B1512" s="4" t="s">
        <v>48</v>
      </c>
      <c r="C1512" s="5">
        <v>45943.12907407407</v>
      </c>
      <c r="D1512" s="5">
        <v>45961</v>
      </c>
      <c r="E1512" s="6">
        <f>IF(AND(C1512&lt;&gt;"",D1512&lt;&gt;""),D1512-C1512,"")</f>
        <v>0</v>
      </c>
      <c r="F1512" s="4" t="s">
        <v>1399</v>
      </c>
      <c r="G1512" s="4" t="s">
        <v>202</v>
      </c>
      <c r="H1512" s="4" t="s">
        <v>32</v>
      </c>
      <c r="I1512" s="4" t="s">
        <v>33</v>
      </c>
      <c r="J1512" s="4">
        <v>2</v>
      </c>
      <c r="K1512" s="4">
        <v>0</v>
      </c>
      <c r="L1512" s="4">
        <f>J1512+K1512</f>
        <v>0</v>
      </c>
      <c r="M1512" s="4"/>
      <c r="N1512" s="4"/>
      <c r="O1512" s="4">
        <v>0</v>
      </c>
      <c r="P1512" s="4"/>
      <c r="Q1512" s="4"/>
      <c r="R1512" s="7">
        <v>0</v>
      </c>
      <c r="S1512" s="7">
        <v>0</v>
      </c>
      <c r="T1512" s="7">
        <f>R1512-S1512</f>
        <v>0</v>
      </c>
      <c r="U1512" s="7">
        <f>T1512*O1512</f>
        <v>0</v>
      </c>
    </row>
    <row r="1513" spans="1:21">
      <c r="A1513" s="4" t="s">
        <v>2109</v>
      </c>
      <c r="B1513" s="4" t="s">
        <v>39</v>
      </c>
      <c r="C1513" s="5">
        <v>45943.14631944444</v>
      </c>
      <c r="D1513" s="5">
        <v>45943</v>
      </c>
      <c r="E1513" s="6">
        <f>IF(AND(C1513&lt;&gt;"",D1513&lt;&gt;""),D1513-C1513,"")</f>
        <v>0</v>
      </c>
      <c r="F1513" s="4" t="s">
        <v>1343</v>
      </c>
      <c r="G1513" s="4" t="s">
        <v>2110</v>
      </c>
      <c r="H1513" s="4" t="s">
        <v>32</v>
      </c>
      <c r="I1513" s="4" t="s">
        <v>33</v>
      </c>
      <c r="J1513" s="4">
        <v>0</v>
      </c>
      <c r="K1513" s="4">
        <v>1</v>
      </c>
      <c r="L1513" s="4">
        <f>J1513+K1513</f>
        <v>0</v>
      </c>
      <c r="M1513" s="4" t="s">
        <v>81</v>
      </c>
      <c r="N1513" s="4"/>
      <c r="O1513" s="4">
        <v>1</v>
      </c>
      <c r="P1513" s="4" t="s">
        <v>135</v>
      </c>
      <c r="Q1513" s="4"/>
      <c r="R1513" s="7">
        <v>495000</v>
      </c>
      <c r="S1513" s="7">
        <v>0</v>
      </c>
      <c r="T1513" s="7">
        <f>R1513-S1513</f>
        <v>0</v>
      </c>
      <c r="U1513" s="7">
        <f>T1513*O1513</f>
        <v>0</v>
      </c>
    </row>
    <row r="1514" spans="1:21">
      <c r="A1514" s="4" t="s">
        <v>2109</v>
      </c>
      <c r="B1514" s="4" t="s">
        <v>39</v>
      </c>
      <c r="C1514" s="5">
        <v>45943.14631944444</v>
      </c>
      <c r="D1514" s="5">
        <v>45943</v>
      </c>
      <c r="E1514" s="6">
        <f>IF(AND(C1514&lt;&gt;"",D1514&lt;&gt;""),D1514-C1514,"")</f>
        <v>0</v>
      </c>
      <c r="F1514" s="4" t="s">
        <v>1343</v>
      </c>
      <c r="G1514" s="4" t="s">
        <v>2110</v>
      </c>
      <c r="H1514" s="4" t="s">
        <v>32</v>
      </c>
      <c r="I1514" s="4" t="s">
        <v>33</v>
      </c>
      <c r="J1514" s="4">
        <v>0</v>
      </c>
      <c r="K1514" s="4">
        <v>1</v>
      </c>
      <c r="L1514" s="4">
        <f>J1514+K1514</f>
        <v>0</v>
      </c>
      <c r="M1514" s="4" t="s">
        <v>81</v>
      </c>
      <c r="N1514" s="4"/>
      <c r="O1514" s="4">
        <v>1</v>
      </c>
      <c r="P1514" s="4" t="s">
        <v>135</v>
      </c>
      <c r="Q1514" s="4"/>
      <c r="R1514" s="7">
        <v>495000</v>
      </c>
      <c r="S1514" s="7">
        <v>0</v>
      </c>
      <c r="T1514" s="7">
        <f>R1514-S1514</f>
        <v>0</v>
      </c>
      <c r="U1514" s="7">
        <f>T1514*O1514</f>
        <v>0</v>
      </c>
    </row>
    <row r="1515" spans="1:21">
      <c r="A1515" s="4" t="s">
        <v>2109</v>
      </c>
      <c r="B1515" s="4" t="s">
        <v>39</v>
      </c>
      <c r="C1515" s="5">
        <v>45943.14631944444</v>
      </c>
      <c r="D1515" s="5">
        <v>45943</v>
      </c>
      <c r="E1515" s="6">
        <f>IF(AND(C1515&lt;&gt;"",D1515&lt;&gt;""),D1515-C1515,"")</f>
        <v>0</v>
      </c>
      <c r="F1515" s="4" t="s">
        <v>1343</v>
      </c>
      <c r="G1515" s="4" t="s">
        <v>2110</v>
      </c>
      <c r="H1515" s="4" t="s">
        <v>32</v>
      </c>
      <c r="I1515" s="4" t="s">
        <v>33</v>
      </c>
      <c r="J1515" s="4">
        <v>2</v>
      </c>
      <c r="K1515" s="4">
        <v>0</v>
      </c>
      <c r="L1515" s="4">
        <f>J1515+K1515</f>
        <v>0</v>
      </c>
      <c r="M1515" s="4" t="s">
        <v>80</v>
      </c>
      <c r="N1515" s="4"/>
      <c r="O1515" s="4">
        <v>2</v>
      </c>
      <c r="P1515" s="4" t="s">
        <v>135</v>
      </c>
      <c r="Q1515" s="4"/>
      <c r="R1515" s="7">
        <v>610000</v>
      </c>
      <c r="S1515" s="7">
        <v>0</v>
      </c>
      <c r="T1515" s="7">
        <f>R1515-S1515</f>
        <v>0</v>
      </c>
      <c r="U1515" s="7">
        <f>T1515*O1515</f>
        <v>0</v>
      </c>
    </row>
    <row r="1516" spans="1:21">
      <c r="A1516" s="4" t="s">
        <v>2111</v>
      </c>
      <c r="B1516" s="4" t="s">
        <v>39</v>
      </c>
      <c r="C1516" s="5">
        <v>45943.15142361111</v>
      </c>
      <c r="D1516" s="5">
        <v>45943</v>
      </c>
      <c r="E1516" s="6">
        <f>IF(AND(C1516&lt;&gt;"",D1516&lt;&gt;""),D1516-C1516,"")</f>
        <v>0</v>
      </c>
      <c r="F1516" s="4" t="s">
        <v>1096</v>
      </c>
      <c r="G1516" s="4" t="s">
        <v>2112</v>
      </c>
      <c r="H1516" s="4" t="s">
        <v>32</v>
      </c>
      <c r="I1516" s="4" t="s">
        <v>33</v>
      </c>
      <c r="J1516" s="4">
        <v>3</v>
      </c>
      <c r="K1516" s="4">
        <v>0</v>
      </c>
      <c r="L1516" s="4">
        <f>J1516+K1516</f>
        <v>0</v>
      </c>
      <c r="M1516" s="4" t="s">
        <v>80</v>
      </c>
      <c r="N1516" s="4"/>
      <c r="O1516" s="4">
        <v>3</v>
      </c>
      <c r="P1516" s="4" t="s">
        <v>135</v>
      </c>
      <c r="Q1516" s="4"/>
      <c r="R1516" s="7">
        <v>610000</v>
      </c>
      <c r="S1516" s="7">
        <v>0</v>
      </c>
      <c r="T1516" s="7">
        <f>R1516-S1516</f>
        <v>0</v>
      </c>
      <c r="U1516" s="7">
        <f>T1516*O1516</f>
        <v>0</v>
      </c>
    </row>
    <row r="1517" spans="1:21">
      <c r="A1517" s="4" t="s">
        <v>2111</v>
      </c>
      <c r="B1517" s="4" t="s">
        <v>39</v>
      </c>
      <c r="C1517" s="5">
        <v>45943.15142361111</v>
      </c>
      <c r="D1517" s="5">
        <v>45943</v>
      </c>
      <c r="E1517" s="6">
        <f>IF(AND(C1517&lt;&gt;"",D1517&lt;&gt;""),D1517-C1517,"")</f>
        <v>0</v>
      </c>
      <c r="F1517" s="4" t="s">
        <v>1096</v>
      </c>
      <c r="G1517" s="4" t="s">
        <v>2112</v>
      </c>
      <c r="H1517" s="4" t="s">
        <v>32</v>
      </c>
      <c r="I1517" s="4" t="s">
        <v>33</v>
      </c>
      <c r="J1517" s="4">
        <v>2</v>
      </c>
      <c r="K1517" s="4">
        <v>0</v>
      </c>
      <c r="L1517" s="4">
        <f>J1517+K1517</f>
        <v>0</v>
      </c>
      <c r="M1517" s="4" t="s">
        <v>42</v>
      </c>
      <c r="N1517" s="4"/>
      <c r="O1517" s="4">
        <v>2</v>
      </c>
      <c r="P1517" s="4" t="s">
        <v>135</v>
      </c>
      <c r="Q1517" s="4"/>
      <c r="R1517" s="7">
        <v>370000</v>
      </c>
      <c r="S1517" s="7">
        <v>0</v>
      </c>
      <c r="T1517" s="7">
        <f>R1517-S1517</f>
        <v>0</v>
      </c>
      <c r="U1517" s="7">
        <f>T1517*O1517</f>
        <v>0</v>
      </c>
    </row>
    <row r="1518" spans="1:21">
      <c r="A1518" s="4" t="s">
        <v>2113</v>
      </c>
      <c r="B1518" s="4" t="s">
        <v>48</v>
      </c>
      <c r="C1518" s="5">
        <v>45943.16015046297</v>
      </c>
      <c r="D1518" s="5">
        <v>45961</v>
      </c>
      <c r="E1518" s="6">
        <f>IF(AND(C1518&lt;&gt;"",D1518&lt;&gt;""),D1518-C1518,"")</f>
        <v>0</v>
      </c>
      <c r="F1518" s="4" t="s">
        <v>1399</v>
      </c>
      <c r="G1518" s="4" t="s">
        <v>202</v>
      </c>
      <c r="H1518" s="4" t="s">
        <v>32</v>
      </c>
      <c r="I1518" s="4" t="s">
        <v>33</v>
      </c>
      <c r="J1518" s="4">
        <v>2</v>
      </c>
      <c r="K1518" s="4">
        <v>0</v>
      </c>
      <c r="L1518" s="4">
        <f>J1518+K1518</f>
        <v>0</v>
      </c>
      <c r="M1518" s="4"/>
      <c r="N1518" s="4"/>
      <c r="O1518" s="4">
        <v>0</v>
      </c>
      <c r="P1518" s="4"/>
      <c r="Q1518" s="4"/>
      <c r="R1518" s="7">
        <v>0</v>
      </c>
      <c r="S1518" s="7">
        <v>0</v>
      </c>
      <c r="T1518" s="7">
        <f>R1518-S1518</f>
        <v>0</v>
      </c>
      <c r="U1518" s="7">
        <f>T1518*O1518</f>
        <v>0</v>
      </c>
    </row>
    <row r="1519" spans="1:21">
      <c r="A1519" s="4" t="s">
        <v>2114</v>
      </c>
      <c r="B1519" s="4" t="s">
        <v>48</v>
      </c>
      <c r="C1519" s="5">
        <v>45943.16061342593</v>
      </c>
      <c r="D1519" s="5">
        <v>45961</v>
      </c>
      <c r="E1519" s="6">
        <f>IF(AND(C1519&lt;&gt;"",D1519&lt;&gt;""),D1519-C1519,"")</f>
        <v>0</v>
      </c>
      <c r="F1519" s="4" t="s">
        <v>372</v>
      </c>
      <c r="G1519" s="4" t="s">
        <v>373</v>
      </c>
      <c r="H1519" s="4" t="s">
        <v>32</v>
      </c>
      <c r="I1519" s="4" t="s">
        <v>33</v>
      </c>
      <c r="J1519" s="4">
        <v>1</v>
      </c>
      <c r="K1519" s="4">
        <v>1</v>
      </c>
      <c r="L1519" s="4">
        <f>J1519+K1519</f>
        <v>0</v>
      </c>
      <c r="M1519" s="4"/>
      <c r="N1519" s="4"/>
      <c r="O1519" s="4">
        <v>0</v>
      </c>
      <c r="P1519" s="4"/>
      <c r="Q1519" s="4"/>
      <c r="R1519" s="7">
        <v>0</v>
      </c>
      <c r="S1519" s="7">
        <v>0</v>
      </c>
      <c r="T1519" s="7">
        <f>R1519-S1519</f>
        <v>0</v>
      </c>
      <c r="U1519" s="7">
        <f>T1519*O1519</f>
        <v>0</v>
      </c>
    </row>
    <row r="1520" spans="1:21">
      <c r="A1520" s="4" t="s">
        <v>2115</v>
      </c>
      <c r="B1520" s="4" t="s">
        <v>48</v>
      </c>
      <c r="C1520" s="5">
        <v>45943.16734953703</v>
      </c>
      <c r="D1520" s="5">
        <v>45961</v>
      </c>
      <c r="E1520" s="6">
        <f>IF(AND(C1520&lt;&gt;"",D1520&lt;&gt;""),D1520-C1520,"")</f>
        <v>0</v>
      </c>
      <c r="F1520" s="4" t="s">
        <v>1399</v>
      </c>
      <c r="G1520" s="4" t="s">
        <v>202</v>
      </c>
      <c r="H1520" s="4" t="s">
        <v>32</v>
      </c>
      <c r="I1520" s="4" t="s">
        <v>33</v>
      </c>
      <c r="J1520" s="4">
        <v>6</v>
      </c>
      <c r="K1520" s="4">
        <v>0</v>
      </c>
      <c r="L1520" s="4">
        <f>J1520+K1520</f>
        <v>0</v>
      </c>
      <c r="M1520" s="4"/>
      <c r="N1520" s="4"/>
      <c r="O1520" s="4">
        <v>0</v>
      </c>
      <c r="P1520" s="4"/>
      <c r="Q1520" s="4"/>
      <c r="R1520" s="7">
        <v>0</v>
      </c>
      <c r="S1520" s="7">
        <v>0</v>
      </c>
      <c r="T1520" s="7">
        <f>R1520-S1520</f>
        <v>0</v>
      </c>
      <c r="U1520" s="7">
        <f>T1520*O1520</f>
        <v>0</v>
      </c>
    </row>
    <row r="1521" spans="1:21">
      <c r="A1521" s="4" t="s">
        <v>2116</v>
      </c>
      <c r="B1521" s="4" t="s">
        <v>48</v>
      </c>
      <c r="C1521" s="5">
        <v>45943.21469907407</v>
      </c>
      <c r="D1521" s="5">
        <v>45961</v>
      </c>
      <c r="E1521" s="6">
        <f>IF(AND(C1521&lt;&gt;"",D1521&lt;&gt;""),D1521-C1521,"")</f>
        <v>0</v>
      </c>
      <c r="F1521" s="4" t="s">
        <v>1399</v>
      </c>
      <c r="G1521" s="4" t="s">
        <v>202</v>
      </c>
      <c r="H1521" s="4" t="s">
        <v>32</v>
      </c>
      <c r="I1521" s="4" t="s">
        <v>33</v>
      </c>
      <c r="J1521" s="4">
        <v>5</v>
      </c>
      <c r="K1521" s="4">
        <v>4</v>
      </c>
      <c r="L1521" s="4">
        <f>J1521+K1521</f>
        <v>0</v>
      </c>
      <c r="M1521" s="4"/>
      <c r="N1521" s="4"/>
      <c r="O1521" s="4">
        <v>0</v>
      </c>
      <c r="P1521" s="4"/>
      <c r="Q1521" s="4"/>
      <c r="R1521" s="7">
        <v>0</v>
      </c>
      <c r="S1521" s="7">
        <v>0</v>
      </c>
      <c r="T1521" s="7">
        <f>R1521-S1521</f>
        <v>0</v>
      </c>
      <c r="U1521" s="7">
        <f>T1521*O1521</f>
        <v>0</v>
      </c>
    </row>
    <row r="1522" spans="1:21">
      <c r="A1522" s="4" t="s">
        <v>2117</v>
      </c>
      <c r="B1522" s="4" t="s">
        <v>48</v>
      </c>
      <c r="C1522" s="5">
        <v>45943.21982638889</v>
      </c>
      <c r="D1522" s="5">
        <v>45961</v>
      </c>
      <c r="E1522" s="6">
        <f>IF(AND(C1522&lt;&gt;"",D1522&lt;&gt;""),D1522-C1522,"")</f>
        <v>0</v>
      </c>
      <c r="F1522" s="4" t="s">
        <v>2118</v>
      </c>
      <c r="G1522" s="4" t="s">
        <v>2119</v>
      </c>
      <c r="H1522" s="4" t="s">
        <v>32</v>
      </c>
      <c r="I1522" s="4" t="s">
        <v>33</v>
      </c>
      <c r="J1522" s="4">
        <v>3</v>
      </c>
      <c r="K1522" s="4">
        <v>0</v>
      </c>
      <c r="L1522" s="4">
        <f>J1522+K1522</f>
        <v>0</v>
      </c>
      <c r="M1522" s="4"/>
      <c r="N1522" s="4"/>
      <c r="O1522" s="4">
        <v>0</v>
      </c>
      <c r="P1522" s="4"/>
      <c r="Q1522" s="4"/>
      <c r="R1522" s="7">
        <v>0</v>
      </c>
      <c r="S1522" s="7">
        <v>0</v>
      </c>
      <c r="T1522" s="7">
        <f>R1522-S1522</f>
        <v>0</v>
      </c>
      <c r="U1522" s="7">
        <f>T1522*O1522</f>
        <v>0</v>
      </c>
    </row>
    <row r="1523" spans="1:21">
      <c r="A1523" s="4" t="s">
        <v>2120</v>
      </c>
      <c r="B1523" s="4" t="s">
        <v>48</v>
      </c>
      <c r="C1523" s="5">
        <v>45943.2428125</v>
      </c>
      <c r="D1523" s="5">
        <v>45961</v>
      </c>
      <c r="E1523" s="6">
        <f>IF(AND(C1523&lt;&gt;"",D1523&lt;&gt;""),D1523-C1523,"")</f>
        <v>0</v>
      </c>
      <c r="F1523" s="4" t="s">
        <v>2121</v>
      </c>
      <c r="G1523" s="4" t="s">
        <v>2122</v>
      </c>
      <c r="H1523" s="4" t="s">
        <v>32</v>
      </c>
      <c r="I1523" s="4" t="s">
        <v>33</v>
      </c>
      <c r="J1523" s="4">
        <v>3</v>
      </c>
      <c r="K1523" s="4">
        <v>0</v>
      </c>
      <c r="L1523" s="4">
        <f>J1523+K1523</f>
        <v>0</v>
      </c>
      <c r="M1523" s="4"/>
      <c r="N1523" s="4"/>
      <c r="O1523" s="4">
        <v>0</v>
      </c>
      <c r="P1523" s="4"/>
      <c r="Q1523" s="4"/>
      <c r="R1523" s="7">
        <v>0</v>
      </c>
      <c r="S1523" s="7">
        <v>0</v>
      </c>
      <c r="T1523" s="7">
        <f>R1523-S1523</f>
        <v>0</v>
      </c>
      <c r="U1523" s="7">
        <f>T1523*O1523</f>
        <v>0</v>
      </c>
    </row>
    <row r="1524" spans="1:21">
      <c r="A1524" s="4" t="s">
        <v>2123</v>
      </c>
      <c r="B1524" s="4" t="s">
        <v>39</v>
      </c>
      <c r="C1524" s="5">
        <v>45943.29508101852</v>
      </c>
      <c r="D1524" s="5">
        <v>45943</v>
      </c>
      <c r="E1524" s="6">
        <f>IF(AND(C1524&lt;&gt;"",D1524&lt;&gt;""),D1524-C1524,"")</f>
        <v>0</v>
      </c>
      <c r="F1524" s="4" t="s">
        <v>1915</v>
      </c>
      <c r="G1524" s="4" t="s">
        <v>1916</v>
      </c>
      <c r="H1524" s="4" t="s">
        <v>1917</v>
      </c>
      <c r="I1524" s="4" t="s">
        <v>56</v>
      </c>
      <c r="J1524" s="4">
        <v>0</v>
      </c>
      <c r="K1524" s="4">
        <v>0</v>
      </c>
      <c r="L1524" s="4">
        <f>J1524+K1524</f>
        <v>0</v>
      </c>
      <c r="M1524" s="4" t="s">
        <v>370</v>
      </c>
      <c r="N1524" s="4"/>
      <c r="O1524" s="4">
        <v>1</v>
      </c>
      <c r="P1524" s="4" t="s">
        <v>135</v>
      </c>
      <c r="Q1524" s="4" t="s">
        <v>44</v>
      </c>
      <c r="R1524" s="7">
        <v>5000000</v>
      </c>
      <c r="S1524" s="7">
        <v>0</v>
      </c>
      <c r="T1524" s="7">
        <f>R1524-S1524</f>
        <v>0</v>
      </c>
      <c r="U1524" s="7">
        <f>T1524*O1524</f>
        <v>0</v>
      </c>
    </row>
    <row r="1525" spans="1:21">
      <c r="A1525" s="4" t="s">
        <v>2124</v>
      </c>
      <c r="B1525" s="4" t="s">
        <v>39</v>
      </c>
      <c r="C1525" s="5">
        <v>45943.3046412037</v>
      </c>
      <c r="D1525" s="5">
        <v>45943</v>
      </c>
      <c r="E1525" s="6">
        <f>IF(AND(C1525&lt;&gt;"",D1525&lt;&gt;""),D1525-C1525,"")</f>
        <v>0</v>
      </c>
      <c r="F1525" s="4" t="s">
        <v>1915</v>
      </c>
      <c r="G1525" s="4" t="s">
        <v>1916</v>
      </c>
      <c r="H1525" s="4" t="s">
        <v>1917</v>
      </c>
      <c r="I1525" s="4" t="s">
        <v>56</v>
      </c>
      <c r="J1525" s="4">
        <v>0</v>
      </c>
      <c r="K1525" s="4">
        <v>0</v>
      </c>
      <c r="L1525" s="4">
        <f>J1525+K1525</f>
        <v>0</v>
      </c>
      <c r="M1525" s="4" t="s">
        <v>370</v>
      </c>
      <c r="N1525" s="4"/>
      <c r="O1525" s="4">
        <v>1</v>
      </c>
      <c r="P1525" s="4" t="s">
        <v>135</v>
      </c>
      <c r="Q1525" s="4" t="s">
        <v>44</v>
      </c>
      <c r="R1525" s="7">
        <v>5000000</v>
      </c>
      <c r="S1525" s="7">
        <v>0</v>
      </c>
      <c r="T1525" s="7">
        <f>R1525-S1525</f>
        <v>0</v>
      </c>
      <c r="U1525" s="7">
        <f>T1525*O1525</f>
        <v>0</v>
      </c>
    </row>
    <row r="1526" spans="1:21">
      <c r="A1526" s="4" t="s">
        <v>2125</v>
      </c>
      <c r="B1526" s="4" t="s">
        <v>48</v>
      </c>
      <c r="C1526" s="5">
        <v>45943.3191087963</v>
      </c>
      <c r="D1526" s="5">
        <v>45961</v>
      </c>
      <c r="E1526" s="6">
        <f>IF(AND(C1526&lt;&gt;"",D1526&lt;&gt;""),D1526-C1526,"")</f>
        <v>0</v>
      </c>
      <c r="F1526" s="4" t="s">
        <v>2126</v>
      </c>
      <c r="G1526" s="4" t="s">
        <v>2127</v>
      </c>
      <c r="H1526" s="4" t="s">
        <v>32</v>
      </c>
      <c r="I1526" s="4" t="s">
        <v>33</v>
      </c>
      <c r="J1526" s="4">
        <v>3</v>
      </c>
      <c r="K1526" s="4">
        <v>2</v>
      </c>
      <c r="L1526" s="4">
        <f>J1526+K1526</f>
        <v>0</v>
      </c>
      <c r="M1526" s="4"/>
      <c r="N1526" s="4"/>
      <c r="O1526" s="4">
        <v>0</v>
      </c>
      <c r="P1526" s="4"/>
      <c r="Q1526" s="4"/>
      <c r="R1526" s="7">
        <v>0</v>
      </c>
      <c r="S1526" s="7">
        <v>0</v>
      </c>
      <c r="T1526" s="7">
        <f>R1526-S1526</f>
        <v>0</v>
      </c>
      <c r="U1526" s="7">
        <f>T1526*O1526</f>
        <v>0</v>
      </c>
    </row>
    <row r="1527" spans="1:21">
      <c r="A1527" s="4" t="s">
        <v>2128</v>
      </c>
      <c r="B1527" s="4" t="s">
        <v>48</v>
      </c>
      <c r="C1527" s="5">
        <v>45943.33430555555</v>
      </c>
      <c r="D1527" s="5">
        <v>45961</v>
      </c>
      <c r="E1527" s="6">
        <f>IF(AND(C1527&lt;&gt;"",D1527&lt;&gt;""),D1527-C1527,"")</f>
        <v>0</v>
      </c>
      <c r="F1527" s="4" t="s">
        <v>2129</v>
      </c>
      <c r="G1527" s="4" t="s">
        <v>2130</v>
      </c>
      <c r="H1527" s="4" t="s">
        <v>32</v>
      </c>
      <c r="I1527" s="4" t="s">
        <v>33</v>
      </c>
      <c r="J1527" s="4">
        <v>5</v>
      </c>
      <c r="K1527" s="4">
        <v>4</v>
      </c>
      <c r="L1527" s="4">
        <f>J1527+K1527</f>
        <v>0</v>
      </c>
      <c r="M1527" s="4"/>
      <c r="N1527" s="4"/>
      <c r="O1527" s="4">
        <v>0</v>
      </c>
      <c r="P1527" s="4"/>
      <c r="Q1527" s="4"/>
      <c r="R1527" s="7">
        <v>0</v>
      </c>
      <c r="S1527" s="7">
        <v>0</v>
      </c>
      <c r="T1527" s="7">
        <f>R1527-S1527</f>
        <v>0</v>
      </c>
      <c r="U1527" s="7">
        <f>T1527*O1527</f>
        <v>0</v>
      </c>
    </row>
    <row r="1528" spans="1:21">
      <c r="A1528" s="4" t="s">
        <v>2131</v>
      </c>
      <c r="B1528" s="4" t="s">
        <v>48</v>
      </c>
      <c r="C1528" s="5">
        <v>45943.34900462963</v>
      </c>
      <c r="D1528" s="5">
        <v>45961</v>
      </c>
      <c r="E1528" s="6">
        <f>IF(AND(C1528&lt;&gt;"",D1528&lt;&gt;""),D1528-C1528,"")</f>
        <v>0</v>
      </c>
      <c r="F1528" s="4" t="s">
        <v>64</v>
      </c>
      <c r="G1528" s="4" t="s">
        <v>2132</v>
      </c>
      <c r="H1528" s="4" t="s">
        <v>32</v>
      </c>
      <c r="I1528" s="4" t="s">
        <v>33</v>
      </c>
      <c r="J1528" s="4">
        <v>6</v>
      </c>
      <c r="K1528" s="4">
        <v>4</v>
      </c>
      <c r="L1528" s="4">
        <f>J1528+K1528</f>
        <v>0</v>
      </c>
      <c r="M1528" s="4"/>
      <c r="N1528" s="4"/>
      <c r="O1528" s="4">
        <v>0</v>
      </c>
      <c r="P1528" s="4"/>
      <c r="Q1528" s="4"/>
      <c r="R1528" s="7">
        <v>0</v>
      </c>
      <c r="S1528" s="7">
        <v>0</v>
      </c>
      <c r="T1528" s="7">
        <f>R1528-S1528</f>
        <v>0</v>
      </c>
      <c r="U1528" s="7">
        <f>T1528*O1528</f>
        <v>0</v>
      </c>
    </row>
    <row r="1529" spans="1:21">
      <c r="A1529" s="4" t="s">
        <v>2133</v>
      </c>
      <c r="B1529" s="4" t="s">
        <v>48</v>
      </c>
      <c r="C1529" s="5">
        <v>45943.36885416666</v>
      </c>
      <c r="D1529" s="5">
        <v>45961</v>
      </c>
      <c r="E1529" s="6">
        <f>IF(AND(C1529&lt;&gt;"",D1529&lt;&gt;""),D1529-C1529,"")</f>
        <v>0</v>
      </c>
      <c r="F1529" s="4" t="s">
        <v>64</v>
      </c>
      <c r="G1529" s="4" t="s">
        <v>2134</v>
      </c>
      <c r="H1529" s="4" t="s">
        <v>32</v>
      </c>
      <c r="I1529" s="4" t="s">
        <v>33</v>
      </c>
      <c r="J1529" s="4">
        <v>2</v>
      </c>
      <c r="K1529" s="4">
        <v>2</v>
      </c>
      <c r="L1529" s="4">
        <f>J1529+K1529</f>
        <v>0</v>
      </c>
      <c r="M1529" s="4"/>
      <c r="N1529" s="4"/>
      <c r="O1529" s="4">
        <v>0</v>
      </c>
      <c r="P1529" s="4"/>
      <c r="Q1529" s="4"/>
      <c r="R1529" s="7">
        <v>0</v>
      </c>
      <c r="S1529" s="7">
        <v>0</v>
      </c>
      <c r="T1529" s="7">
        <f>R1529-S1529</f>
        <v>0</v>
      </c>
      <c r="U1529" s="7">
        <f>T1529*O1529</f>
        <v>0</v>
      </c>
    </row>
    <row r="1530" spans="1:21">
      <c r="A1530" s="4" t="s">
        <v>2135</v>
      </c>
      <c r="B1530" s="4" t="s">
        <v>48</v>
      </c>
      <c r="C1530" s="5">
        <v>45943.38847222222</v>
      </c>
      <c r="D1530" s="5">
        <v>45961</v>
      </c>
      <c r="E1530" s="6">
        <f>IF(AND(C1530&lt;&gt;"",D1530&lt;&gt;""),D1530-C1530,"")</f>
        <v>0</v>
      </c>
      <c r="F1530" s="4" t="s">
        <v>162</v>
      </c>
      <c r="G1530" s="4" t="s">
        <v>163</v>
      </c>
      <c r="H1530" s="4" t="s">
        <v>32</v>
      </c>
      <c r="I1530" s="4" t="s">
        <v>33</v>
      </c>
      <c r="J1530" s="4">
        <v>2</v>
      </c>
      <c r="K1530" s="4">
        <v>1</v>
      </c>
      <c r="L1530" s="4">
        <f>J1530+K1530</f>
        <v>0</v>
      </c>
      <c r="M1530" s="4"/>
      <c r="N1530" s="4"/>
      <c r="O1530" s="4">
        <v>0</v>
      </c>
      <c r="P1530" s="4"/>
      <c r="Q1530" s="4"/>
      <c r="R1530" s="7">
        <v>0</v>
      </c>
      <c r="S1530" s="7">
        <v>0</v>
      </c>
      <c r="T1530" s="7">
        <f>R1530-S1530</f>
        <v>0</v>
      </c>
      <c r="U1530" s="7">
        <f>T1530*O1530</f>
        <v>0</v>
      </c>
    </row>
    <row r="1531" spans="1:21">
      <c r="A1531" s="4" t="s">
        <v>2136</v>
      </c>
      <c r="B1531" s="4" t="s">
        <v>48</v>
      </c>
      <c r="C1531" s="5">
        <v>45943.53491898148</v>
      </c>
      <c r="D1531" s="5">
        <v>45961</v>
      </c>
      <c r="E1531" s="6">
        <f>IF(AND(C1531&lt;&gt;"",D1531&lt;&gt;""),D1531-C1531,"")</f>
        <v>0</v>
      </c>
      <c r="F1531" s="4" t="s">
        <v>1960</v>
      </c>
      <c r="G1531" s="4" t="s">
        <v>1961</v>
      </c>
      <c r="H1531" s="4" t="s">
        <v>32</v>
      </c>
      <c r="I1531" s="4" t="s">
        <v>33</v>
      </c>
      <c r="J1531" s="4">
        <v>1</v>
      </c>
      <c r="K1531" s="4">
        <v>0</v>
      </c>
      <c r="L1531" s="4">
        <f>J1531+K1531</f>
        <v>0</v>
      </c>
      <c r="M1531" s="4"/>
      <c r="N1531" s="4"/>
      <c r="O1531" s="4">
        <v>0</v>
      </c>
      <c r="P1531" s="4"/>
      <c r="Q1531" s="4"/>
      <c r="R1531" s="7">
        <v>0</v>
      </c>
      <c r="S1531" s="7">
        <v>0</v>
      </c>
      <c r="T1531" s="7">
        <f>R1531-S1531</f>
        <v>0</v>
      </c>
      <c r="U1531" s="7">
        <f>T1531*O1531</f>
        <v>0</v>
      </c>
    </row>
    <row r="1532" spans="1:21">
      <c r="A1532" s="4" t="s">
        <v>2137</v>
      </c>
      <c r="B1532" s="4" t="s">
        <v>29</v>
      </c>
      <c r="C1532" s="5">
        <v>45943.54811342592</v>
      </c>
      <c r="D1532" s="5">
        <v>45961</v>
      </c>
      <c r="E1532" s="6">
        <f>IF(AND(C1532&lt;&gt;"",D1532&lt;&gt;""),D1532-C1532,"")</f>
        <v>0</v>
      </c>
      <c r="F1532" s="4" t="s">
        <v>307</v>
      </c>
      <c r="G1532" s="4" t="s">
        <v>308</v>
      </c>
      <c r="H1532" s="4" t="s">
        <v>190</v>
      </c>
      <c r="I1532" s="4" t="s">
        <v>56</v>
      </c>
      <c r="J1532" s="4">
        <v>1</v>
      </c>
      <c r="K1532" s="4">
        <v>0</v>
      </c>
      <c r="L1532" s="4">
        <f>J1532+K1532</f>
        <v>0</v>
      </c>
      <c r="M1532" s="4"/>
      <c r="N1532" s="4"/>
      <c r="O1532" s="4">
        <v>0</v>
      </c>
      <c r="P1532" s="4"/>
      <c r="Q1532" s="4"/>
      <c r="R1532" s="7">
        <v>0</v>
      </c>
      <c r="S1532" s="7">
        <v>0</v>
      </c>
      <c r="T1532" s="7">
        <f>R1532-S1532</f>
        <v>0</v>
      </c>
      <c r="U1532" s="7">
        <f>T1532*O1532</f>
        <v>0</v>
      </c>
    </row>
    <row r="1533" spans="1:21">
      <c r="A1533" s="4" t="s">
        <v>2138</v>
      </c>
      <c r="B1533" s="4" t="s">
        <v>29</v>
      </c>
      <c r="C1533" s="5">
        <v>45943.54840277778</v>
      </c>
      <c r="D1533" s="5">
        <v>45961</v>
      </c>
      <c r="E1533" s="6">
        <f>IF(AND(C1533&lt;&gt;"",D1533&lt;&gt;""),D1533-C1533,"")</f>
        <v>0</v>
      </c>
      <c r="F1533" s="4" t="s">
        <v>307</v>
      </c>
      <c r="G1533" s="4" t="s">
        <v>308</v>
      </c>
      <c r="H1533" s="4" t="s">
        <v>190</v>
      </c>
      <c r="I1533" s="4" t="s">
        <v>56</v>
      </c>
      <c r="J1533" s="4">
        <v>1</v>
      </c>
      <c r="K1533" s="4">
        <v>0</v>
      </c>
      <c r="L1533" s="4">
        <f>J1533+K1533</f>
        <v>0</v>
      </c>
      <c r="M1533" s="4"/>
      <c r="N1533" s="4"/>
      <c r="O1533" s="4">
        <v>0</v>
      </c>
      <c r="P1533" s="4"/>
      <c r="Q1533" s="4"/>
      <c r="R1533" s="7">
        <v>0</v>
      </c>
      <c r="S1533" s="7">
        <v>0</v>
      </c>
      <c r="T1533" s="7">
        <f>R1533-S1533</f>
        <v>0</v>
      </c>
      <c r="U1533" s="7">
        <f>T1533*O1533</f>
        <v>0</v>
      </c>
    </row>
    <row r="1534" spans="1:21">
      <c r="A1534" s="4" t="s">
        <v>2139</v>
      </c>
      <c r="B1534" s="4" t="s">
        <v>48</v>
      </c>
      <c r="C1534" s="5">
        <v>45943.56503472223</v>
      </c>
      <c r="D1534" s="5">
        <v>45961</v>
      </c>
      <c r="E1534" s="6">
        <f>IF(AND(C1534&lt;&gt;"",D1534&lt;&gt;""),D1534-C1534,"")</f>
        <v>0</v>
      </c>
      <c r="F1534" s="4" t="s">
        <v>1748</v>
      </c>
      <c r="G1534" s="4" t="s">
        <v>2140</v>
      </c>
      <c r="H1534" s="4" t="s">
        <v>32</v>
      </c>
      <c r="I1534" s="4" t="s">
        <v>33</v>
      </c>
      <c r="J1534" s="4">
        <v>3</v>
      </c>
      <c r="K1534" s="4">
        <v>0</v>
      </c>
      <c r="L1534" s="4">
        <f>J1534+K1534</f>
        <v>0</v>
      </c>
      <c r="M1534" s="4"/>
      <c r="N1534" s="4"/>
      <c r="O1534" s="4">
        <v>0</v>
      </c>
      <c r="P1534" s="4"/>
      <c r="Q1534" s="4"/>
      <c r="R1534" s="7">
        <v>0</v>
      </c>
      <c r="S1534" s="7">
        <v>0</v>
      </c>
      <c r="T1534" s="7">
        <f>R1534-S1534</f>
        <v>0</v>
      </c>
      <c r="U1534" s="7">
        <f>T1534*O1534</f>
        <v>0</v>
      </c>
    </row>
    <row r="1535" spans="1:21">
      <c r="A1535" s="4" t="s">
        <v>2141</v>
      </c>
      <c r="B1535" s="4" t="s">
        <v>48</v>
      </c>
      <c r="C1535" s="5">
        <v>45943.58524305555</v>
      </c>
      <c r="D1535" s="5">
        <v>45961</v>
      </c>
      <c r="E1535" s="6">
        <f>IF(AND(C1535&lt;&gt;"",D1535&lt;&gt;""),D1535-C1535,"")</f>
        <v>0</v>
      </c>
      <c r="F1535" s="4" t="s">
        <v>2142</v>
      </c>
      <c r="G1535" s="4" t="s">
        <v>2143</v>
      </c>
      <c r="H1535" s="4" t="s">
        <v>32</v>
      </c>
      <c r="I1535" s="4" t="s">
        <v>33</v>
      </c>
      <c r="J1535" s="4">
        <v>3</v>
      </c>
      <c r="K1535" s="4">
        <v>0</v>
      </c>
      <c r="L1535" s="4">
        <f>J1535+K1535</f>
        <v>0</v>
      </c>
      <c r="M1535" s="4"/>
      <c r="N1535" s="4"/>
      <c r="O1535" s="4">
        <v>0</v>
      </c>
      <c r="P1535" s="4"/>
      <c r="Q1535" s="4"/>
      <c r="R1535" s="7">
        <v>0</v>
      </c>
      <c r="S1535" s="7">
        <v>0</v>
      </c>
      <c r="T1535" s="7">
        <f>R1535-S1535</f>
        <v>0</v>
      </c>
      <c r="U1535" s="7">
        <f>T1535*O1535</f>
        <v>0</v>
      </c>
    </row>
    <row r="1536" spans="1:21">
      <c r="A1536" s="4" t="s">
        <v>2144</v>
      </c>
      <c r="B1536" s="4" t="s">
        <v>48</v>
      </c>
      <c r="C1536" s="5">
        <v>45943.60019675926</v>
      </c>
      <c r="D1536" s="5">
        <v>45961</v>
      </c>
      <c r="E1536" s="6">
        <f>IF(AND(C1536&lt;&gt;"",D1536&lt;&gt;""),D1536-C1536,"")</f>
        <v>0</v>
      </c>
      <c r="F1536" s="4" t="s">
        <v>2145</v>
      </c>
      <c r="G1536" s="4" t="s">
        <v>2146</v>
      </c>
      <c r="H1536" s="4" t="s">
        <v>32</v>
      </c>
      <c r="I1536" s="4" t="s">
        <v>33</v>
      </c>
      <c r="J1536" s="4">
        <v>3</v>
      </c>
      <c r="K1536" s="4">
        <v>0</v>
      </c>
      <c r="L1536" s="4">
        <f>J1536+K1536</f>
        <v>0</v>
      </c>
      <c r="M1536" s="4"/>
      <c r="N1536" s="4"/>
      <c r="O1536" s="4">
        <v>0</v>
      </c>
      <c r="P1536" s="4"/>
      <c r="Q1536" s="4"/>
      <c r="R1536" s="7">
        <v>0</v>
      </c>
      <c r="S1536" s="7">
        <v>0</v>
      </c>
      <c r="T1536" s="7">
        <f>R1536-S1536</f>
        <v>0</v>
      </c>
      <c r="U1536" s="7">
        <f>T1536*O1536</f>
        <v>0</v>
      </c>
    </row>
    <row r="1537" spans="1:21">
      <c r="A1537" s="4" t="s">
        <v>2147</v>
      </c>
      <c r="B1537" s="4" t="s">
        <v>48</v>
      </c>
      <c r="C1537" s="5">
        <v>45943.61253472222</v>
      </c>
      <c r="D1537" s="5">
        <v>45961</v>
      </c>
      <c r="E1537" s="6">
        <f>IF(AND(C1537&lt;&gt;"",D1537&lt;&gt;""),D1537-C1537,"")</f>
        <v>0</v>
      </c>
      <c r="F1537" s="4" t="s">
        <v>1960</v>
      </c>
      <c r="G1537" s="4" t="s">
        <v>1961</v>
      </c>
      <c r="H1537" s="4" t="s">
        <v>32</v>
      </c>
      <c r="I1537" s="4" t="s">
        <v>33</v>
      </c>
      <c r="J1537" s="4">
        <v>2</v>
      </c>
      <c r="K1537" s="4">
        <v>0</v>
      </c>
      <c r="L1537" s="4">
        <f>J1537+K1537</f>
        <v>0</v>
      </c>
      <c r="M1537" s="4"/>
      <c r="N1537" s="4"/>
      <c r="O1537" s="4">
        <v>0</v>
      </c>
      <c r="P1537" s="4"/>
      <c r="Q1537" s="4"/>
      <c r="R1537" s="7">
        <v>0</v>
      </c>
      <c r="S1537" s="7">
        <v>0</v>
      </c>
      <c r="T1537" s="7">
        <f>R1537-S1537</f>
        <v>0</v>
      </c>
      <c r="U1537" s="7">
        <f>T1537*O1537</f>
        <v>0</v>
      </c>
    </row>
    <row r="1538" spans="1:21">
      <c r="A1538" s="4" t="s">
        <v>2148</v>
      </c>
      <c r="B1538" s="4" t="s">
        <v>48</v>
      </c>
      <c r="C1538" s="5">
        <v>45943.62153935185</v>
      </c>
      <c r="D1538" s="5">
        <v>45961</v>
      </c>
      <c r="E1538" s="6">
        <f>IF(AND(C1538&lt;&gt;"",D1538&lt;&gt;""),D1538-C1538,"")</f>
        <v>0</v>
      </c>
      <c r="F1538" s="4" t="s">
        <v>1845</v>
      </c>
      <c r="G1538" s="4" t="s">
        <v>2149</v>
      </c>
      <c r="H1538" s="4" t="s">
        <v>32</v>
      </c>
      <c r="I1538" s="4" t="s">
        <v>33</v>
      </c>
      <c r="J1538" s="4">
        <v>2</v>
      </c>
      <c r="K1538" s="4">
        <v>0</v>
      </c>
      <c r="L1538" s="4">
        <f>J1538+K1538</f>
        <v>0</v>
      </c>
      <c r="M1538" s="4"/>
      <c r="N1538" s="4"/>
      <c r="O1538" s="4">
        <v>0</v>
      </c>
      <c r="P1538" s="4"/>
      <c r="Q1538" s="4"/>
      <c r="R1538" s="7">
        <v>0</v>
      </c>
      <c r="S1538" s="7">
        <v>0</v>
      </c>
      <c r="T1538" s="7">
        <f>R1538-S1538</f>
        <v>0</v>
      </c>
      <c r="U1538" s="7">
        <f>T1538*O1538</f>
        <v>0</v>
      </c>
    </row>
    <row r="1539" spans="1:21">
      <c r="A1539" s="4" t="s">
        <v>2150</v>
      </c>
      <c r="B1539" s="4" t="s">
        <v>48</v>
      </c>
      <c r="C1539" s="5">
        <v>45943.62228009259</v>
      </c>
      <c r="D1539" s="5">
        <v>45961</v>
      </c>
      <c r="E1539" s="6">
        <f>IF(AND(C1539&lt;&gt;"",D1539&lt;&gt;""),D1539-C1539,"")</f>
        <v>0</v>
      </c>
      <c r="F1539" s="4" t="s">
        <v>64</v>
      </c>
      <c r="G1539" s="4" t="s">
        <v>2151</v>
      </c>
      <c r="H1539" s="4" t="s">
        <v>32</v>
      </c>
      <c r="I1539" s="4" t="s">
        <v>33</v>
      </c>
      <c r="J1539" s="4">
        <v>3</v>
      </c>
      <c r="K1539" s="4">
        <v>0</v>
      </c>
      <c r="L1539" s="4">
        <f>J1539+K1539</f>
        <v>0</v>
      </c>
      <c r="M1539" s="4"/>
      <c r="N1539" s="4"/>
      <c r="O1539" s="4">
        <v>0</v>
      </c>
      <c r="P1539" s="4"/>
      <c r="Q1539" s="4"/>
      <c r="R1539" s="7">
        <v>0</v>
      </c>
      <c r="S1539" s="7">
        <v>0</v>
      </c>
      <c r="T1539" s="7">
        <f>R1539-S1539</f>
        <v>0</v>
      </c>
      <c r="U1539" s="7">
        <f>T1539*O1539</f>
        <v>0</v>
      </c>
    </row>
    <row r="1540" spans="1:21">
      <c r="A1540" s="4" t="s">
        <v>2152</v>
      </c>
      <c r="B1540" s="4" t="s">
        <v>48</v>
      </c>
      <c r="C1540" s="5">
        <v>45943.63480324074</v>
      </c>
      <c r="D1540" s="5">
        <v>45961</v>
      </c>
      <c r="E1540" s="6">
        <f>IF(AND(C1540&lt;&gt;"",D1540&lt;&gt;""),D1540-C1540,"")</f>
        <v>0</v>
      </c>
      <c r="F1540" s="4" t="s">
        <v>64</v>
      </c>
      <c r="G1540" s="4" t="s">
        <v>2153</v>
      </c>
      <c r="H1540" s="4" t="s">
        <v>32</v>
      </c>
      <c r="I1540" s="4" t="s">
        <v>33</v>
      </c>
      <c r="J1540" s="4">
        <v>3</v>
      </c>
      <c r="K1540" s="4">
        <v>0</v>
      </c>
      <c r="L1540" s="4">
        <f>J1540+K1540</f>
        <v>0</v>
      </c>
      <c r="M1540" s="4"/>
      <c r="N1540" s="4"/>
      <c r="O1540" s="4">
        <v>0</v>
      </c>
      <c r="P1540" s="4"/>
      <c r="Q1540" s="4"/>
      <c r="R1540" s="7">
        <v>0</v>
      </c>
      <c r="S1540" s="7">
        <v>0</v>
      </c>
      <c r="T1540" s="7">
        <f>R1540-S1540</f>
        <v>0</v>
      </c>
      <c r="U1540" s="7">
        <f>T1540*O1540</f>
        <v>0</v>
      </c>
    </row>
    <row r="1541" spans="1:21">
      <c r="A1541" s="4" t="s">
        <v>2154</v>
      </c>
      <c r="B1541" s="4" t="s">
        <v>48</v>
      </c>
      <c r="C1541" s="5">
        <v>45943.65400462963</v>
      </c>
      <c r="D1541" s="5">
        <v>45961</v>
      </c>
      <c r="E1541" s="6">
        <f>IF(AND(C1541&lt;&gt;"",D1541&lt;&gt;""),D1541-C1541,"")</f>
        <v>0</v>
      </c>
      <c r="F1541" s="4" t="s">
        <v>2155</v>
      </c>
      <c r="G1541" s="4" t="s">
        <v>2156</v>
      </c>
      <c r="H1541" s="4" t="s">
        <v>32</v>
      </c>
      <c r="I1541" s="4" t="s">
        <v>33</v>
      </c>
      <c r="J1541" s="4">
        <v>3</v>
      </c>
      <c r="K1541" s="4">
        <v>0</v>
      </c>
      <c r="L1541" s="4">
        <f>J1541+K1541</f>
        <v>0</v>
      </c>
      <c r="M1541" s="4"/>
      <c r="N1541" s="4"/>
      <c r="O1541" s="4">
        <v>0</v>
      </c>
      <c r="P1541" s="4"/>
      <c r="Q1541" s="4"/>
      <c r="R1541" s="7">
        <v>0</v>
      </c>
      <c r="S1541" s="7">
        <v>0</v>
      </c>
      <c r="T1541" s="7">
        <f>R1541-S1541</f>
        <v>0</v>
      </c>
      <c r="U1541" s="7">
        <f>T1541*O1541</f>
        <v>0</v>
      </c>
    </row>
    <row r="1542" spans="1:21">
      <c r="A1542" s="4" t="s">
        <v>2157</v>
      </c>
      <c r="B1542" s="4" t="s">
        <v>48</v>
      </c>
      <c r="C1542" s="5">
        <v>45943.67542824074</v>
      </c>
      <c r="D1542" s="5">
        <v>45961</v>
      </c>
      <c r="E1542" s="6">
        <f>IF(AND(C1542&lt;&gt;"",D1542&lt;&gt;""),D1542-C1542,"")</f>
        <v>0</v>
      </c>
      <c r="F1542" s="4" t="s">
        <v>1960</v>
      </c>
      <c r="G1542" s="4" t="s">
        <v>1961</v>
      </c>
      <c r="H1542" s="4" t="s">
        <v>32</v>
      </c>
      <c r="I1542" s="4" t="s">
        <v>33</v>
      </c>
      <c r="J1542" s="4">
        <v>2</v>
      </c>
      <c r="K1542" s="4">
        <v>0</v>
      </c>
      <c r="L1542" s="4">
        <f>J1542+K1542</f>
        <v>0</v>
      </c>
      <c r="M1542" s="4"/>
      <c r="N1542" s="4"/>
      <c r="O1542" s="4">
        <v>0</v>
      </c>
      <c r="P1542" s="4"/>
      <c r="Q1542" s="4"/>
      <c r="R1542" s="7">
        <v>0</v>
      </c>
      <c r="S1542" s="7">
        <v>0</v>
      </c>
      <c r="T1542" s="7">
        <f>R1542-S1542</f>
        <v>0</v>
      </c>
      <c r="U1542" s="7">
        <f>T1542*O1542</f>
        <v>0</v>
      </c>
    </row>
    <row r="1543" spans="1:21">
      <c r="A1543" s="4" t="s">
        <v>2158</v>
      </c>
      <c r="B1543" s="4" t="s">
        <v>48</v>
      </c>
      <c r="C1543" s="5">
        <v>45943.68116898148</v>
      </c>
      <c r="D1543" s="5">
        <v>45961</v>
      </c>
      <c r="E1543" s="6">
        <f>IF(AND(C1543&lt;&gt;"",D1543&lt;&gt;""),D1543-C1543,"")</f>
        <v>0</v>
      </c>
      <c r="F1543" s="4" t="s">
        <v>219</v>
      </c>
      <c r="G1543" s="4" t="s">
        <v>2159</v>
      </c>
      <c r="H1543" s="4" t="s">
        <v>32</v>
      </c>
      <c r="I1543" s="4" t="s">
        <v>33</v>
      </c>
      <c r="J1543" s="4">
        <v>3</v>
      </c>
      <c r="K1543" s="4">
        <v>0</v>
      </c>
      <c r="L1543" s="4">
        <f>J1543+K1543</f>
        <v>0</v>
      </c>
      <c r="M1543" s="4"/>
      <c r="N1543" s="4"/>
      <c r="O1543" s="4">
        <v>0</v>
      </c>
      <c r="P1543" s="4"/>
      <c r="Q1543" s="4"/>
      <c r="R1543" s="7">
        <v>0</v>
      </c>
      <c r="S1543" s="7">
        <v>0</v>
      </c>
      <c r="T1543" s="7">
        <f>R1543-S1543</f>
        <v>0</v>
      </c>
      <c r="U1543" s="7">
        <f>T1543*O1543</f>
        <v>0</v>
      </c>
    </row>
    <row r="1544" spans="1:21">
      <c r="A1544" s="4" t="s">
        <v>2160</v>
      </c>
      <c r="B1544" s="4" t="s">
        <v>29</v>
      </c>
      <c r="C1544" s="5">
        <v>45943.70689814815</v>
      </c>
      <c r="D1544" s="5">
        <v>45961</v>
      </c>
      <c r="E1544" s="6">
        <f>IF(AND(C1544&lt;&gt;"",D1544&lt;&gt;""),D1544-C1544,"")</f>
        <v>0</v>
      </c>
      <c r="F1544" s="4" t="s">
        <v>1433</v>
      </c>
      <c r="G1544" s="4" t="s">
        <v>1434</v>
      </c>
      <c r="H1544" s="4" t="s">
        <v>1435</v>
      </c>
      <c r="I1544" s="4" t="s">
        <v>56</v>
      </c>
      <c r="J1544" s="4">
        <v>1</v>
      </c>
      <c r="K1544" s="4">
        <v>1</v>
      </c>
      <c r="L1544" s="4">
        <f>J1544+K1544</f>
        <v>0</v>
      </c>
      <c r="M1544" s="4"/>
      <c r="N1544" s="4"/>
      <c r="O1544" s="4">
        <v>0</v>
      </c>
      <c r="P1544" s="4"/>
      <c r="Q1544" s="4"/>
      <c r="R1544" s="7">
        <v>0</v>
      </c>
      <c r="S1544" s="7">
        <v>0</v>
      </c>
      <c r="T1544" s="7">
        <f>R1544-S1544</f>
        <v>0</v>
      </c>
      <c r="U1544" s="7">
        <f>T1544*O1544</f>
        <v>0</v>
      </c>
    </row>
    <row r="1545" spans="1:21">
      <c r="A1545" s="4" t="s">
        <v>2161</v>
      </c>
      <c r="B1545" s="4" t="s">
        <v>48</v>
      </c>
      <c r="C1545" s="5">
        <v>45944.01475694445</v>
      </c>
      <c r="D1545" s="5">
        <v>45961</v>
      </c>
      <c r="E1545" s="6">
        <f>IF(AND(C1545&lt;&gt;"",D1545&lt;&gt;""),D1545-C1545,"")</f>
        <v>0</v>
      </c>
      <c r="F1545" s="4" t="s">
        <v>1960</v>
      </c>
      <c r="G1545" s="4" t="s">
        <v>1961</v>
      </c>
      <c r="H1545" s="4" t="s">
        <v>32</v>
      </c>
      <c r="I1545" s="4" t="s">
        <v>33</v>
      </c>
      <c r="J1545" s="4">
        <v>2</v>
      </c>
      <c r="K1545" s="4">
        <v>0</v>
      </c>
      <c r="L1545" s="4">
        <f>J1545+K1545</f>
        <v>0</v>
      </c>
      <c r="M1545" s="4"/>
      <c r="N1545" s="4"/>
      <c r="O1545" s="4">
        <v>0</v>
      </c>
      <c r="P1545" s="4"/>
      <c r="Q1545" s="4"/>
      <c r="R1545" s="7">
        <v>0</v>
      </c>
      <c r="S1545" s="7">
        <v>0</v>
      </c>
      <c r="T1545" s="7">
        <f>R1545-S1545</f>
        <v>0</v>
      </c>
      <c r="U1545" s="7">
        <f>T1545*O1545</f>
        <v>0</v>
      </c>
    </row>
    <row r="1546" spans="1:21">
      <c r="A1546" s="4" t="s">
        <v>2162</v>
      </c>
      <c r="B1546" s="4" t="s">
        <v>39</v>
      </c>
      <c r="C1546" s="5">
        <v>45944.03609953704</v>
      </c>
      <c r="D1546" s="5">
        <v>45944</v>
      </c>
      <c r="E1546" s="6">
        <f>IF(AND(C1546&lt;&gt;"",D1546&lt;&gt;""),D1546-C1546,"")</f>
        <v>0</v>
      </c>
      <c r="F1546" s="4" t="s">
        <v>2163</v>
      </c>
      <c r="G1546" s="4" t="s">
        <v>2164</v>
      </c>
      <c r="H1546" s="4" t="s">
        <v>32</v>
      </c>
      <c r="I1546" s="4" t="s">
        <v>33</v>
      </c>
      <c r="J1546" s="4">
        <v>0</v>
      </c>
      <c r="K1546" s="4">
        <v>0</v>
      </c>
      <c r="L1546" s="4">
        <f>J1546+K1546</f>
        <v>0</v>
      </c>
      <c r="M1546" s="4" t="s">
        <v>370</v>
      </c>
      <c r="N1546" s="4"/>
      <c r="O1546" s="4">
        <v>1</v>
      </c>
      <c r="P1546" s="4" t="s">
        <v>135</v>
      </c>
      <c r="Q1546" s="4" t="s">
        <v>44</v>
      </c>
      <c r="R1546" s="7">
        <v>2000000</v>
      </c>
      <c r="S1546" s="7">
        <v>0</v>
      </c>
      <c r="T1546" s="7">
        <f>R1546-S1546</f>
        <v>0</v>
      </c>
      <c r="U1546" s="7">
        <f>T1546*O1546</f>
        <v>0</v>
      </c>
    </row>
    <row r="1547" spans="1:21">
      <c r="A1547" s="4" t="s">
        <v>2165</v>
      </c>
      <c r="B1547" s="4" t="s">
        <v>39</v>
      </c>
      <c r="C1547" s="5">
        <v>45944.03665509259</v>
      </c>
      <c r="D1547" s="5">
        <v>45944</v>
      </c>
      <c r="E1547" s="6">
        <f>IF(AND(C1547&lt;&gt;"",D1547&lt;&gt;""),D1547-C1547,"")</f>
        <v>0</v>
      </c>
      <c r="F1547" s="4" t="s">
        <v>2166</v>
      </c>
      <c r="G1547" s="4" t="s">
        <v>2167</v>
      </c>
      <c r="H1547" s="4" t="s">
        <v>32</v>
      </c>
      <c r="I1547" s="4" t="s">
        <v>33</v>
      </c>
      <c r="J1547" s="4">
        <v>0</v>
      </c>
      <c r="K1547" s="4">
        <v>0</v>
      </c>
      <c r="L1547" s="4">
        <f>J1547+K1547</f>
        <v>0</v>
      </c>
      <c r="M1547" s="4" t="s">
        <v>370</v>
      </c>
      <c r="N1547" s="4"/>
      <c r="O1547" s="4">
        <v>1</v>
      </c>
      <c r="P1547" s="4" t="s">
        <v>135</v>
      </c>
      <c r="Q1547" s="4" t="s">
        <v>44</v>
      </c>
      <c r="R1547" s="7">
        <v>2000000</v>
      </c>
      <c r="S1547" s="7">
        <v>0</v>
      </c>
      <c r="T1547" s="7">
        <f>R1547-S1547</f>
        <v>0</v>
      </c>
      <c r="U1547" s="7">
        <f>T1547*O1547</f>
        <v>0</v>
      </c>
    </row>
    <row r="1548" spans="1:21">
      <c r="A1548" s="4" t="s">
        <v>2168</v>
      </c>
      <c r="B1548" s="4" t="s">
        <v>39</v>
      </c>
      <c r="C1548" s="5">
        <v>45944.03700231481</v>
      </c>
      <c r="D1548" s="5">
        <v>45944</v>
      </c>
      <c r="E1548" s="6">
        <f>IF(AND(C1548&lt;&gt;"",D1548&lt;&gt;""),D1548-C1548,"")</f>
        <v>0</v>
      </c>
      <c r="F1548" s="4" t="s">
        <v>2169</v>
      </c>
      <c r="G1548" s="4" t="s">
        <v>2170</v>
      </c>
      <c r="H1548" s="4" t="s">
        <v>32</v>
      </c>
      <c r="I1548" s="4" t="s">
        <v>33</v>
      </c>
      <c r="J1548" s="4">
        <v>0</v>
      </c>
      <c r="K1548" s="4">
        <v>0</v>
      </c>
      <c r="L1548" s="4">
        <f>J1548+K1548</f>
        <v>0</v>
      </c>
      <c r="M1548" s="4" t="s">
        <v>370</v>
      </c>
      <c r="N1548" s="4"/>
      <c r="O1548" s="4">
        <v>1</v>
      </c>
      <c r="P1548" s="4" t="s">
        <v>135</v>
      </c>
      <c r="Q1548" s="4" t="s">
        <v>44</v>
      </c>
      <c r="R1548" s="7">
        <v>2000000</v>
      </c>
      <c r="S1548" s="7">
        <v>0</v>
      </c>
      <c r="T1548" s="7">
        <f>R1548-S1548</f>
        <v>0</v>
      </c>
      <c r="U1548" s="7">
        <f>T1548*O1548</f>
        <v>0</v>
      </c>
    </row>
    <row r="1549" spans="1:21">
      <c r="A1549" s="4" t="s">
        <v>2171</v>
      </c>
      <c r="B1549" s="4" t="s">
        <v>39</v>
      </c>
      <c r="C1549" s="5">
        <v>45944.03743055555</v>
      </c>
      <c r="D1549" s="5">
        <v>45944</v>
      </c>
      <c r="E1549" s="6">
        <f>IF(AND(C1549&lt;&gt;"",D1549&lt;&gt;""),D1549-C1549,"")</f>
        <v>0</v>
      </c>
      <c r="F1549" s="4" t="s">
        <v>2172</v>
      </c>
      <c r="G1549" s="4" t="s">
        <v>2173</v>
      </c>
      <c r="H1549" s="4" t="s">
        <v>32</v>
      </c>
      <c r="I1549" s="4" t="s">
        <v>33</v>
      </c>
      <c r="J1549" s="4">
        <v>0</v>
      </c>
      <c r="K1549" s="4">
        <v>0</v>
      </c>
      <c r="L1549" s="4">
        <f>J1549+K1549</f>
        <v>0</v>
      </c>
      <c r="M1549" s="4" t="s">
        <v>370</v>
      </c>
      <c r="N1549" s="4"/>
      <c r="O1549" s="4">
        <v>1</v>
      </c>
      <c r="P1549" s="4" t="s">
        <v>135</v>
      </c>
      <c r="Q1549" s="4" t="s">
        <v>44</v>
      </c>
      <c r="R1549" s="7">
        <v>2000000</v>
      </c>
      <c r="S1549" s="7">
        <v>0</v>
      </c>
      <c r="T1549" s="7">
        <f>R1549-S1549</f>
        <v>0</v>
      </c>
      <c r="U1549" s="7">
        <f>T1549*O1549</f>
        <v>0</v>
      </c>
    </row>
    <row r="1550" spans="1:21">
      <c r="A1550" s="4" t="s">
        <v>2174</v>
      </c>
      <c r="B1550" s="4" t="s">
        <v>39</v>
      </c>
      <c r="C1550" s="5">
        <v>45944.03774305555</v>
      </c>
      <c r="D1550" s="5">
        <v>45944</v>
      </c>
      <c r="E1550" s="6">
        <f>IF(AND(C1550&lt;&gt;"",D1550&lt;&gt;""),D1550-C1550,"")</f>
        <v>0</v>
      </c>
      <c r="F1550" s="4" t="s">
        <v>2175</v>
      </c>
      <c r="G1550" s="4" t="s">
        <v>2176</v>
      </c>
      <c r="H1550" s="4" t="s">
        <v>32</v>
      </c>
      <c r="I1550" s="4" t="s">
        <v>33</v>
      </c>
      <c r="J1550" s="4">
        <v>0</v>
      </c>
      <c r="K1550" s="4">
        <v>0</v>
      </c>
      <c r="L1550" s="4">
        <f>J1550+K1550</f>
        <v>0</v>
      </c>
      <c r="M1550" s="4" t="s">
        <v>370</v>
      </c>
      <c r="N1550" s="4"/>
      <c r="O1550" s="4">
        <v>1</v>
      </c>
      <c r="P1550" s="4" t="s">
        <v>135</v>
      </c>
      <c r="Q1550" s="4" t="s">
        <v>44</v>
      </c>
      <c r="R1550" s="7">
        <v>2000000</v>
      </c>
      <c r="S1550" s="7">
        <v>0</v>
      </c>
      <c r="T1550" s="7">
        <f>R1550-S1550</f>
        <v>0</v>
      </c>
      <c r="U1550" s="7">
        <f>T1550*O1550</f>
        <v>0</v>
      </c>
    </row>
    <row r="1551" spans="1:21">
      <c r="A1551" s="4" t="s">
        <v>2177</v>
      </c>
      <c r="B1551" s="4" t="s">
        <v>39</v>
      </c>
      <c r="C1551" s="5">
        <v>45944.03868055555</v>
      </c>
      <c r="D1551" s="5">
        <v>45944</v>
      </c>
      <c r="E1551" s="6">
        <f>IF(AND(C1551&lt;&gt;"",D1551&lt;&gt;""),D1551-C1551,"")</f>
        <v>0</v>
      </c>
      <c r="F1551" s="4" t="s">
        <v>2178</v>
      </c>
      <c r="G1551" s="4" t="s">
        <v>2179</v>
      </c>
      <c r="H1551" s="4" t="s">
        <v>32</v>
      </c>
      <c r="I1551" s="4" t="s">
        <v>33</v>
      </c>
      <c r="J1551" s="4">
        <v>0</v>
      </c>
      <c r="K1551" s="4">
        <v>0</v>
      </c>
      <c r="L1551" s="4">
        <f>J1551+K1551</f>
        <v>0</v>
      </c>
      <c r="M1551" s="4" t="s">
        <v>370</v>
      </c>
      <c r="N1551" s="4"/>
      <c r="O1551" s="4">
        <v>1</v>
      </c>
      <c r="P1551" s="4" t="s">
        <v>135</v>
      </c>
      <c r="Q1551" s="4" t="s">
        <v>44</v>
      </c>
      <c r="R1551" s="7">
        <v>2000000</v>
      </c>
      <c r="S1551" s="7">
        <v>0</v>
      </c>
      <c r="T1551" s="7">
        <f>R1551-S1551</f>
        <v>0</v>
      </c>
      <c r="U1551" s="7">
        <f>T1551*O1551</f>
        <v>0</v>
      </c>
    </row>
    <row r="1552" spans="1:21">
      <c r="A1552" s="4" t="s">
        <v>2180</v>
      </c>
      <c r="B1552" s="4" t="s">
        <v>48</v>
      </c>
      <c r="C1552" s="5">
        <v>45944.07462962963</v>
      </c>
      <c r="D1552" s="5">
        <v>45961</v>
      </c>
      <c r="E1552" s="6">
        <f>IF(AND(C1552&lt;&gt;"",D1552&lt;&gt;""),D1552-C1552,"")</f>
        <v>0</v>
      </c>
      <c r="F1552" s="4" t="s">
        <v>1399</v>
      </c>
      <c r="G1552" s="4" t="s">
        <v>202</v>
      </c>
      <c r="H1552" s="4" t="s">
        <v>32</v>
      </c>
      <c r="I1552" s="4" t="s">
        <v>33</v>
      </c>
      <c r="J1552" s="4">
        <v>2</v>
      </c>
      <c r="K1552" s="4">
        <v>0</v>
      </c>
      <c r="L1552" s="4">
        <f>J1552+K1552</f>
        <v>0</v>
      </c>
      <c r="M1552" s="4"/>
      <c r="N1552" s="4"/>
      <c r="O1552" s="4">
        <v>0</v>
      </c>
      <c r="P1552" s="4"/>
      <c r="Q1552" s="4"/>
      <c r="R1552" s="7">
        <v>0</v>
      </c>
      <c r="S1552" s="7">
        <v>0</v>
      </c>
      <c r="T1552" s="7">
        <f>R1552-S1552</f>
        <v>0</v>
      </c>
      <c r="U1552" s="7">
        <f>T1552*O1552</f>
        <v>0</v>
      </c>
    </row>
    <row r="1553" spans="1:21">
      <c r="A1553" s="4" t="s">
        <v>2181</v>
      </c>
      <c r="B1553" s="4" t="s">
        <v>48</v>
      </c>
      <c r="C1553" s="5">
        <v>45944.08663194445</v>
      </c>
      <c r="D1553" s="5">
        <v>45961</v>
      </c>
      <c r="E1553" s="6">
        <f>IF(AND(C1553&lt;&gt;"",D1553&lt;&gt;""),D1553-C1553,"")</f>
        <v>0</v>
      </c>
      <c r="F1553" s="4" t="s">
        <v>2182</v>
      </c>
      <c r="G1553" s="4" t="s">
        <v>2183</v>
      </c>
      <c r="H1553" s="4" t="s">
        <v>32</v>
      </c>
      <c r="I1553" s="4" t="s">
        <v>33</v>
      </c>
      <c r="J1553" s="4">
        <v>4</v>
      </c>
      <c r="K1553" s="4">
        <v>0</v>
      </c>
      <c r="L1553" s="4">
        <f>J1553+K1553</f>
        <v>0</v>
      </c>
      <c r="M1553" s="4"/>
      <c r="N1553" s="4"/>
      <c r="O1553" s="4">
        <v>0</v>
      </c>
      <c r="P1553" s="4"/>
      <c r="Q1553" s="4"/>
      <c r="R1553" s="7">
        <v>0</v>
      </c>
      <c r="S1553" s="7">
        <v>0</v>
      </c>
      <c r="T1553" s="7">
        <f>R1553-S1553</f>
        <v>0</v>
      </c>
      <c r="U1553" s="7">
        <f>T1553*O1553</f>
        <v>0</v>
      </c>
    </row>
    <row r="1554" spans="1:21">
      <c r="A1554" s="4" t="s">
        <v>2184</v>
      </c>
      <c r="B1554" s="4" t="s">
        <v>48</v>
      </c>
      <c r="C1554" s="5">
        <v>45944.12319444444</v>
      </c>
      <c r="D1554" s="5">
        <v>45961</v>
      </c>
      <c r="E1554" s="6">
        <f>IF(AND(C1554&lt;&gt;"",D1554&lt;&gt;""),D1554-C1554,"")</f>
        <v>0</v>
      </c>
      <c r="F1554" s="4" t="s">
        <v>64</v>
      </c>
      <c r="G1554" s="4" t="s">
        <v>2185</v>
      </c>
      <c r="H1554" s="4" t="s">
        <v>32</v>
      </c>
      <c r="I1554" s="4" t="s">
        <v>33</v>
      </c>
      <c r="J1554" s="4">
        <v>3</v>
      </c>
      <c r="K1554" s="4">
        <v>0</v>
      </c>
      <c r="L1554" s="4">
        <f>J1554+K1554</f>
        <v>0</v>
      </c>
      <c r="M1554" s="4"/>
      <c r="N1554" s="4"/>
      <c r="O1554" s="4">
        <v>0</v>
      </c>
      <c r="P1554" s="4"/>
      <c r="Q1554" s="4"/>
      <c r="R1554" s="7">
        <v>0</v>
      </c>
      <c r="S1554" s="7">
        <v>0</v>
      </c>
      <c r="T1554" s="7">
        <f>R1554-S1554</f>
        <v>0</v>
      </c>
      <c r="U1554" s="7">
        <f>T1554*O1554</f>
        <v>0</v>
      </c>
    </row>
    <row r="1555" spans="1:21">
      <c r="A1555" s="4" t="s">
        <v>2186</v>
      </c>
      <c r="B1555" s="4" t="s">
        <v>48</v>
      </c>
      <c r="C1555" s="5">
        <v>45944.13939814815</v>
      </c>
      <c r="D1555" s="5">
        <v>45961</v>
      </c>
      <c r="E1555" s="6">
        <f>IF(AND(C1555&lt;&gt;"",D1555&lt;&gt;""),D1555-C1555,"")</f>
        <v>0</v>
      </c>
      <c r="F1555" s="4" t="s">
        <v>64</v>
      </c>
      <c r="G1555" s="4" t="s">
        <v>2187</v>
      </c>
      <c r="H1555" s="4" t="s">
        <v>32</v>
      </c>
      <c r="I1555" s="4" t="s">
        <v>33</v>
      </c>
      <c r="J1555" s="4">
        <v>3</v>
      </c>
      <c r="K1555" s="4">
        <v>2</v>
      </c>
      <c r="L1555" s="4">
        <f>J1555+K1555</f>
        <v>0</v>
      </c>
      <c r="M1555" s="4"/>
      <c r="N1555" s="4"/>
      <c r="O1555" s="4">
        <v>0</v>
      </c>
      <c r="P1555" s="4"/>
      <c r="Q1555" s="4"/>
      <c r="R1555" s="7">
        <v>0</v>
      </c>
      <c r="S1555" s="7">
        <v>0</v>
      </c>
      <c r="T1555" s="7">
        <f>R1555-S1555</f>
        <v>0</v>
      </c>
      <c r="U1555" s="7">
        <f>T1555*O1555</f>
        <v>0</v>
      </c>
    </row>
    <row r="1556" spans="1:21">
      <c r="A1556" s="4" t="s">
        <v>2188</v>
      </c>
      <c r="B1556" s="4" t="s">
        <v>48</v>
      </c>
      <c r="C1556" s="5">
        <v>45944.14888888889</v>
      </c>
      <c r="D1556" s="5">
        <v>45961</v>
      </c>
      <c r="E1556" s="6">
        <f>IF(AND(C1556&lt;&gt;"",D1556&lt;&gt;""),D1556-C1556,"")</f>
        <v>0</v>
      </c>
      <c r="F1556" s="4" t="s">
        <v>2189</v>
      </c>
      <c r="G1556" s="4" t="s">
        <v>2190</v>
      </c>
      <c r="H1556" s="4" t="s">
        <v>32</v>
      </c>
      <c r="I1556" s="4" t="s">
        <v>33</v>
      </c>
      <c r="J1556" s="4">
        <v>3</v>
      </c>
      <c r="K1556" s="4">
        <v>0</v>
      </c>
      <c r="L1556" s="4">
        <f>J1556+K1556</f>
        <v>0</v>
      </c>
      <c r="M1556" s="4"/>
      <c r="N1556" s="4"/>
      <c r="O1556" s="4">
        <v>0</v>
      </c>
      <c r="P1556" s="4"/>
      <c r="Q1556" s="4"/>
      <c r="R1556" s="7">
        <v>0</v>
      </c>
      <c r="S1556" s="7">
        <v>0</v>
      </c>
      <c r="T1556" s="7">
        <f>R1556-S1556</f>
        <v>0</v>
      </c>
      <c r="U1556" s="7">
        <f>T1556*O1556</f>
        <v>0</v>
      </c>
    </row>
    <row r="1557" spans="1:21">
      <c r="A1557" s="4" t="s">
        <v>2191</v>
      </c>
      <c r="B1557" s="4" t="s">
        <v>48</v>
      </c>
      <c r="C1557" s="5">
        <v>45944.15262731481</v>
      </c>
      <c r="D1557" s="5">
        <v>45961</v>
      </c>
      <c r="E1557" s="6">
        <f>IF(AND(C1557&lt;&gt;"",D1557&lt;&gt;""),D1557-C1557,"")</f>
        <v>0</v>
      </c>
      <c r="F1557" s="4" t="s">
        <v>2192</v>
      </c>
      <c r="G1557" s="4" t="s">
        <v>2193</v>
      </c>
      <c r="H1557" s="4" t="s">
        <v>32</v>
      </c>
      <c r="I1557" s="4" t="s">
        <v>33</v>
      </c>
      <c r="J1557" s="4">
        <v>3</v>
      </c>
      <c r="K1557" s="4">
        <v>2</v>
      </c>
      <c r="L1557" s="4">
        <f>J1557+K1557</f>
        <v>0</v>
      </c>
      <c r="M1557" s="4"/>
      <c r="N1557" s="4"/>
      <c r="O1557" s="4">
        <v>0</v>
      </c>
      <c r="P1557" s="4"/>
      <c r="Q1557" s="4"/>
      <c r="R1557" s="7">
        <v>0</v>
      </c>
      <c r="S1557" s="7">
        <v>0</v>
      </c>
      <c r="T1557" s="7">
        <f>R1557-S1557</f>
        <v>0</v>
      </c>
      <c r="U1557" s="7">
        <f>T1557*O1557</f>
        <v>0</v>
      </c>
    </row>
    <row r="1558" spans="1:21">
      <c r="A1558" s="4" t="s">
        <v>2194</v>
      </c>
      <c r="B1558" s="4" t="s">
        <v>48</v>
      </c>
      <c r="C1558" s="5">
        <v>45944.15636574074</v>
      </c>
      <c r="D1558" s="5">
        <v>45961</v>
      </c>
      <c r="E1558" s="6">
        <f>IF(AND(C1558&lt;&gt;"",D1558&lt;&gt;""),D1558-C1558,"")</f>
        <v>0</v>
      </c>
      <c r="F1558" s="4" t="s">
        <v>2195</v>
      </c>
      <c r="G1558" s="4" t="s">
        <v>2196</v>
      </c>
      <c r="H1558" s="4" t="s">
        <v>32</v>
      </c>
      <c r="I1558" s="4" t="s">
        <v>33</v>
      </c>
      <c r="J1558" s="4">
        <v>3</v>
      </c>
      <c r="K1558" s="4">
        <v>2</v>
      </c>
      <c r="L1558" s="4">
        <f>J1558+K1558</f>
        <v>0</v>
      </c>
      <c r="M1558" s="4"/>
      <c r="N1558" s="4"/>
      <c r="O1558" s="4">
        <v>0</v>
      </c>
      <c r="P1558" s="4"/>
      <c r="Q1558" s="4"/>
      <c r="R1558" s="7">
        <v>0</v>
      </c>
      <c r="S1558" s="7">
        <v>0</v>
      </c>
      <c r="T1558" s="7">
        <f>R1558-S1558</f>
        <v>0</v>
      </c>
      <c r="U1558" s="7">
        <f>T1558*O1558</f>
        <v>0</v>
      </c>
    </row>
    <row r="1559" spans="1:21">
      <c r="A1559" s="4" t="s">
        <v>2197</v>
      </c>
      <c r="B1559" s="4" t="s">
        <v>29</v>
      </c>
      <c r="C1559" s="5">
        <v>45944.18342592593</v>
      </c>
      <c r="D1559" s="5">
        <v>45961</v>
      </c>
      <c r="E1559" s="6">
        <f>IF(AND(C1559&lt;&gt;"",D1559&lt;&gt;""),D1559-C1559,"")</f>
        <v>0</v>
      </c>
      <c r="F1559" s="4" t="s">
        <v>1433</v>
      </c>
      <c r="G1559" s="4" t="s">
        <v>1434</v>
      </c>
      <c r="H1559" s="4" t="s">
        <v>1435</v>
      </c>
      <c r="I1559" s="4" t="s">
        <v>56</v>
      </c>
      <c r="J1559" s="4">
        <v>1</v>
      </c>
      <c r="K1559" s="4">
        <v>1</v>
      </c>
      <c r="L1559" s="4">
        <f>J1559+K1559</f>
        <v>0</v>
      </c>
      <c r="M1559" s="4"/>
      <c r="N1559" s="4"/>
      <c r="O1559" s="4">
        <v>0</v>
      </c>
      <c r="P1559" s="4"/>
      <c r="Q1559" s="4"/>
      <c r="R1559" s="7">
        <v>0</v>
      </c>
      <c r="S1559" s="7">
        <v>0</v>
      </c>
      <c r="T1559" s="7">
        <f>R1559-S1559</f>
        <v>0</v>
      </c>
      <c r="U1559" s="7">
        <f>T1559*O1559</f>
        <v>0</v>
      </c>
    </row>
    <row r="1560" spans="1:21">
      <c r="A1560" s="4" t="s">
        <v>2198</v>
      </c>
      <c r="B1560" s="4" t="s">
        <v>48</v>
      </c>
      <c r="C1560" s="5">
        <v>45944.23525462963</v>
      </c>
      <c r="D1560" s="5">
        <v>45961</v>
      </c>
      <c r="E1560" s="6">
        <f>IF(AND(C1560&lt;&gt;"",D1560&lt;&gt;""),D1560-C1560,"")</f>
        <v>0</v>
      </c>
      <c r="F1560" s="4" t="s">
        <v>1399</v>
      </c>
      <c r="G1560" s="4" t="s">
        <v>202</v>
      </c>
      <c r="H1560" s="4" t="s">
        <v>32</v>
      </c>
      <c r="I1560" s="4" t="s">
        <v>33</v>
      </c>
      <c r="J1560" s="4">
        <v>1</v>
      </c>
      <c r="K1560" s="4">
        <v>0</v>
      </c>
      <c r="L1560" s="4">
        <f>J1560+K1560</f>
        <v>0</v>
      </c>
      <c r="M1560" s="4"/>
      <c r="N1560" s="4"/>
      <c r="O1560" s="4">
        <v>0</v>
      </c>
      <c r="P1560" s="4"/>
      <c r="Q1560" s="4"/>
      <c r="R1560" s="7">
        <v>0</v>
      </c>
      <c r="S1560" s="7">
        <v>0</v>
      </c>
      <c r="T1560" s="7">
        <f>R1560-S1560</f>
        <v>0</v>
      </c>
      <c r="U1560" s="7">
        <f>T1560*O1560</f>
        <v>0</v>
      </c>
    </row>
    <row r="1561" spans="1:21">
      <c r="A1561" s="4" t="s">
        <v>2199</v>
      </c>
      <c r="B1561" s="4" t="s">
        <v>48</v>
      </c>
      <c r="C1561" s="5">
        <v>45944.24776620371</v>
      </c>
      <c r="D1561" s="5">
        <v>45961</v>
      </c>
      <c r="E1561" s="6">
        <f>IF(AND(C1561&lt;&gt;"",D1561&lt;&gt;""),D1561-C1561,"")</f>
        <v>0</v>
      </c>
      <c r="F1561" s="4" t="s">
        <v>1960</v>
      </c>
      <c r="G1561" s="4" t="s">
        <v>1961</v>
      </c>
      <c r="H1561" s="4" t="s">
        <v>32</v>
      </c>
      <c r="I1561" s="4" t="s">
        <v>33</v>
      </c>
      <c r="J1561" s="4">
        <v>41</v>
      </c>
      <c r="K1561" s="4">
        <v>6</v>
      </c>
      <c r="L1561" s="4">
        <f>J1561+K1561</f>
        <v>0</v>
      </c>
      <c r="M1561" s="4"/>
      <c r="N1561" s="4"/>
      <c r="O1561" s="4">
        <v>0</v>
      </c>
      <c r="P1561" s="4"/>
      <c r="Q1561" s="4"/>
      <c r="R1561" s="7">
        <v>0</v>
      </c>
      <c r="S1561" s="7">
        <v>0</v>
      </c>
      <c r="T1561" s="7">
        <f>R1561-S1561</f>
        <v>0</v>
      </c>
      <c r="U1561" s="7">
        <f>T1561*O1561</f>
        <v>0</v>
      </c>
    </row>
    <row r="1562" spans="1:21">
      <c r="A1562" s="4" t="s">
        <v>2200</v>
      </c>
      <c r="B1562" s="4" t="s">
        <v>29</v>
      </c>
      <c r="C1562" s="5">
        <v>45944.25519675926</v>
      </c>
      <c r="D1562" s="5">
        <v>45961</v>
      </c>
      <c r="E1562" s="6">
        <f>IF(AND(C1562&lt;&gt;"",D1562&lt;&gt;""),D1562-C1562,"")</f>
        <v>0</v>
      </c>
      <c r="F1562" s="4" t="s">
        <v>1433</v>
      </c>
      <c r="G1562" s="4" t="s">
        <v>1434</v>
      </c>
      <c r="H1562" s="4" t="s">
        <v>1435</v>
      </c>
      <c r="I1562" s="4" t="s">
        <v>56</v>
      </c>
      <c r="J1562" s="4">
        <v>1</v>
      </c>
      <c r="K1562" s="4">
        <v>1</v>
      </c>
      <c r="L1562" s="4">
        <f>J1562+K1562</f>
        <v>0</v>
      </c>
      <c r="M1562" s="4"/>
      <c r="N1562" s="4"/>
      <c r="O1562" s="4">
        <v>0</v>
      </c>
      <c r="P1562" s="4"/>
      <c r="Q1562" s="4"/>
      <c r="R1562" s="7">
        <v>0</v>
      </c>
      <c r="S1562" s="7">
        <v>0</v>
      </c>
      <c r="T1562" s="7">
        <f>R1562-S1562</f>
        <v>0</v>
      </c>
      <c r="U1562" s="7">
        <f>T1562*O1562</f>
        <v>0</v>
      </c>
    </row>
    <row r="1563" spans="1:21">
      <c r="A1563" s="4" t="s">
        <v>2201</v>
      </c>
      <c r="B1563" s="4" t="s">
        <v>29</v>
      </c>
      <c r="C1563" s="5">
        <v>45944.26371527778</v>
      </c>
      <c r="D1563" s="5">
        <v>45961</v>
      </c>
      <c r="E1563" s="6">
        <f>IF(AND(C1563&lt;&gt;"",D1563&lt;&gt;""),D1563-C1563,"")</f>
        <v>0</v>
      </c>
      <c r="F1563" s="4" t="s">
        <v>1433</v>
      </c>
      <c r="G1563" s="4" t="s">
        <v>1434</v>
      </c>
      <c r="H1563" s="4" t="s">
        <v>1435</v>
      </c>
      <c r="I1563" s="4" t="s">
        <v>56</v>
      </c>
      <c r="J1563" s="4">
        <v>1</v>
      </c>
      <c r="K1563" s="4">
        <v>1</v>
      </c>
      <c r="L1563" s="4">
        <f>J1563+K1563</f>
        <v>0</v>
      </c>
      <c r="M1563" s="4"/>
      <c r="N1563" s="4"/>
      <c r="O1563" s="4">
        <v>0</v>
      </c>
      <c r="P1563" s="4"/>
      <c r="Q1563" s="4"/>
      <c r="R1563" s="7">
        <v>0</v>
      </c>
      <c r="S1563" s="7">
        <v>0</v>
      </c>
      <c r="T1563" s="7">
        <f>R1563-S1563</f>
        <v>0</v>
      </c>
      <c r="U1563" s="7">
        <f>T1563*O1563</f>
        <v>0</v>
      </c>
    </row>
    <row r="1564" spans="1:21">
      <c r="A1564" s="4" t="s">
        <v>2202</v>
      </c>
      <c r="B1564" s="4" t="s">
        <v>48</v>
      </c>
      <c r="C1564" s="5">
        <v>45944.28046296296</v>
      </c>
      <c r="D1564" s="5">
        <v>45961</v>
      </c>
      <c r="E1564" s="6">
        <f>IF(AND(C1564&lt;&gt;"",D1564&lt;&gt;""),D1564-C1564,"")</f>
        <v>0</v>
      </c>
      <c r="F1564" s="4" t="s">
        <v>64</v>
      </c>
      <c r="G1564" s="4" t="s">
        <v>2203</v>
      </c>
      <c r="H1564" s="4" t="s">
        <v>32</v>
      </c>
      <c r="I1564" s="4" t="s">
        <v>33</v>
      </c>
      <c r="J1564" s="4">
        <v>3</v>
      </c>
      <c r="K1564" s="4">
        <v>2</v>
      </c>
      <c r="L1564" s="4">
        <f>J1564+K1564</f>
        <v>0</v>
      </c>
      <c r="M1564" s="4"/>
      <c r="N1564" s="4"/>
      <c r="O1564" s="4">
        <v>0</v>
      </c>
      <c r="P1564" s="4"/>
      <c r="Q1564" s="4"/>
      <c r="R1564" s="7">
        <v>0</v>
      </c>
      <c r="S1564" s="7">
        <v>0</v>
      </c>
      <c r="T1564" s="7">
        <f>R1564-S1564</f>
        <v>0</v>
      </c>
      <c r="U1564" s="7">
        <f>T1564*O1564</f>
        <v>0</v>
      </c>
    </row>
    <row r="1565" spans="1:21">
      <c r="A1565" s="4" t="s">
        <v>2204</v>
      </c>
      <c r="B1565" s="4" t="s">
        <v>48</v>
      </c>
      <c r="C1565" s="5">
        <v>45944.29236111111</v>
      </c>
      <c r="D1565" s="5">
        <v>45961</v>
      </c>
      <c r="E1565" s="6">
        <f>IF(AND(C1565&lt;&gt;"",D1565&lt;&gt;""),D1565-C1565,"")</f>
        <v>0</v>
      </c>
      <c r="F1565" s="4" t="s">
        <v>64</v>
      </c>
      <c r="G1565" s="4" t="s">
        <v>2205</v>
      </c>
      <c r="H1565" s="4" t="s">
        <v>32</v>
      </c>
      <c r="I1565" s="4" t="s">
        <v>33</v>
      </c>
      <c r="J1565" s="4">
        <v>2</v>
      </c>
      <c r="K1565" s="4">
        <v>2</v>
      </c>
      <c r="L1565" s="4">
        <f>J1565+K1565</f>
        <v>0</v>
      </c>
      <c r="M1565" s="4"/>
      <c r="N1565" s="4"/>
      <c r="O1565" s="4">
        <v>0</v>
      </c>
      <c r="P1565" s="4"/>
      <c r="Q1565" s="4"/>
      <c r="R1565" s="7">
        <v>0</v>
      </c>
      <c r="S1565" s="7">
        <v>0</v>
      </c>
      <c r="T1565" s="7">
        <f>R1565-S1565</f>
        <v>0</v>
      </c>
      <c r="U1565" s="7">
        <f>T1565*O1565</f>
        <v>0</v>
      </c>
    </row>
    <row r="1566" spans="1:21">
      <c r="A1566" s="4" t="s">
        <v>2206</v>
      </c>
      <c r="B1566" s="4" t="s">
        <v>29</v>
      </c>
      <c r="C1566" s="5">
        <v>45944.29832175926</v>
      </c>
      <c r="D1566" s="5">
        <v>45961</v>
      </c>
      <c r="E1566" s="6">
        <f>IF(AND(C1566&lt;&gt;"",D1566&lt;&gt;""),D1566-C1566,"")</f>
        <v>0</v>
      </c>
      <c r="F1566" s="4" t="s">
        <v>1433</v>
      </c>
      <c r="G1566" s="4" t="s">
        <v>1434</v>
      </c>
      <c r="H1566" s="4" t="s">
        <v>1435</v>
      </c>
      <c r="I1566" s="4" t="s">
        <v>56</v>
      </c>
      <c r="J1566" s="4">
        <v>1</v>
      </c>
      <c r="K1566" s="4">
        <v>1</v>
      </c>
      <c r="L1566" s="4">
        <f>J1566+K1566</f>
        <v>0</v>
      </c>
      <c r="M1566" s="4"/>
      <c r="N1566" s="4"/>
      <c r="O1566" s="4">
        <v>0</v>
      </c>
      <c r="P1566" s="4"/>
      <c r="Q1566" s="4"/>
      <c r="R1566" s="7">
        <v>0</v>
      </c>
      <c r="S1566" s="7">
        <v>0</v>
      </c>
      <c r="T1566" s="7">
        <f>R1566-S1566</f>
        <v>0</v>
      </c>
      <c r="U1566" s="7">
        <f>T1566*O1566</f>
        <v>0</v>
      </c>
    </row>
    <row r="1567" spans="1:21">
      <c r="A1567" s="4" t="s">
        <v>2207</v>
      </c>
      <c r="B1567" s="4" t="s">
        <v>29</v>
      </c>
      <c r="C1567" s="5">
        <v>45944.29833333333</v>
      </c>
      <c r="D1567" s="5">
        <v>45961</v>
      </c>
      <c r="E1567" s="6">
        <f>IF(AND(C1567&lt;&gt;"",D1567&lt;&gt;""),D1567-C1567,"")</f>
        <v>0</v>
      </c>
      <c r="F1567" s="4" t="s">
        <v>1433</v>
      </c>
      <c r="G1567" s="4" t="s">
        <v>1434</v>
      </c>
      <c r="H1567" s="4" t="s">
        <v>1435</v>
      </c>
      <c r="I1567" s="4" t="s">
        <v>56</v>
      </c>
      <c r="J1567" s="4">
        <v>1</v>
      </c>
      <c r="K1567" s="4">
        <v>1</v>
      </c>
      <c r="L1567" s="4">
        <f>J1567+K1567</f>
        <v>0</v>
      </c>
      <c r="M1567" s="4"/>
      <c r="N1567" s="4"/>
      <c r="O1567" s="4">
        <v>0</v>
      </c>
      <c r="P1567" s="4"/>
      <c r="Q1567" s="4"/>
      <c r="R1567" s="7">
        <v>0</v>
      </c>
      <c r="S1567" s="7">
        <v>0</v>
      </c>
      <c r="T1567" s="7">
        <f>R1567-S1567</f>
        <v>0</v>
      </c>
      <c r="U1567" s="7">
        <f>T1567*O1567</f>
        <v>0</v>
      </c>
    </row>
    <row r="1568" spans="1:21">
      <c r="A1568" s="4" t="s">
        <v>2208</v>
      </c>
      <c r="B1568" s="4" t="s">
        <v>29</v>
      </c>
      <c r="C1568" s="5">
        <v>45944.29835648148</v>
      </c>
      <c r="D1568" s="5">
        <v>45961</v>
      </c>
      <c r="E1568" s="6">
        <f>IF(AND(C1568&lt;&gt;"",D1568&lt;&gt;""),D1568-C1568,"")</f>
        <v>0</v>
      </c>
      <c r="F1568" s="4" t="s">
        <v>1433</v>
      </c>
      <c r="G1568" s="4" t="s">
        <v>1434</v>
      </c>
      <c r="H1568" s="4" t="s">
        <v>1435</v>
      </c>
      <c r="I1568" s="4" t="s">
        <v>56</v>
      </c>
      <c r="J1568" s="4">
        <v>1</v>
      </c>
      <c r="K1568" s="4">
        <v>1</v>
      </c>
      <c r="L1568" s="4">
        <f>J1568+K1568</f>
        <v>0</v>
      </c>
      <c r="M1568" s="4"/>
      <c r="N1568" s="4"/>
      <c r="O1568" s="4">
        <v>0</v>
      </c>
      <c r="P1568" s="4"/>
      <c r="Q1568" s="4"/>
      <c r="R1568" s="7">
        <v>0</v>
      </c>
      <c r="S1568" s="7">
        <v>0</v>
      </c>
      <c r="T1568" s="7">
        <f>R1568-S1568</f>
        <v>0</v>
      </c>
      <c r="U1568" s="7">
        <f>T1568*O1568</f>
        <v>0</v>
      </c>
    </row>
    <row r="1569" spans="1:21">
      <c r="A1569" s="4" t="s">
        <v>2209</v>
      </c>
      <c r="B1569" s="4" t="s">
        <v>48</v>
      </c>
      <c r="C1569" s="5">
        <v>45944.2993287037</v>
      </c>
      <c r="D1569" s="5">
        <v>45961</v>
      </c>
      <c r="E1569" s="6">
        <f>IF(AND(C1569&lt;&gt;"",D1569&lt;&gt;""),D1569-C1569,"")</f>
        <v>0</v>
      </c>
      <c r="F1569" s="4" t="s">
        <v>2210</v>
      </c>
      <c r="G1569" s="4" t="s">
        <v>2211</v>
      </c>
      <c r="H1569" s="4" t="s">
        <v>32</v>
      </c>
      <c r="I1569" s="4" t="s">
        <v>33</v>
      </c>
      <c r="J1569" s="4">
        <v>2</v>
      </c>
      <c r="K1569" s="4">
        <v>0</v>
      </c>
      <c r="L1569" s="4">
        <f>J1569+K1569</f>
        <v>0</v>
      </c>
      <c r="M1569" s="4"/>
      <c r="N1569" s="4"/>
      <c r="O1569" s="4">
        <v>0</v>
      </c>
      <c r="P1569" s="4"/>
      <c r="Q1569" s="4"/>
      <c r="R1569" s="7">
        <v>0</v>
      </c>
      <c r="S1569" s="7">
        <v>0</v>
      </c>
      <c r="T1569" s="7">
        <f>R1569-S1569</f>
        <v>0</v>
      </c>
      <c r="U1569" s="7">
        <f>T1569*O1569</f>
        <v>0</v>
      </c>
    </row>
    <row r="1570" spans="1:21">
      <c r="A1570" s="4" t="s">
        <v>2212</v>
      </c>
      <c r="B1570" s="4" t="s">
        <v>48</v>
      </c>
      <c r="C1570" s="5">
        <v>45944.30527777778</v>
      </c>
      <c r="D1570" s="5">
        <v>45961</v>
      </c>
      <c r="E1570" s="6">
        <f>IF(AND(C1570&lt;&gt;"",D1570&lt;&gt;""),D1570-C1570,"")</f>
        <v>0</v>
      </c>
      <c r="F1570" s="4" t="s">
        <v>2213</v>
      </c>
      <c r="G1570" s="4" t="s">
        <v>2214</v>
      </c>
      <c r="H1570" s="4" t="s">
        <v>32</v>
      </c>
      <c r="I1570" s="4" t="s">
        <v>33</v>
      </c>
      <c r="J1570" s="4">
        <v>3</v>
      </c>
      <c r="K1570" s="4">
        <v>0</v>
      </c>
      <c r="L1570" s="4">
        <f>J1570+K1570</f>
        <v>0</v>
      </c>
      <c r="M1570" s="4"/>
      <c r="N1570" s="4"/>
      <c r="O1570" s="4">
        <v>0</v>
      </c>
      <c r="P1570" s="4"/>
      <c r="Q1570" s="4"/>
      <c r="R1570" s="7">
        <v>0</v>
      </c>
      <c r="S1570" s="7">
        <v>0</v>
      </c>
      <c r="T1570" s="7">
        <f>R1570-S1570</f>
        <v>0</v>
      </c>
      <c r="U1570" s="7">
        <f>T1570*O1570</f>
        <v>0</v>
      </c>
    </row>
    <row r="1571" spans="1:21">
      <c r="A1571" s="4" t="s">
        <v>2215</v>
      </c>
      <c r="B1571" s="4" t="s">
        <v>48</v>
      </c>
      <c r="C1571" s="5">
        <v>45944.33278935185</v>
      </c>
      <c r="D1571" s="5">
        <v>45961</v>
      </c>
      <c r="E1571" s="6">
        <f>IF(AND(C1571&lt;&gt;"",D1571&lt;&gt;""),D1571-C1571,"")</f>
        <v>0</v>
      </c>
      <c r="F1571" s="4" t="s">
        <v>1343</v>
      </c>
      <c r="G1571" s="4" t="s">
        <v>2216</v>
      </c>
      <c r="H1571" s="4"/>
      <c r="I1571" s="4" t="s">
        <v>56</v>
      </c>
      <c r="J1571" s="4">
        <v>3</v>
      </c>
      <c r="K1571" s="4">
        <v>0</v>
      </c>
      <c r="L1571" s="4">
        <f>J1571+K1571</f>
        <v>0</v>
      </c>
      <c r="M1571" s="4"/>
      <c r="N1571" s="4"/>
      <c r="O1571" s="4">
        <v>0</v>
      </c>
      <c r="P1571" s="4"/>
      <c r="Q1571" s="4"/>
      <c r="R1571" s="7">
        <v>0</v>
      </c>
      <c r="S1571" s="7">
        <v>0</v>
      </c>
      <c r="T1571" s="7">
        <f>R1571-S1571</f>
        <v>0</v>
      </c>
      <c r="U1571" s="7">
        <f>T1571*O1571</f>
        <v>0</v>
      </c>
    </row>
    <row r="1572" spans="1:21">
      <c r="A1572" s="4" t="s">
        <v>2217</v>
      </c>
      <c r="B1572" s="4" t="s">
        <v>48</v>
      </c>
      <c r="C1572" s="5">
        <v>45944.33516203704</v>
      </c>
      <c r="D1572" s="5">
        <v>45961</v>
      </c>
      <c r="E1572" s="6">
        <f>IF(AND(C1572&lt;&gt;"",D1572&lt;&gt;""),D1572-C1572,"")</f>
        <v>0</v>
      </c>
      <c r="F1572" s="4" t="s">
        <v>1343</v>
      </c>
      <c r="G1572" s="4" t="s">
        <v>2216</v>
      </c>
      <c r="H1572" s="4"/>
      <c r="I1572" s="4" t="s">
        <v>56</v>
      </c>
      <c r="J1572" s="4">
        <v>60</v>
      </c>
      <c r="K1572" s="4">
        <v>0</v>
      </c>
      <c r="L1572" s="4">
        <f>J1572+K1572</f>
        <v>0</v>
      </c>
      <c r="M1572" s="4"/>
      <c r="N1572" s="4"/>
      <c r="O1572" s="4">
        <v>0</v>
      </c>
      <c r="P1572" s="4"/>
      <c r="Q1572" s="4"/>
      <c r="R1572" s="7">
        <v>0</v>
      </c>
      <c r="S1572" s="7">
        <v>0</v>
      </c>
      <c r="T1572" s="7">
        <f>R1572-S1572</f>
        <v>0</v>
      </c>
      <c r="U1572" s="7">
        <f>T1572*O1572</f>
        <v>0</v>
      </c>
    </row>
    <row r="1573" spans="1:21">
      <c r="A1573" s="4" t="s">
        <v>2218</v>
      </c>
      <c r="B1573" s="4" t="s">
        <v>48</v>
      </c>
      <c r="C1573" s="5">
        <v>45944.36241898148</v>
      </c>
      <c r="D1573" s="5">
        <v>45961</v>
      </c>
      <c r="E1573" s="6">
        <f>IF(AND(C1573&lt;&gt;"",D1573&lt;&gt;""),D1573-C1573,"")</f>
        <v>0</v>
      </c>
      <c r="F1573" s="4" t="s">
        <v>30</v>
      </c>
      <c r="G1573" s="4" t="s">
        <v>31</v>
      </c>
      <c r="H1573" s="4" t="s">
        <v>32</v>
      </c>
      <c r="I1573" s="4" t="s">
        <v>33</v>
      </c>
      <c r="J1573" s="4">
        <v>2</v>
      </c>
      <c r="K1573" s="4">
        <v>0</v>
      </c>
      <c r="L1573" s="4">
        <f>J1573+K1573</f>
        <v>0</v>
      </c>
      <c r="M1573" s="4"/>
      <c r="N1573" s="4"/>
      <c r="O1573" s="4">
        <v>0</v>
      </c>
      <c r="P1573" s="4"/>
      <c r="Q1573" s="4"/>
      <c r="R1573" s="7">
        <v>0</v>
      </c>
      <c r="S1573" s="7">
        <v>0</v>
      </c>
      <c r="T1573" s="7">
        <f>R1573-S1573</f>
        <v>0</v>
      </c>
      <c r="U1573" s="7">
        <f>T1573*O1573</f>
        <v>0</v>
      </c>
    </row>
    <row r="1574" spans="1:21">
      <c r="A1574" s="4" t="s">
        <v>2219</v>
      </c>
      <c r="B1574" s="4" t="s">
        <v>48</v>
      </c>
      <c r="C1574" s="5">
        <v>45944.38605324074</v>
      </c>
      <c r="D1574" s="5">
        <v>45961</v>
      </c>
      <c r="E1574" s="6">
        <f>IF(AND(C1574&lt;&gt;"",D1574&lt;&gt;""),D1574-C1574,"")</f>
        <v>0</v>
      </c>
      <c r="F1574" s="4" t="s">
        <v>30</v>
      </c>
      <c r="G1574" s="4" t="s">
        <v>31</v>
      </c>
      <c r="H1574" s="4" t="s">
        <v>32</v>
      </c>
      <c r="I1574" s="4" t="s">
        <v>33</v>
      </c>
      <c r="J1574" s="4">
        <v>3</v>
      </c>
      <c r="K1574" s="4">
        <v>0</v>
      </c>
      <c r="L1574" s="4">
        <f>J1574+K1574</f>
        <v>0</v>
      </c>
      <c r="M1574" s="4"/>
      <c r="N1574" s="4"/>
      <c r="O1574" s="4">
        <v>0</v>
      </c>
      <c r="P1574" s="4"/>
      <c r="Q1574" s="4"/>
      <c r="R1574" s="7">
        <v>0</v>
      </c>
      <c r="S1574" s="7">
        <v>0</v>
      </c>
      <c r="T1574" s="7">
        <f>R1574-S1574</f>
        <v>0</v>
      </c>
      <c r="U1574" s="7">
        <f>T1574*O1574</f>
        <v>0</v>
      </c>
    </row>
    <row r="1575" spans="1:21">
      <c r="A1575" s="4" t="s">
        <v>2220</v>
      </c>
      <c r="B1575" s="4" t="s">
        <v>48</v>
      </c>
      <c r="C1575" s="5">
        <v>45944.49209490741</v>
      </c>
      <c r="D1575" s="5">
        <v>45961</v>
      </c>
      <c r="E1575" s="6">
        <f>IF(AND(C1575&lt;&gt;"",D1575&lt;&gt;""),D1575-C1575,"")</f>
        <v>0</v>
      </c>
      <c r="F1575" s="4" t="s">
        <v>64</v>
      </c>
      <c r="G1575" s="4" t="s">
        <v>2221</v>
      </c>
      <c r="H1575" s="4" t="s">
        <v>32</v>
      </c>
      <c r="I1575" s="4" t="s">
        <v>33</v>
      </c>
      <c r="J1575" s="4">
        <v>2</v>
      </c>
      <c r="K1575" s="4">
        <v>0</v>
      </c>
      <c r="L1575" s="4">
        <f>J1575+K1575</f>
        <v>0</v>
      </c>
      <c r="M1575" s="4"/>
      <c r="N1575" s="4"/>
      <c r="O1575" s="4">
        <v>0</v>
      </c>
      <c r="P1575" s="4"/>
      <c r="Q1575" s="4"/>
      <c r="R1575" s="7">
        <v>0</v>
      </c>
      <c r="S1575" s="7">
        <v>0</v>
      </c>
      <c r="T1575" s="7">
        <f>R1575-S1575</f>
        <v>0</v>
      </c>
      <c r="U1575" s="7">
        <f>T1575*O1575</f>
        <v>0</v>
      </c>
    </row>
    <row r="1576" spans="1:21">
      <c r="A1576" s="4" t="s">
        <v>2222</v>
      </c>
      <c r="B1576" s="4" t="s">
        <v>48</v>
      </c>
      <c r="C1576" s="5">
        <v>45944.49453703704</v>
      </c>
      <c r="D1576" s="5">
        <v>45961</v>
      </c>
      <c r="E1576" s="6">
        <f>IF(AND(C1576&lt;&gt;"",D1576&lt;&gt;""),D1576-C1576,"")</f>
        <v>0</v>
      </c>
      <c r="F1576" s="4" t="s">
        <v>64</v>
      </c>
      <c r="G1576" s="4" t="s">
        <v>2223</v>
      </c>
      <c r="H1576" s="4" t="s">
        <v>32</v>
      </c>
      <c r="I1576" s="4" t="s">
        <v>33</v>
      </c>
      <c r="J1576" s="4">
        <v>2</v>
      </c>
      <c r="K1576" s="4">
        <v>0</v>
      </c>
      <c r="L1576" s="4">
        <f>J1576+K1576</f>
        <v>0</v>
      </c>
      <c r="M1576" s="4"/>
      <c r="N1576" s="4"/>
      <c r="O1576" s="4">
        <v>0</v>
      </c>
      <c r="P1576" s="4"/>
      <c r="Q1576" s="4"/>
      <c r="R1576" s="7">
        <v>0</v>
      </c>
      <c r="S1576" s="7">
        <v>0</v>
      </c>
      <c r="T1576" s="7">
        <f>R1576-S1576</f>
        <v>0</v>
      </c>
      <c r="U1576" s="7">
        <f>T1576*O1576</f>
        <v>0</v>
      </c>
    </row>
    <row r="1577" spans="1:21">
      <c r="A1577" s="4" t="s">
        <v>2224</v>
      </c>
      <c r="B1577" s="4" t="s">
        <v>39</v>
      </c>
      <c r="C1577" s="5">
        <v>45944.59673611111</v>
      </c>
      <c r="D1577" s="5">
        <v>45944</v>
      </c>
      <c r="E1577" s="6">
        <f>IF(AND(C1577&lt;&gt;"",D1577&lt;&gt;""),D1577-C1577,"")</f>
        <v>0</v>
      </c>
      <c r="F1577" s="4" t="s">
        <v>64</v>
      </c>
      <c r="G1577" s="4" t="s">
        <v>2223</v>
      </c>
      <c r="H1577" s="4" t="s">
        <v>32</v>
      </c>
      <c r="I1577" s="4" t="s">
        <v>33</v>
      </c>
      <c r="J1577" s="4">
        <v>1</v>
      </c>
      <c r="K1577" s="4">
        <v>0</v>
      </c>
      <c r="L1577" s="4">
        <f>J1577+K1577</f>
        <v>0</v>
      </c>
      <c r="M1577" s="4" t="s">
        <v>80</v>
      </c>
      <c r="N1577" s="4"/>
      <c r="O1577" s="4">
        <v>1</v>
      </c>
      <c r="P1577" s="4" t="s">
        <v>135</v>
      </c>
      <c r="Q1577" s="4"/>
      <c r="R1577" s="7">
        <v>610000</v>
      </c>
      <c r="S1577" s="7">
        <v>0</v>
      </c>
      <c r="T1577" s="7">
        <f>R1577-S1577</f>
        <v>0</v>
      </c>
      <c r="U1577" s="7">
        <f>T1577*O1577</f>
        <v>0</v>
      </c>
    </row>
    <row r="1578" spans="1:21">
      <c r="A1578" s="4" t="s">
        <v>2225</v>
      </c>
      <c r="B1578" s="4" t="s">
        <v>39</v>
      </c>
      <c r="C1578" s="5">
        <v>45944.66666666666</v>
      </c>
      <c r="D1578" s="5">
        <v>45944</v>
      </c>
      <c r="E1578" s="6">
        <f>IF(AND(C1578&lt;&gt;"",D1578&lt;&gt;""),D1578-C1578,"")</f>
        <v>0</v>
      </c>
      <c r="F1578" s="4" t="s">
        <v>2226</v>
      </c>
      <c r="G1578" s="4" t="s">
        <v>2227</v>
      </c>
      <c r="H1578" s="4" t="s">
        <v>32</v>
      </c>
      <c r="I1578" s="4" t="s">
        <v>33</v>
      </c>
      <c r="J1578" s="4">
        <v>1</v>
      </c>
      <c r="K1578" s="4">
        <v>0</v>
      </c>
      <c r="L1578" s="4">
        <f>J1578+K1578</f>
        <v>0</v>
      </c>
      <c r="M1578" s="4" t="s">
        <v>80</v>
      </c>
      <c r="N1578" s="4"/>
      <c r="O1578" s="4">
        <v>1</v>
      </c>
      <c r="P1578" s="4" t="s">
        <v>135</v>
      </c>
      <c r="Q1578" s="4"/>
      <c r="R1578" s="7">
        <v>610000</v>
      </c>
      <c r="S1578" s="7">
        <v>0</v>
      </c>
      <c r="T1578" s="7">
        <f>R1578-S1578</f>
        <v>0</v>
      </c>
      <c r="U1578" s="7">
        <f>T1578*O1578</f>
        <v>0</v>
      </c>
    </row>
    <row r="1579" spans="1:21">
      <c r="A1579" s="4" t="s">
        <v>2225</v>
      </c>
      <c r="B1579" s="4" t="s">
        <v>39</v>
      </c>
      <c r="C1579" s="5">
        <v>45944.66666666666</v>
      </c>
      <c r="D1579" s="5">
        <v>45944</v>
      </c>
      <c r="E1579" s="6">
        <f>IF(AND(C1579&lt;&gt;"",D1579&lt;&gt;""),D1579-C1579,"")</f>
        <v>0</v>
      </c>
      <c r="F1579" s="4" t="s">
        <v>2226</v>
      </c>
      <c r="G1579" s="4" t="s">
        <v>2227</v>
      </c>
      <c r="H1579" s="4" t="s">
        <v>32</v>
      </c>
      <c r="I1579" s="4" t="s">
        <v>33</v>
      </c>
      <c r="J1579" s="4">
        <v>0</v>
      </c>
      <c r="K1579" s="4">
        <v>0</v>
      </c>
      <c r="L1579" s="4">
        <f>J1579+K1579</f>
        <v>0</v>
      </c>
      <c r="M1579" s="4" t="s">
        <v>370</v>
      </c>
      <c r="N1579" s="4"/>
      <c r="O1579" s="4">
        <v>1</v>
      </c>
      <c r="P1579" s="4" t="s">
        <v>135</v>
      </c>
      <c r="Q1579" s="4"/>
      <c r="R1579" s="7">
        <v>5000000</v>
      </c>
      <c r="S1579" s="7">
        <v>0</v>
      </c>
      <c r="T1579" s="7">
        <f>R1579-S1579</f>
        <v>0</v>
      </c>
      <c r="U1579" s="7">
        <f>T1579*O1579</f>
        <v>0</v>
      </c>
    </row>
    <row r="1580" spans="1:21">
      <c r="A1580" s="4" t="s">
        <v>2228</v>
      </c>
      <c r="B1580" s="4" t="s">
        <v>39</v>
      </c>
      <c r="C1580" s="5">
        <v>45945.03173611111</v>
      </c>
      <c r="D1580" s="5">
        <v>45945</v>
      </c>
      <c r="E1580" s="6">
        <f>IF(AND(C1580&lt;&gt;"",D1580&lt;&gt;""),D1580-C1580,"")</f>
        <v>0</v>
      </c>
      <c r="F1580" s="4" t="s">
        <v>2226</v>
      </c>
      <c r="G1580" s="4" t="s">
        <v>2227</v>
      </c>
      <c r="H1580" s="4" t="s">
        <v>32</v>
      </c>
      <c r="I1580" s="4" t="s">
        <v>33</v>
      </c>
      <c r="J1580" s="4">
        <v>1</v>
      </c>
      <c r="K1580" s="4">
        <v>0</v>
      </c>
      <c r="L1580" s="4">
        <f>J1580+K1580</f>
        <v>0</v>
      </c>
      <c r="M1580" s="4" t="s">
        <v>80</v>
      </c>
      <c r="N1580" s="4"/>
      <c r="O1580" s="4">
        <v>1</v>
      </c>
      <c r="P1580" s="4" t="s">
        <v>135</v>
      </c>
      <c r="Q1580" s="4"/>
      <c r="R1580" s="7">
        <v>610000</v>
      </c>
      <c r="S1580" s="7">
        <v>0</v>
      </c>
      <c r="T1580" s="7">
        <f>R1580-S1580</f>
        <v>0</v>
      </c>
      <c r="U1580" s="7">
        <f>T1580*O1580</f>
        <v>0</v>
      </c>
    </row>
    <row r="1581" spans="1:21">
      <c r="A1581" s="4" t="s">
        <v>2229</v>
      </c>
      <c r="B1581" s="4" t="s">
        <v>39</v>
      </c>
      <c r="C1581" s="5">
        <v>45945.03503472222</v>
      </c>
      <c r="D1581" s="5">
        <v>45945</v>
      </c>
      <c r="E1581" s="6">
        <f>IF(AND(C1581&lt;&gt;"",D1581&lt;&gt;""),D1581-C1581,"")</f>
        <v>0</v>
      </c>
      <c r="F1581" s="4" t="s">
        <v>2230</v>
      </c>
      <c r="G1581" s="4" t="s">
        <v>2231</v>
      </c>
      <c r="H1581" s="4" t="s">
        <v>32</v>
      </c>
      <c r="I1581" s="4" t="s">
        <v>33</v>
      </c>
      <c r="J1581" s="4">
        <v>0</v>
      </c>
      <c r="K1581" s="4">
        <v>0</v>
      </c>
      <c r="L1581" s="4">
        <f>J1581+K1581</f>
        <v>0</v>
      </c>
      <c r="M1581" s="4" t="s">
        <v>370</v>
      </c>
      <c r="N1581" s="4"/>
      <c r="O1581" s="4">
        <v>1</v>
      </c>
      <c r="P1581" s="4" t="s">
        <v>135</v>
      </c>
      <c r="Q1581" s="4"/>
      <c r="R1581" s="7">
        <v>6000000</v>
      </c>
      <c r="S1581" s="7">
        <v>0</v>
      </c>
      <c r="T1581" s="7">
        <f>R1581-S1581</f>
        <v>0</v>
      </c>
      <c r="U1581" s="7">
        <f>T1581*O1581</f>
        <v>0</v>
      </c>
    </row>
    <row r="1582" spans="1:21">
      <c r="A1582" s="4" t="s">
        <v>2229</v>
      </c>
      <c r="B1582" s="4" t="s">
        <v>39</v>
      </c>
      <c r="C1582" s="5">
        <v>45945.03503472222</v>
      </c>
      <c r="D1582" s="5">
        <v>45945</v>
      </c>
      <c r="E1582" s="6">
        <f>IF(AND(C1582&lt;&gt;"",D1582&lt;&gt;""),D1582-C1582,"")</f>
        <v>0</v>
      </c>
      <c r="F1582" s="4" t="s">
        <v>2230</v>
      </c>
      <c r="G1582" s="4" t="s">
        <v>2231</v>
      </c>
      <c r="H1582" s="4" t="s">
        <v>32</v>
      </c>
      <c r="I1582" s="4" t="s">
        <v>33</v>
      </c>
      <c r="J1582" s="4">
        <v>1</v>
      </c>
      <c r="K1582" s="4">
        <v>0</v>
      </c>
      <c r="L1582" s="4">
        <f>J1582+K1582</f>
        <v>0</v>
      </c>
      <c r="M1582" s="4" t="s">
        <v>80</v>
      </c>
      <c r="N1582" s="4"/>
      <c r="O1582" s="4">
        <v>1</v>
      </c>
      <c r="P1582" s="4" t="s">
        <v>135</v>
      </c>
      <c r="Q1582" s="4"/>
      <c r="R1582" s="7">
        <v>610000</v>
      </c>
      <c r="S1582" s="7">
        <v>0</v>
      </c>
      <c r="T1582" s="7">
        <f>R1582-S1582</f>
        <v>0</v>
      </c>
      <c r="U1582" s="7">
        <f>T1582*O1582</f>
        <v>0</v>
      </c>
    </row>
    <row r="1583" spans="1:21">
      <c r="A1583" s="4" t="s">
        <v>2232</v>
      </c>
      <c r="B1583" s="4" t="s">
        <v>39</v>
      </c>
      <c r="C1583" s="5">
        <v>45945.04246527778</v>
      </c>
      <c r="D1583" s="5">
        <v>45945</v>
      </c>
      <c r="E1583" s="6">
        <f>IF(AND(C1583&lt;&gt;"",D1583&lt;&gt;""),D1583-C1583,"")</f>
        <v>0</v>
      </c>
      <c r="F1583" s="4" t="s">
        <v>2233</v>
      </c>
      <c r="G1583" s="4" t="s">
        <v>2234</v>
      </c>
      <c r="H1583" s="4" t="s">
        <v>32</v>
      </c>
      <c r="I1583" s="4" t="s">
        <v>33</v>
      </c>
      <c r="J1583" s="4">
        <v>1</v>
      </c>
      <c r="K1583" s="4">
        <v>0</v>
      </c>
      <c r="L1583" s="4">
        <f>J1583+K1583</f>
        <v>0</v>
      </c>
      <c r="M1583" s="4" t="s">
        <v>80</v>
      </c>
      <c r="N1583" s="4"/>
      <c r="O1583" s="4">
        <v>1</v>
      </c>
      <c r="P1583" s="4" t="s">
        <v>135</v>
      </c>
      <c r="Q1583" s="4"/>
      <c r="R1583" s="7">
        <v>610000</v>
      </c>
      <c r="S1583" s="7">
        <v>0</v>
      </c>
      <c r="T1583" s="7">
        <f>R1583-S1583</f>
        <v>0</v>
      </c>
      <c r="U1583" s="7">
        <f>T1583*O1583</f>
        <v>0</v>
      </c>
    </row>
    <row r="1584" spans="1:21">
      <c r="A1584" s="4" t="s">
        <v>2232</v>
      </c>
      <c r="B1584" s="4" t="s">
        <v>39</v>
      </c>
      <c r="C1584" s="5">
        <v>45945.04246527778</v>
      </c>
      <c r="D1584" s="5">
        <v>45945</v>
      </c>
      <c r="E1584" s="6">
        <f>IF(AND(C1584&lt;&gt;"",D1584&lt;&gt;""),D1584-C1584,"")</f>
        <v>0</v>
      </c>
      <c r="F1584" s="4" t="s">
        <v>2233</v>
      </c>
      <c r="G1584" s="4" t="s">
        <v>2234</v>
      </c>
      <c r="H1584" s="4" t="s">
        <v>32</v>
      </c>
      <c r="I1584" s="4" t="s">
        <v>33</v>
      </c>
      <c r="J1584" s="4">
        <v>0</v>
      </c>
      <c r="K1584" s="4">
        <v>0</v>
      </c>
      <c r="L1584" s="4">
        <f>J1584+K1584</f>
        <v>0</v>
      </c>
      <c r="M1584" s="4" t="s">
        <v>370</v>
      </c>
      <c r="N1584" s="4"/>
      <c r="O1584" s="4">
        <v>1</v>
      </c>
      <c r="P1584" s="4" t="s">
        <v>135</v>
      </c>
      <c r="Q1584" s="4"/>
      <c r="R1584" s="7">
        <v>5000000</v>
      </c>
      <c r="S1584" s="7">
        <v>0</v>
      </c>
      <c r="T1584" s="7">
        <f>R1584-S1584</f>
        <v>0</v>
      </c>
      <c r="U1584" s="7">
        <f>T1584*O1584</f>
        <v>0</v>
      </c>
    </row>
    <row r="1585" spans="1:21">
      <c r="A1585" s="4" t="s">
        <v>2235</v>
      </c>
      <c r="B1585" s="4" t="s">
        <v>39</v>
      </c>
      <c r="C1585" s="5">
        <v>45945.0459837963</v>
      </c>
      <c r="D1585" s="5">
        <v>45945</v>
      </c>
      <c r="E1585" s="6">
        <f>IF(AND(C1585&lt;&gt;"",D1585&lt;&gt;""),D1585-C1585,"")</f>
        <v>0</v>
      </c>
      <c r="F1585" s="4" t="s">
        <v>1358</v>
      </c>
      <c r="G1585" s="4" t="s">
        <v>1359</v>
      </c>
      <c r="H1585" s="4" t="s">
        <v>32</v>
      </c>
      <c r="I1585" s="4" t="s">
        <v>33</v>
      </c>
      <c r="J1585" s="4">
        <v>0</v>
      </c>
      <c r="K1585" s="4">
        <v>0</v>
      </c>
      <c r="L1585" s="4">
        <f>J1585+K1585</f>
        <v>0</v>
      </c>
      <c r="M1585" s="4" t="s">
        <v>370</v>
      </c>
      <c r="N1585" s="4"/>
      <c r="O1585" s="4">
        <v>1</v>
      </c>
      <c r="P1585" s="4" t="s">
        <v>135</v>
      </c>
      <c r="Q1585" s="4" t="s">
        <v>44</v>
      </c>
      <c r="R1585" s="7">
        <v>2000000</v>
      </c>
      <c r="S1585" s="7">
        <v>0</v>
      </c>
      <c r="T1585" s="7">
        <f>R1585-S1585</f>
        <v>0</v>
      </c>
      <c r="U1585" s="7">
        <f>T1585*O1585</f>
        <v>0</v>
      </c>
    </row>
    <row r="1586" spans="1:21">
      <c r="A1586" s="4" t="s">
        <v>2236</v>
      </c>
      <c r="B1586" s="4" t="s">
        <v>39</v>
      </c>
      <c r="C1586" s="5">
        <v>45945.04635416667</v>
      </c>
      <c r="D1586" s="5">
        <v>45945</v>
      </c>
      <c r="E1586" s="6">
        <f>IF(AND(C1586&lt;&gt;"",D1586&lt;&gt;""),D1586-C1586,"")</f>
        <v>0</v>
      </c>
      <c r="F1586" s="4" t="s">
        <v>1367</v>
      </c>
      <c r="G1586" s="4" t="s">
        <v>1368</v>
      </c>
      <c r="H1586" s="4" t="s">
        <v>32</v>
      </c>
      <c r="I1586" s="4" t="s">
        <v>33</v>
      </c>
      <c r="J1586" s="4">
        <v>0</v>
      </c>
      <c r="K1586" s="4">
        <v>0</v>
      </c>
      <c r="L1586" s="4">
        <f>J1586+K1586</f>
        <v>0</v>
      </c>
      <c r="M1586" s="4" t="s">
        <v>370</v>
      </c>
      <c r="N1586" s="4"/>
      <c r="O1586" s="4">
        <v>1</v>
      </c>
      <c r="P1586" s="4" t="s">
        <v>135</v>
      </c>
      <c r="Q1586" s="4" t="s">
        <v>44</v>
      </c>
      <c r="R1586" s="7">
        <v>2000000</v>
      </c>
      <c r="S1586" s="7">
        <v>0</v>
      </c>
      <c r="T1586" s="7">
        <f>R1586-S1586</f>
        <v>0</v>
      </c>
      <c r="U1586" s="7">
        <f>T1586*O1586</f>
        <v>0</v>
      </c>
    </row>
    <row r="1587" spans="1:21">
      <c r="A1587" s="4" t="s">
        <v>2237</v>
      </c>
      <c r="B1587" s="4" t="s">
        <v>39</v>
      </c>
      <c r="C1587" s="5">
        <v>45945.04678240741</v>
      </c>
      <c r="D1587" s="5">
        <v>45945</v>
      </c>
      <c r="E1587" s="6">
        <f>IF(AND(C1587&lt;&gt;"",D1587&lt;&gt;""),D1587-C1587,"")</f>
        <v>0</v>
      </c>
      <c r="F1587" s="4" t="s">
        <v>2238</v>
      </c>
      <c r="G1587" s="4" t="s">
        <v>2239</v>
      </c>
      <c r="H1587" s="4" t="s">
        <v>32</v>
      </c>
      <c r="I1587" s="4" t="s">
        <v>33</v>
      </c>
      <c r="J1587" s="4">
        <v>0</v>
      </c>
      <c r="K1587" s="4">
        <v>0</v>
      </c>
      <c r="L1587" s="4">
        <f>J1587+K1587</f>
        <v>0</v>
      </c>
      <c r="M1587" s="4" t="s">
        <v>370</v>
      </c>
      <c r="N1587" s="4"/>
      <c r="O1587" s="4">
        <v>1</v>
      </c>
      <c r="P1587" s="4" t="s">
        <v>135</v>
      </c>
      <c r="Q1587" s="4" t="s">
        <v>44</v>
      </c>
      <c r="R1587" s="7">
        <v>2000000</v>
      </c>
      <c r="S1587" s="7">
        <v>0</v>
      </c>
      <c r="T1587" s="7">
        <f>R1587-S1587</f>
        <v>0</v>
      </c>
      <c r="U1587" s="7">
        <f>T1587*O1587</f>
        <v>0</v>
      </c>
    </row>
    <row r="1588" spans="1:21">
      <c r="A1588" s="4" t="s">
        <v>2240</v>
      </c>
      <c r="B1588" s="4" t="s">
        <v>39</v>
      </c>
      <c r="C1588" s="5">
        <v>45945.04719907408</v>
      </c>
      <c r="D1588" s="5">
        <v>45945</v>
      </c>
      <c r="E1588" s="6">
        <f>IF(AND(C1588&lt;&gt;"",D1588&lt;&gt;""),D1588-C1588,"")</f>
        <v>0</v>
      </c>
      <c r="F1588" s="4" t="s">
        <v>2241</v>
      </c>
      <c r="G1588" s="4" t="s">
        <v>2242</v>
      </c>
      <c r="H1588" s="4" t="s">
        <v>32</v>
      </c>
      <c r="I1588" s="4" t="s">
        <v>33</v>
      </c>
      <c r="J1588" s="4">
        <v>0</v>
      </c>
      <c r="K1588" s="4">
        <v>0</v>
      </c>
      <c r="L1588" s="4">
        <f>J1588+K1588</f>
        <v>0</v>
      </c>
      <c r="M1588" s="4" t="s">
        <v>370</v>
      </c>
      <c r="N1588" s="4"/>
      <c r="O1588" s="4">
        <v>1</v>
      </c>
      <c r="P1588" s="4" t="s">
        <v>135</v>
      </c>
      <c r="Q1588" s="4" t="s">
        <v>44</v>
      </c>
      <c r="R1588" s="7">
        <v>2000000</v>
      </c>
      <c r="S1588" s="7">
        <v>0</v>
      </c>
      <c r="T1588" s="7">
        <f>R1588-S1588</f>
        <v>0</v>
      </c>
      <c r="U1588" s="7">
        <f>T1588*O1588</f>
        <v>0</v>
      </c>
    </row>
    <row r="1589" spans="1:21">
      <c r="A1589" s="4" t="s">
        <v>2243</v>
      </c>
      <c r="B1589" s="4" t="s">
        <v>39</v>
      </c>
      <c r="C1589" s="5">
        <v>45945.04774305555</v>
      </c>
      <c r="D1589" s="5">
        <v>45945</v>
      </c>
      <c r="E1589" s="6">
        <f>IF(AND(C1589&lt;&gt;"",D1589&lt;&gt;""),D1589-C1589,"")</f>
        <v>0</v>
      </c>
      <c r="F1589" s="4" t="s">
        <v>2244</v>
      </c>
      <c r="G1589" s="4" t="s">
        <v>2245</v>
      </c>
      <c r="H1589" s="4" t="s">
        <v>32</v>
      </c>
      <c r="I1589" s="4" t="s">
        <v>33</v>
      </c>
      <c r="J1589" s="4">
        <v>0</v>
      </c>
      <c r="K1589" s="4">
        <v>0</v>
      </c>
      <c r="L1589" s="4">
        <f>J1589+K1589</f>
        <v>0</v>
      </c>
      <c r="M1589" s="4" t="s">
        <v>370</v>
      </c>
      <c r="N1589" s="4"/>
      <c r="O1589" s="4">
        <v>1</v>
      </c>
      <c r="P1589" s="4" t="s">
        <v>135</v>
      </c>
      <c r="Q1589" s="4" t="s">
        <v>44</v>
      </c>
      <c r="R1589" s="7">
        <v>2000000</v>
      </c>
      <c r="S1589" s="7">
        <v>0</v>
      </c>
      <c r="T1589" s="7">
        <f>R1589-S1589</f>
        <v>0</v>
      </c>
      <c r="U1589" s="7">
        <f>T1589*O1589</f>
        <v>0</v>
      </c>
    </row>
    <row r="1590" spans="1:21">
      <c r="A1590" s="4" t="s">
        <v>2246</v>
      </c>
      <c r="B1590" s="4" t="s">
        <v>39</v>
      </c>
      <c r="C1590" s="5">
        <v>45945.04799768519</v>
      </c>
      <c r="D1590" s="5">
        <v>45945</v>
      </c>
      <c r="E1590" s="6">
        <f>IF(AND(C1590&lt;&gt;"",D1590&lt;&gt;""),D1590-C1590,"")</f>
        <v>0</v>
      </c>
      <c r="F1590" s="4" t="s">
        <v>2247</v>
      </c>
      <c r="G1590" s="4" t="s">
        <v>2248</v>
      </c>
      <c r="H1590" s="4" t="s">
        <v>32</v>
      </c>
      <c r="I1590" s="4" t="s">
        <v>33</v>
      </c>
      <c r="J1590" s="4">
        <v>0</v>
      </c>
      <c r="K1590" s="4">
        <v>0</v>
      </c>
      <c r="L1590" s="4">
        <f>J1590+K1590</f>
        <v>0</v>
      </c>
      <c r="M1590" s="4" t="s">
        <v>370</v>
      </c>
      <c r="N1590" s="4"/>
      <c r="O1590" s="4">
        <v>1</v>
      </c>
      <c r="P1590" s="4" t="s">
        <v>135</v>
      </c>
      <c r="Q1590" s="4"/>
      <c r="R1590" s="7">
        <v>5000000</v>
      </c>
      <c r="S1590" s="7">
        <v>0</v>
      </c>
      <c r="T1590" s="7">
        <f>R1590-S1590</f>
        <v>0</v>
      </c>
      <c r="U1590" s="7">
        <f>T1590*O1590</f>
        <v>0</v>
      </c>
    </row>
    <row r="1591" spans="1:21">
      <c r="A1591" s="4" t="s">
        <v>2246</v>
      </c>
      <c r="B1591" s="4" t="s">
        <v>39</v>
      </c>
      <c r="C1591" s="5">
        <v>45945.04799768519</v>
      </c>
      <c r="D1591" s="5">
        <v>45945</v>
      </c>
      <c r="E1591" s="6">
        <f>IF(AND(C1591&lt;&gt;"",D1591&lt;&gt;""),D1591-C1591,"")</f>
        <v>0</v>
      </c>
      <c r="F1591" s="4" t="s">
        <v>2247</v>
      </c>
      <c r="G1591" s="4" t="s">
        <v>2248</v>
      </c>
      <c r="H1591" s="4" t="s">
        <v>32</v>
      </c>
      <c r="I1591" s="4" t="s">
        <v>33</v>
      </c>
      <c r="J1591" s="4">
        <v>1</v>
      </c>
      <c r="K1591" s="4">
        <v>0</v>
      </c>
      <c r="L1591" s="4">
        <f>J1591+K1591</f>
        <v>0</v>
      </c>
      <c r="M1591" s="4" t="s">
        <v>80</v>
      </c>
      <c r="N1591" s="4"/>
      <c r="O1591" s="4">
        <v>1</v>
      </c>
      <c r="P1591" s="4" t="s">
        <v>135</v>
      </c>
      <c r="Q1591" s="4"/>
      <c r="R1591" s="7">
        <v>610000</v>
      </c>
      <c r="S1591" s="7">
        <v>0</v>
      </c>
      <c r="T1591" s="7">
        <f>R1591-S1591</f>
        <v>0</v>
      </c>
      <c r="U1591" s="7">
        <f>T1591*O1591</f>
        <v>0</v>
      </c>
    </row>
    <row r="1592" spans="1:21">
      <c r="A1592" s="4" t="s">
        <v>2249</v>
      </c>
      <c r="B1592" s="4" t="s">
        <v>39</v>
      </c>
      <c r="C1592" s="5">
        <v>45945.04831018519</v>
      </c>
      <c r="D1592" s="5">
        <v>45945</v>
      </c>
      <c r="E1592" s="6">
        <f>IF(AND(C1592&lt;&gt;"",D1592&lt;&gt;""),D1592-C1592,"")</f>
        <v>0</v>
      </c>
      <c r="F1592" s="4" t="s">
        <v>2250</v>
      </c>
      <c r="G1592" s="4" t="s">
        <v>2251</v>
      </c>
      <c r="H1592" s="4" t="s">
        <v>32</v>
      </c>
      <c r="I1592" s="4" t="s">
        <v>33</v>
      </c>
      <c r="J1592" s="4">
        <v>0</v>
      </c>
      <c r="K1592" s="4">
        <v>0</v>
      </c>
      <c r="L1592" s="4">
        <f>J1592+K1592</f>
        <v>0</v>
      </c>
      <c r="M1592" s="4" t="s">
        <v>370</v>
      </c>
      <c r="N1592" s="4"/>
      <c r="O1592" s="4">
        <v>1</v>
      </c>
      <c r="P1592" s="4" t="s">
        <v>135</v>
      </c>
      <c r="Q1592" s="4" t="s">
        <v>44</v>
      </c>
      <c r="R1592" s="7">
        <v>2000000</v>
      </c>
      <c r="S1592" s="7">
        <v>0</v>
      </c>
      <c r="T1592" s="7">
        <f>R1592-S1592</f>
        <v>0</v>
      </c>
      <c r="U1592" s="7">
        <f>T1592*O1592</f>
        <v>0</v>
      </c>
    </row>
    <row r="1593" spans="1:21">
      <c r="A1593" s="4" t="s">
        <v>2252</v>
      </c>
      <c r="B1593" s="4" t="s">
        <v>39</v>
      </c>
      <c r="C1593" s="5">
        <v>45945.06120370371</v>
      </c>
      <c r="D1593" s="5">
        <v>45945</v>
      </c>
      <c r="E1593" s="6">
        <f>IF(AND(C1593&lt;&gt;"",D1593&lt;&gt;""),D1593-C1593,"")</f>
        <v>0</v>
      </c>
      <c r="F1593" s="4" t="s">
        <v>2253</v>
      </c>
      <c r="G1593" s="4" t="s">
        <v>2254</v>
      </c>
      <c r="H1593" s="4" t="s">
        <v>32</v>
      </c>
      <c r="I1593" s="4" t="s">
        <v>33</v>
      </c>
      <c r="J1593" s="4">
        <v>0</v>
      </c>
      <c r="K1593" s="4">
        <v>0</v>
      </c>
      <c r="L1593" s="4">
        <f>J1593+K1593</f>
        <v>0</v>
      </c>
      <c r="M1593" s="4" t="s">
        <v>370</v>
      </c>
      <c r="N1593" s="4"/>
      <c r="O1593" s="4">
        <v>1</v>
      </c>
      <c r="P1593" s="4" t="s">
        <v>135</v>
      </c>
      <c r="Q1593" s="4"/>
      <c r="R1593" s="7">
        <v>9000000</v>
      </c>
      <c r="S1593" s="7">
        <v>0</v>
      </c>
      <c r="T1593" s="7">
        <f>R1593-S1593</f>
        <v>0</v>
      </c>
      <c r="U1593" s="7">
        <f>T1593*O1593</f>
        <v>0</v>
      </c>
    </row>
    <row r="1594" spans="1:21">
      <c r="A1594" s="4" t="s">
        <v>2252</v>
      </c>
      <c r="B1594" s="4" t="s">
        <v>39</v>
      </c>
      <c r="C1594" s="5">
        <v>45945.06120370371</v>
      </c>
      <c r="D1594" s="5">
        <v>45945</v>
      </c>
      <c r="E1594" s="6">
        <f>IF(AND(C1594&lt;&gt;"",D1594&lt;&gt;""),D1594-C1594,"")</f>
        <v>0</v>
      </c>
      <c r="F1594" s="4" t="s">
        <v>2253</v>
      </c>
      <c r="G1594" s="4" t="s">
        <v>2254</v>
      </c>
      <c r="H1594" s="4" t="s">
        <v>32</v>
      </c>
      <c r="I1594" s="4" t="s">
        <v>33</v>
      </c>
      <c r="J1594" s="4">
        <v>1</v>
      </c>
      <c r="K1594" s="4">
        <v>0</v>
      </c>
      <c r="L1594" s="4">
        <f>J1594+K1594</f>
        <v>0</v>
      </c>
      <c r="M1594" s="4" t="s">
        <v>42</v>
      </c>
      <c r="N1594" s="4"/>
      <c r="O1594" s="4">
        <v>1</v>
      </c>
      <c r="P1594" s="4" t="s">
        <v>135</v>
      </c>
      <c r="Q1594" s="4"/>
      <c r="R1594" s="7">
        <v>370000</v>
      </c>
      <c r="S1594" s="7">
        <v>0</v>
      </c>
      <c r="T1594" s="7">
        <f>R1594-S1594</f>
        <v>0</v>
      </c>
      <c r="U1594" s="7">
        <f>T1594*O1594</f>
        <v>0</v>
      </c>
    </row>
    <row r="1595" spans="1:21">
      <c r="A1595" s="4" t="s">
        <v>2255</v>
      </c>
      <c r="B1595" s="4" t="s">
        <v>48</v>
      </c>
      <c r="C1595" s="5">
        <v>45945.07101851852</v>
      </c>
      <c r="D1595" s="5">
        <v>45961</v>
      </c>
      <c r="E1595" s="6">
        <f>IF(AND(C1595&lt;&gt;"",D1595&lt;&gt;""),D1595-C1595,"")</f>
        <v>0</v>
      </c>
      <c r="F1595" s="4" t="s">
        <v>1399</v>
      </c>
      <c r="G1595" s="4" t="s">
        <v>202</v>
      </c>
      <c r="H1595" s="4" t="s">
        <v>32</v>
      </c>
      <c r="I1595" s="4" t="s">
        <v>33</v>
      </c>
      <c r="J1595" s="4">
        <v>3</v>
      </c>
      <c r="K1595" s="4">
        <v>0</v>
      </c>
      <c r="L1595" s="4">
        <f>J1595+K1595</f>
        <v>0</v>
      </c>
      <c r="M1595" s="4"/>
      <c r="N1595" s="4"/>
      <c r="O1595" s="4">
        <v>0</v>
      </c>
      <c r="P1595" s="4"/>
      <c r="Q1595" s="4"/>
      <c r="R1595" s="7">
        <v>0</v>
      </c>
      <c r="S1595" s="7">
        <v>0</v>
      </c>
      <c r="T1595" s="7">
        <f>R1595-S1595</f>
        <v>0</v>
      </c>
      <c r="U1595" s="7">
        <f>T1595*O1595</f>
        <v>0</v>
      </c>
    </row>
    <row r="1596" spans="1:21">
      <c r="A1596" s="4" t="s">
        <v>2256</v>
      </c>
      <c r="B1596" s="4" t="s">
        <v>48</v>
      </c>
      <c r="C1596" s="5">
        <v>45945.0752199074</v>
      </c>
      <c r="D1596" s="5">
        <v>45961</v>
      </c>
      <c r="E1596" s="6">
        <f>IF(AND(C1596&lt;&gt;"",D1596&lt;&gt;""),D1596-C1596,"")</f>
        <v>0</v>
      </c>
      <c r="F1596" s="4" t="s">
        <v>1399</v>
      </c>
      <c r="G1596" s="4" t="s">
        <v>202</v>
      </c>
      <c r="H1596" s="4" t="s">
        <v>32</v>
      </c>
      <c r="I1596" s="4" t="s">
        <v>33</v>
      </c>
      <c r="J1596" s="4">
        <v>6</v>
      </c>
      <c r="K1596" s="4">
        <v>0</v>
      </c>
      <c r="L1596" s="4">
        <f>J1596+K1596</f>
        <v>0</v>
      </c>
      <c r="M1596" s="4"/>
      <c r="N1596" s="4"/>
      <c r="O1596" s="4">
        <v>0</v>
      </c>
      <c r="P1596" s="4"/>
      <c r="Q1596" s="4"/>
      <c r="R1596" s="7">
        <v>0</v>
      </c>
      <c r="S1596" s="7">
        <v>0</v>
      </c>
      <c r="T1596" s="7">
        <f>R1596-S1596</f>
        <v>0</v>
      </c>
      <c r="U1596" s="7">
        <f>T1596*O1596</f>
        <v>0</v>
      </c>
    </row>
    <row r="1597" spans="1:21">
      <c r="A1597" s="4" t="s">
        <v>2257</v>
      </c>
      <c r="B1597" s="4" t="s">
        <v>39</v>
      </c>
      <c r="C1597" s="5">
        <v>45945.10298611111</v>
      </c>
      <c r="D1597" s="5">
        <v>45945</v>
      </c>
      <c r="E1597" s="6">
        <f>IF(AND(C1597&lt;&gt;"",D1597&lt;&gt;""),D1597-C1597,"")</f>
        <v>0</v>
      </c>
      <c r="F1597" s="4" t="s">
        <v>2258</v>
      </c>
      <c r="G1597" s="4" t="s">
        <v>2259</v>
      </c>
      <c r="H1597" s="4" t="s">
        <v>32</v>
      </c>
      <c r="I1597" s="4" t="s">
        <v>33</v>
      </c>
      <c r="J1597" s="4">
        <v>0</v>
      </c>
      <c r="K1597" s="4">
        <v>0</v>
      </c>
      <c r="L1597" s="4">
        <f>J1597+K1597</f>
        <v>0</v>
      </c>
      <c r="M1597" s="4" t="s">
        <v>370</v>
      </c>
      <c r="N1597" s="4"/>
      <c r="O1597" s="4">
        <v>1</v>
      </c>
      <c r="P1597" s="4" t="s">
        <v>135</v>
      </c>
      <c r="Q1597" s="4"/>
      <c r="R1597" s="7">
        <v>5000000</v>
      </c>
      <c r="S1597" s="7">
        <v>0</v>
      </c>
      <c r="T1597" s="7">
        <f>R1597-S1597</f>
        <v>0</v>
      </c>
      <c r="U1597" s="7">
        <f>T1597*O1597</f>
        <v>0</v>
      </c>
    </row>
    <row r="1598" spans="1:21">
      <c r="A1598" s="4" t="s">
        <v>2257</v>
      </c>
      <c r="B1598" s="4" t="s">
        <v>39</v>
      </c>
      <c r="C1598" s="5">
        <v>45945.10298611111</v>
      </c>
      <c r="D1598" s="5">
        <v>45945</v>
      </c>
      <c r="E1598" s="6">
        <f>IF(AND(C1598&lt;&gt;"",D1598&lt;&gt;""),D1598-C1598,"")</f>
        <v>0</v>
      </c>
      <c r="F1598" s="4" t="s">
        <v>2258</v>
      </c>
      <c r="G1598" s="4" t="s">
        <v>2259</v>
      </c>
      <c r="H1598" s="4" t="s">
        <v>32</v>
      </c>
      <c r="I1598" s="4" t="s">
        <v>33</v>
      </c>
      <c r="J1598" s="4">
        <v>1</v>
      </c>
      <c r="K1598" s="4">
        <v>0</v>
      </c>
      <c r="L1598" s="4">
        <f>J1598+K1598</f>
        <v>0</v>
      </c>
      <c r="M1598" s="4" t="s">
        <v>80</v>
      </c>
      <c r="N1598" s="4"/>
      <c r="O1598" s="4">
        <v>1</v>
      </c>
      <c r="P1598" s="4" t="s">
        <v>135</v>
      </c>
      <c r="Q1598" s="4"/>
      <c r="R1598" s="7">
        <v>610000</v>
      </c>
      <c r="S1598" s="7">
        <v>0</v>
      </c>
      <c r="T1598" s="7">
        <f>R1598-S1598</f>
        <v>0</v>
      </c>
      <c r="U1598" s="7">
        <f>T1598*O1598</f>
        <v>0</v>
      </c>
    </row>
    <row r="1599" spans="1:21">
      <c r="A1599" s="4" t="s">
        <v>2260</v>
      </c>
      <c r="B1599" s="4" t="s">
        <v>39</v>
      </c>
      <c r="C1599" s="5">
        <v>45945.10866898148</v>
      </c>
      <c r="D1599" s="5">
        <v>45945</v>
      </c>
      <c r="E1599" s="6">
        <f>IF(AND(C1599&lt;&gt;"",D1599&lt;&gt;""),D1599-C1599,"")</f>
        <v>0</v>
      </c>
      <c r="F1599" s="4" t="s">
        <v>2261</v>
      </c>
      <c r="G1599" s="4" t="s">
        <v>2262</v>
      </c>
      <c r="H1599" s="4" t="s">
        <v>32</v>
      </c>
      <c r="I1599" s="4" t="s">
        <v>33</v>
      </c>
      <c r="J1599" s="4">
        <v>1</v>
      </c>
      <c r="K1599" s="4">
        <v>0</v>
      </c>
      <c r="L1599" s="4">
        <f>J1599+K1599</f>
        <v>0</v>
      </c>
      <c r="M1599" s="4" t="s">
        <v>80</v>
      </c>
      <c r="N1599" s="4"/>
      <c r="O1599" s="4">
        <v>1</v>
      </c>
      <c r="P1599" s="4" t="s">
        <v>135</v>
      </c>
      <c r="Q1599" s="4"/>
      <c r="R1599" s="7">
        <v>610000</v>
      </c>
      <c r="S1599" s="7">
        <v>0</v>
      </c>
      <c r="T1599" s="7">
        <f>R1599-S1599</f>
        <v>0</v>
      </c>
      <c r="U1599" s="7">
        <f>T1599*O1599</f>
        <v>0</v>
      </c>
    </row>
    <row r="1600" spans="1:21">
      <c r="A1600" s="4" t="s">
        <v>2260</v>
      </c>
      <c r="B1600" s="4" t="s">
        <v>39</v>
      </c>
      <c r="C1600" s="5">
        <v>45945.10866898148</v>
      </c>
      <c r="D1600" s="5">
        <v>45945</v>
      </c>
      <c r="E1600" s="6">
        <f>IF(AND(C1600&lt;&gt;"",D1600&lt;&gt;""),D1600-C1600,"")</f>
        <v>0</v>
      </c>
      <c r="F1600" s="4" t="s">
        <v>2261</v>
      </c>
      <c r="G1600" s="4" t="s">
        <v>2262</v>
      </c>
      <c r="H1600" s="4" t="s">
        <v>32</v>
      </c>
      <c r="I1600" s="4" t="s">
        <v>33</v>
      </c>
      <c r="J1600" s="4">
        <v>0</v>
      </c>
      <c r="K1600" s="4">
        <v>0</v>
      </c>
      <c r="L1600" s="4">
        <f>J1600+K1600</f>
        <v>0</v>
      </c>
      <c r="M1600" s="4" t="s">
        <v>370</v>
      </c>
      <c r="N1600" s="4"/>
      <c r="O1600" s="4">
        <v>1</v>
      </c>
      <c r="P1600" s="4" t="s">
        <v>135</v>
      </c>
      <c r="Q1600" s="4"/>
      <c r="R1600" s="7">
        <v>6000000</v>
      </c>
      <c r="S1600" s="7">
        <v>0</v>
      </c>
      <c r="T1600" s="7">
        <f>R1600-S1600</f>
        <v>0</v>
      </c>
      <c r="U1600" s="7">
        <f>T1600*O1600</f>
        <v>0</v>
      </c>
    </row>
    <row r="1601" spans="1:21">
      <c r="A1601" s="4" t="s">
        <v>2263</v>
      </c>
      <c r="B1601" s="4" t="s">
        <v>39</v>
      </c>
      <c r="C1601" s="5">
        <v>45945.11524305555</v>
      </c>
      <c r="D1601" s="5">
        <v>45945</v>
      </c>
      <c r="E1601" s="6">
        <f>IF(AND(C1601&lt;&gt;"",D1601&lt;&gt;""),D1601-C1601,"")</f>
        <v>0</v>
      </c>
      <c r="F1601" s="4" t="s">
        <v>2264</v>
      </c>
      <c r="G1601" s="4" t="s">
        <v>2265</v>
      </c>
      <c r="H1601" s="4" t="s">
        <v>32</v>
      </c>
      <c r="I1601" s="4" t="s">
        <v>33</v>
      </c>
      <c r="J1601" s="4">
        <v>0</v>
      </c>
      <c r="K1601" s="4">
        <v>0</v>
      </c>
      <c r="L1601" s="4">
        <f>J1601+K1601</f>
        <v>0</v>
      </c>
      <c r="M1601" s="4" t="s">
        <v>370</v>
      </c>
      <c r="N1601" s="4"/>
      <c r="O1601" s="4">
        <v>1</v>
      </c>
      <c r="P1601" s="4" t="s">
        <v>135</v>
      </c>
      <c r="Q1601" s="4"/>
      <c r="R1601" s="7">
        <v>5000000</v>
      </c>
      <c r="S1601" s="7">
        <v>0</v>
      </c>
      <c r="T1601" s="7">
        <f>R1601-S1601</f>
        <v>0</v>
      </c>
      <c r="U1601" s="7">
        <f>T1601*O1601</f>
        <v>0</v>
      </c>
    </row>
    <row r="1602" spans="1:21">
      <c r="A1602" s="4" t="s">
        <v>2263</v>
      </c>
      <c r="B1602" s="4" t="s">
        <v>39</v>
      </c>
      <c r="C1602" s="5">
        <v>45945.11524305555</v>
      </c>
      <c r="D1602" s="5">
        <v>45945</v>
      </c>
      <c r="E1602" s="6">
        <f>IF(AND(C1602&lt;&gt;"",D1602&lt;&gt;""),D1602-C1602,"")</f>
        <v>0</v>
      </c>
      <c r="F1602" s="4" t="s">
        <v>2264</v>
      </c>
      <c r="G1602" s="4" t="s">
        <v>2265</v>
      </c>
      <c r="H1602" s="4" t="s">
        <v>32</v>
      </c>
      <c r="I1602" s="4" t="s">
        <v>33</v>
      </c>
      <c r="J1602" s="4">
        <v>1</v>
      </c>
      <c r="K1602" s="4">
        <v>0</v>
      </c>
      <c r="L1602" s="4">
        <f>J1602+K1602</f>
        <v>0</v>
      </c>
      <c r="M1602" s="4" t="s">
        <v>80</v>
      </c>
      <c r="N1602" s="4"/>
      <c r="O1602" s="4">
        <v>1</v>
      </c>
      <c r="P1602" s="4" t="s">
        <v>135</v>
      </c>
      <c r="Q1602" s="4"/>
      <c r="R1602" s="7">
        <v>610000</v>
      </c>
      <c r="S1602" s="7">
        <v>0</v>
      </c>
      <c r="T1602" s="7">
        <f>R1602-S1602</f>
        <v>0</v>
      </c>
      <c r="U1602" s="7">
        <f>T1602*O1602</f>
        <v>0</v>
      </c>
    </row>
    <row r="1603" spans="1:21">
      <c r="A1603" s="4" t="s">
        <v>2266</v>
      </c>
      <c r="B1603" s="4" t="s">
        <v>39</v>
      </c>
      <c r="C1603" s="5">
        <v>45945.12078703703</v>
      </c>
      <c r="D1603" s="5">
        <v>45945</v>
      </c>
      <c r="E1603" s="6">
        <f>IF(AND(C1603&lt;&gt;"",D1603&lt;&gt;""),D1603-C1603,"")</f>
        <v>0</v>
      </c>
      <c r="F1603" s="4" t="s">
        <v>2267</v>
      </c>
      <c r="G1603" s="4" t="s">
        <v>2268</v>
      </c>
      <c r="H1603" s="4" t="s">
        <v>32</v>
      </c>
      <c r="I1603" s="4" t="s">
        <v>33</v>
      </c>
      <c r="J1603" s="4">
        <v>0</v>
      </c>
      <c r="K1603" s="4">
        <v>0</v>
      </c>
      <c r="L1603" s="4">
        <f>J1603+K1603</f>
        <v>0</v>
      </c>
      <c r="M1603" s="4" t="s">
        <v>370</v>
      </c>
      <c r="N1603" s="4"/>
      <c r="O1603" s="4">
        <v>1</v>
      </c>
      <c r="P1603" s="4" t="s">
        <v>135</v>
      </c>
      <c r="Q1603" s="4"/>
      <c r="R1603" s="7">
        <v>500000</v>
      </c>
      <c r="S1603" s="7">
        <v>0</v>
      </c>
      <c r="T1603" s="7">
        <f>R1603-S1603</f>
        <v>0</v>
      </c>
      <c r="U1603" s="7">
        <f>T1603*O1603</f>
        <v>0</v>
      </c>
    </row>
    <row r="1604" spans="1:21">
      <c r="A1604" s="4" t="s">
        <v>2266</v>
      </c>
      <c r="B1604" s="4" t="s">
        <v>39</v>
      </c>
      <c r="C1604" s="5">
        <v>45945.12078703703</v>
      </c>
      <c r="D1604" s="5">
        <v>45945</v>
      </c>
      <c r="E1604" s="6">
        <f>IF(AND(C1604&lt;&gt;"",D1604&lt;&gt;""),D1604-C1604,"")</f>
        <v>0</v>
      </c>
      <c r="F1604" s="4" t="s">
        <v>2267</v>
      </c>
      <c r="G1604" s="4" t="s">
        <v>2268</v>
      </c>
      <c r="H1604" s="4" t="s">
        <v>32</v>
      </c>
      <c r="I1604" s="4" t="s">
        <v>33</v>
      </c>
      <c r="J1604" s="4">
        <v>1</v>
      </c>
      <c r="K1604" s="4">
        <v>0</v>
      </c>
      <c r="L1604" s="4">
        <f>J1604+K1604</f>
        <v>0</v>
      </c>
      <c r="M1604" s="4" t="s">
        <v>80</v>
      </c>
      <c r="N1604" s="4"/>
      <c r="O1604" s="4">
        <v>1</v>
      </c>
      <c r="P1604" s="4" t="s">
        <v>135</v>
      </c>
      <c r="Q1604" s="4"/>
      <c r="R1604" s="7">
        <v>610000</v>
      </c>
      <c r="S1604" s="7">
        <v>0</v>
      </c>
      <c r="T1604" s="7">
        <f>R1604-S1604</f>
        <v>0</v>
      </c>
      <c r="U1604" s="7">
        <f>T1604*O1604</f>
        <v>0</v>
      </c>
    </row>
    <row r="1605" spans="1:21">
      <c r="A1605" s="4" t="s">
        <v>2269</v>
      </c>
      <c r="B1605" s="4" t="s">
        <v>39</v>
      </c>
      <c r="C1605" s="5">
        <v>45945.13512731482</v>
      </c>
      <c r="D1605" s="5">
        <v>45945</v>
      </c>
      <c r="E1605" s="6">
        <f>IF(AND(C1605&lt;&gt;"",D1605&lt;&gt;""),D1605-C1605,"")</f>
        <v>0</v>
      </c>
      <c r="F1605" s="4" t="s">
        <v>2270</v>
      </c>
      <c r="G1605" s="4" t="s">
        <v>2271</v>
      </c>
      <c r="H1605" s="4" t="s">
        <v>32</v>
      </c>
      <c r="I1605" s="4" t="s">
        <v>33</v>
      </c>
      <c r="J1605" s="4">
        <v>1</v>
      </c>
      <c r="K1605" s="4">
        <v>0</v>
      </c>
      <c r="L1605" s="4">
        <f>J1605+K1605</f>
        <v>0</v>
      </c>
      <c r="M1605" s="4" t="s">
        <v>80</v>
      </c>
      <c r="N1605" s="4"/>
      <c r="O1605" s="4">
        <v>1</v>
      </c>
      <c r="P1605" s="4" t="s">
        <v>135</v>
      </c>
      <c r="Q1605" s="4"/>
      <c r="R1605" s="7">
        <v>610000</v>
      </c>
      <c r="S1605" s="7">
        <v>0</v>
      </c>
      <c r="T1605" s="7">
        <f>R1605-S1605</f>
        <v>0</v>
      </c>
      <c r="U1605" s="7">
        <f>T1605*O1605</f>
        <v>0</v>
      </c>
    </row>
    <row r="1606" spans="1:21">
      <c r="A1606" s="4" t="s">
        <v>2269</v>
      </c>
      <c r="B1606" s="4" t="s">
        <v>39</v>
      </c>
      <c r="C1606" s="5">
        <v>45945.13512731482</v>
      </c>
      <c r="D1606" s="5">
        <v>45945</v>
      </c>
      <c r="E1606" s="6">
        <f>IF(AND(C1606&lt;&gt;"",D1606&lt;&gt;""),D1606-C1606,"")</f>
        <v>0</v>
      </c>
      <c r="F1606" s="4" t="s">
        <v>2270</v>
      </c>
      <c r="G1606" s="4" t="s">
        <v>2271</v>
      </c>
      <c r="H1606" s="4" t="s">
        <v>32</v>
      </c>
      <c r="I1606" s="4" t="s">
        <v>33</v>
      </c>
      <c r="J1606" s="4">
        <v>0</v>
      </c>
      <c r="K1606" s="4">
        <v>0</v>
      </c>
      <c r="L1606" s="4">
        <f>J1606+K1606</f>
        <v>0</v>
      </c>
      <c r="M1606" s="4" t="s">
        <v>370</v>
      </c>
      <c r="N1606" s="4"/>
      <c r="O1606" s="4">
        <v>1</v>
      </c>
      <c r="P1606" s="4" t="s">
        <v>135</v>
      </c>
      <c r="Q1606" s="4"/>
      <c r="R1606" s="7">
        <v>5000000</v>
      </c>
      <c r="S1606" s="7">
        <v>0</v>
      </c>
      <c r="T1606" s="7">
        <f>R1606-S1606</f>
        <v>0</v>
      </c>
      <c r="U1606" s="7">
        <f>T1606*O1606</f>
        <v>0</v>
      </c>
    </row>
    <row r="1607" spans="1:21">
      <c r="A1607" s="4" t="s">
        <v>2272</v>
      </c>
      <c r="B1607" s="4" t="s">
        <v>39</v>
      </c>
      <c r="C1607" s="5">
        <v>45945.14009259259</v>
      </c>
      <c r="D1607" s="5">
        <v>45945</v>
      </c>
      <c r="E1607" s="6">
        <f>IF(AND(C1607&lt;&gt;"",D1607&lt;&gt;""),D1607-C1607,"")</f>
        <v>0</v>
      </c>
      <c r="F1607" s="4" t="s">
        <v>2273</v>
      </c>
      <c r="G1607" s="4" t="s">
        <v>2274</v>
      </c>
      <c r="H1607" s="4" t="s">
        <v>32</v>
      </c>
      <c r="I1607" s="4" t="s">
        <v>33</v>
      </c>
      <c r="J1607" s="4">
        <v>1</v>
      </c>
      <c r="K1607" s="4">
        <v>0</v>
      </c>
      <c r="L1607" s="4">
        <f>J1607+K1607</f>
        <v>0</v>
      </c>
      <c r="M1607" s="4" t="s">
        <v>80</v>
      </c>
      <c r="N1607" s="4"/>
      <c r="O1607" s="4">
        <v>1</v>
      </c>
      <c r="P1607" s="4" t="s">
        <v>135</v>
      </c>
      <c r="Q1607" s="4"/>
      <c r="R1607" s="7">
        <v>610000</v>
      </c>
      <c r="S1607" s="7">
        <v>0</v>
      </c>
      <c r="T1607" s="7">
        <f>R1607-S1607</f>
        <v>0</v>
      </c>
      <c r="U1607" s="7">
        <f>T1607*O1607</f>
        <v>0</v>
      </c>
    </row>
    <row r="1608" spans="1:21">
      <c r="A1608" s="4" t="s">
        <v>2272</v>
      </c>
      <c r="B1608" s="4" t="s">
        <v>39</v>
      </c>
      <c r="C1608" s="5">
        <v>45945.14009259259</v>
      </c>
      <c r="D1608" s="5">
        <v>45945</v>
      </c>
      <c r="E1608" s="6">
        <f>IF(AND(C1608&lt;&gt;"",D1608&lt;&gt;""),D1608-C1608,"")</f>
        <v>0</v>
      </c>
      <c r="F1608" s="4" t="s">
        <v>2273</v>
      </c>
      <c r="G1608" s="4" t="s">
        <v>2274</v>
      </c>
      <c r="H1608" s="4" t="s">
        <v>32</v>
      </c>
      <c r="I1608" s="4" t="s">
        <v>33</v>
      </c>
      <c r="J1608" s="4">
        <v>1</v>
      </c>
      <c r="K1608" s="4">
        <v>0</v>
      </c>
      <c r="L1608" s="4">
        <f>J1608+K1608</f>
        <v>0</v>
      </c>
      <c r="M1608" s="4" t="s">
        <v>80</v>
      </c>
      <c r="N1608" s="4"/>
      <c r="O1608" s="4">
        <v>1</v>
      </c>
      <c r="P1608" s="4" t="s">
        <v>135</v>
      </c>
      <c r="Q1608" s="4"/>
      <c r="R1608" s="7">
        <v>610000</v>
      </c>
      <c r="S1608" s="7">
        <v>0</v>
      </c>
      <c r="T1608" s="7">
        <f>R1608-S1608</f>
        <v>0</v>
      </c>
      <c r="U1608" s="7">
        <f>T1608*O1608</f>
        <v>0</v>
      </c>
    </row>
    <row r="1609" spans="1:21">
      <c r="A1609" s="4" t="s">
        <v>2272</v>
      </c>
      <c r="B1609" s="4" t="s">
        <v>39</v>
      </c>
      <c r="C1609" s="5">
        <v>45945.14009259259</v>
      </c>
      <c r="D1609" s="5">
        <v>45945</v>
      </c>
      <c r="E1609" s="6">
        <f>IF(AND(C1609&lt;&gt;"",D1609&lt;&gt;""),D1609-C1609,"")</f>
        <v>0</v>
      </c>
      <c r="F1609" s="4" t="s">
        <v>2273</v>
      </c>
      <c r="G1609" s="4" t="s">
        <v>2274</v>
      </c>
      <c r="H1609" s="4" t="s">
        <v>32</v>
      </c>
      <c r="I1609" s="4" t="s">
        <v>33</v>
      </c>
      <c r="J1609" s="4">
        <v>0</v>
      </c>
      <c r="K1609" s="4">
        <v>0</v>
      </c>
      <c r="L1609" s="4">
        <f>J1609+K1609</f>
        <v>0</v>
      </c>
      <c r="M1609" s="4" t="s">
        <v>370</v>
      </c>
      <c r="N1609" s="4"/>
      <c r="O1609" s="4">
        <v>1</v>
      </c>
      <c r="P1609" s="4" t="s">
        <v>135</v>
      </c>
      <c r="Q1609" s="4"/>
      <c r="R1609" s="7">
        <v>5000000</v>
      </c>
      <c r="S1609" s="7">
        <v>0</v>
      </c>
      <c r="T1609" s="7">
        <f>R1609-S1609</f>
        <v>0</v>
      </c>
      <c r="U1609" s="7">
        <f>T1609*O1609</f>
        <v>0</v>
      </c>
    </row>
    <row r="1610" spans="1:21">
      <c r="A1610" s="4" t="s">
        <v>2275</v>
      </c>
      <c r="B1610" s="4" t="s">
        <v>39</v>
      </c>
      <c r="C1610" s="5">
        <v>45945.16515046296</v>
      </c>
      <c r="D1610" s="5">
        <v>45945</v>
      </c>
      <c r="E1610" s="6">
        <f>IF(AND(C1610&lt;&gt;"",D1610&lt;&gt;""),D1610-C1610,"")</f>
        <v>0</v>
      </c>
      <c r="F1610" s="4" t="s">
        <v>2276</v>
      </c>
      <c r="G1610" s="4" t="s">
        <v>2277</v>
      </c>
      <c r="H1610" s="4" t="s">
        <v>32</v>
      </c>
      <c r="I1610" s="4" t="s">
        <v>33</v>
      </c>
      <c r="J1610" s="4">
        <v>1</v>
      </c>
      <c r="K1610" s="4">
        <v>0</v>
      </c>
      <c r="L1610" s="4">
        <f>J1610+K1610</f>
        <v>0</v>
      </c>
      <c r="M1610" s="4" t="s">
        <v>80</v>
      </c>
      <c r="N1610" s="4"/>
      <c r="O1610" s="4">
        <v>1</v>
      </c>
      <c r="P1610" s="4" t="s">
        <v>135</v>
      </c>
      <c r="Q1610" s="4"/>
      <c r="R1610" s="7">
        <v>610000</v>
      </c>
      <c r="S1610" s="7">
        <v>0</v>
      </c>
      <c r="T1610" s="7">
        <f>R1610-S1610</f>
        <v>0</v>
      </c>
      <c r="U1610" s="7">
        <f>T1610*O1610</f>
        <v>0</v>
      </c>
    </row>
    <row r="1611" spans="1:21">
      <c r="A1611" s="4" t="s">
        <v>2275</v>
      </c>
      <c r="B1611" s="4" t="s">
        <v>39</v>
      </c>
      <c r="C1611" s="5">
        <v>45945.16515046296</v>
      </c>
      <c r="D1611" s="5">
        <v>45945</v>
      </c>
      <c r="E1611" s="6">
        <f>IF(AND(C1611&lt;&gt;"",D1611&lt;&gt;""),D1611-C1611,"")</f>
        <v>0</v>
      </c>
      <c r="F1611" s="4" t="s">
        <v>2276</v>
      </c>
      <c r="G1611" s="4" t="s">
        <v>2277</v>
      </c>
      <c r="H1611" s="4" t="s">
        <v>32</v>
      </c>
      <c r="I1611" s="4" t="s">
        <v>33</v>
      </c>
      <c r="J1611" s="4">
        <v>0</v>
      </c>
      <c r="K1611" s="4">
        <v>0</v>
      </c>
      <c r="L1611" s="4">
        <f>J1611+K1611</f>
        <v>0</v>
      </c>
      <c r="M1611" s="4" t="s">
        <v>370</v>
      </c>
      <c r="N1611" s="4"/>
      <c r="O1611" s="4">
        <v>1</v>
      </c>
      <c r="P1611" s="4" t="s">
        <v>135</v>
      </c>
      <c r="Q1611" s="4"/>
      <c r="R1611" s="7">
        <v>5000000</v>
      </c>
      <c r="S1611" s="7">
        <v>0</v>
      </c>
      <c r="T1611" s="7">
        <f>R1611-S1611</f>
        <v>0</v>
      </c>
      <c r="U1611" s="7">
        <f>T1611*O1611</f>
        <v>0</v>
      </c>
    </row>
    <row r="1612" spans="1:21">
      <c r="A1612" s="4" t="s">
        <v>2275</v>
      </c>
      <c r="B1612" s="4" t="s">
        <v>39</v>
      </c>
      <c r="C1612" s="5">
        <v>45945.16515046296</v>
      </c>
      <c r="D1612" s="5">
        <v>45945</v>
      </c>
      <c r="E1612" s="6">
        <f>IF(AND(C1612&lt;&gt;"",D1612&lt;&gt;""),D1612-C1612,"")</f>
        <v>0</v>
      </c>
      <c r="F1612" s="4" t="s">
        <v>2276</v>
      </c>
      <c r="G1612" s="4" t="s">
        <v>2277</v>
      </c>
      <c r="H1612" s="4" t="s">
        <v>32</v>
      </c>
      <c r="I1612" s="4" t="s">
        <v>33</v>
      </c>
      <c r="J1612" s="4">
        <v>1</v>
      </c>
      <c r="K1612" s="4">
        <v>0</v>
      </c>
      <c r="L1612" s="4">
        <f>J1612+K1612</f>
        <v>0</v>
      </c>
      <c r="M1612" s="4" t="s">
        <v>80</v>
      </c>
      <c r="N1612" s="4"/>
      <c r="O1612" s="4">
        <v>1</v>
      </c>
      <c r="P1612" s="4" t="s">
        <v>135</v>
      </c>
      <c r="Q1612" s="4"/>
      <c r="R1612" s="7">
        <v>610000</v>
      </c>
      <c r="S1612" s="7">
        <v>0</v>
      </c>
      <c r="T1612" s="7">
        <f>R1612-S1612</f>
        <v>0</v>
      </c>
      <c r="U1612" s="7">
        <f>T1612*O1612</f>
        <v>0</v>
      </c>
    </row>
    <row r="1613" spans="1:21">
      <c r="A1613" s="4" t="s">
        <v>2278</v>
      </c>
      <c r="B1613" s="4" t="s">
        <v>39</v>
      </c>
      <c r="C1613" s="5">
        <v>45945.17229166667</v>
      </c>
      <c r="D1613" s="5">
        <v>45945</v>
      </c>
      <c r="E1613" s="6">
        <f>IF(AND(C1613&lt;&gt;"",D1613&lt;&gt;""),D1613-C1613,"")</f>
        <v>0</v>
      </c>
      <c r="F1613" s="4" t="s">
        <v>64</v>
      </c>
      <c r="G1613" s="4" t="s">
        <v>2153</v>
      </c>
      <c r="H1613" s="4" t="s">
        <v>32</v>
      </c>
      <c r="I1613" s="4" t="s">
        <v>33</v>
      </c>
      <c r="J1613" s="4">
        <v>0</v>
      </c>
      <c r="K1613" s="4">
        <v>0</v>
      </c>
      <c r="L1613" s="4">
        <f>J1613+K1613</f>
        <v>0</v>
      </c>
      <c r="M1613" s="4" t="s">
        <v>247</v>
      </c>
      <c r="N1613" s="4"/>
      <c r="O1613" s="4">
        <v>1</v>
      </c>
      <c r="P1613" s="4" t="s">
        <v>135</v>
      </c>
      <c r="Q1613" s="4" t="s">
        <v>44</v>
      </c>
      <c r="R1613" s="7">
        <v>55000</v>
      </c>
      <c r="S1613" s="7">
        <v>0</v>
      </c>
      <c r="T1613" s="7">
        <f>R1613-S1613</f>
        <v>0</v>
      </c>
      <c r="U1613" s="7">
        <f>T1613*O1613</f>
        <v>0</v>
      </c>
    </row>
    <row r="1614" spans="1:21">
      <c r="A1614" s="4" t="s">
        <v>2279</v>
      </c>
      <c r="B1614" s="4" t="s">
        <v>39</v>
      </c>
      <c r="C1614" s="5">
        <v>45945.186875</v>
      </c>
      <c r="D1614" s="5">
        <v>45945</v>
      </c>
      <c r="E1614" s="6">
        <f>IF(AND(C1614&lt;&gt;"",D1614&lt;&gt;""),D1614-C1614,"")</f>
        <v>0</v>
      </c>
      <c r="F1614" s="4" t="s">
        <v>2280</v>
      </c>
      <c r="G1614" s="4" t="s">
        <v>2281</v>
      </c>
      <c r="H1614" s="4" t="s">
        <v>32</v>
      </c>
      <c r="I1614" s="4" t="s">
        <v>33</v>
      </c>
      <c r="J1614" s="4">
        <v>1</v>
      </c>
      <c r="K1614" s="4">
        <v>0</v>
      </c>
      <c r="L1614" s="4">
        <f>J1614+K1614</f>
        <v>0</v>
      </c>
      <c r="M1614" s="4" t="s">
        <v>80</v>
      </c>
      <c r="N1614" s="4"/>
      <c r="O1614" s="4">
        <v>1</v>
      </c>
      <c r="P1614" s="4" t="s">
        <v>135</v>
      </c>
      <c r="Q1614" s="4"/>
      <c r="R1614" s="7">
        <v>610000</v>
      </c>
      <c r="S1614" s="7">
        <v>0</v>
      </c>
      <c r="T1614" s="7">
        <f>R1614-S1614</f>
        <v>0</v>
      </c>
      <c r="U1614" s="7">
        <f>T1614*O1614</f>
        <v>0</v>
      </c>
    </row>
    <row r="1615" spans="1:21">
      <c r="A1615" s="4" t="s">
        <v>2279</v>
      </c>
      <c r="B1615" s="4" t="s">
        <v>39</v>
      </c>
      <c r="C1615" s="5">
        <v>45945.186875</v>
      </c>
      <c r="D1615" s="5">
        <v>45945</v>
      </c>
      <c r="E1615" s="6">
        <f>IF(AND(C1615&lt;&gt;"",D1615&lt;&gt;""),D1615-C1615,"")</f>
        <v>0</v>
      </c>
      <c r="F1615" s="4" t="s">
        <v>2280</v>
      </c>
      <c r="G1615" s="4" t="s">
        <v>2281</v>
      </c>
      <c r="H1615" s="4" t="s">
        <v>32</v>
      </c>
      <c r="I1615" s="4" t="s">
        <v>33</v>
      </c>
      <c r="J1615" s="4">
        <v>0</v>
      </c>
      <c r="K1615" s="4">
        <v>0</v>
      </c>
      <c r="L1615" s="4">
        <f>J1615+K1615</f>
        <v>0</v>
      </c>
      <c r="M1615" s="4" t="s">
        <v>370</v>
      </c>
      <c r="N1615" s="4"/>
      <c r="O1615" s="4">
        <v>1</v>
      </c>
      <c r="P1615" s="4" t="s">
        <v>135</v>
      </c>
      <c r="Q1615" s="4"/>
      <c r="R1615" s="7">
        <v>6000000</v>
      </c>
      <c r="S1615" s="7">
        <v>0</v>
      </c>
      <c r="T1615" s="7">
        <f>R1615-S1615</f>
        <v>0</v>
      </c>
      <c r="U1615" s="7">
        <f>T1615*O1615</f>
        <v>0</v>
      </c>
    </row>
    <row r="1616" spans="1:21">
      <c r="A1616" s="4" t="s">
        <v>2279</v>
      </c>
      <c r="B1616" s="4" t="s">
        <v>39</v>
      </c>
      <c r="C1616" s="5">
        <v>45945.186875</v>
      </c>
      <c r="D1616" s="5">
        <v>45945</v>
      </c>
      <c r="E1616" s="6">
        <f>IF(AND(C1616&lt;&gt;"",D1616&lt;&gt;""),D1616-C1616,"")</f>
        <v>0</v>
      </c>
      <c r="F1616" s="4" t="s">
        <v>2280</v>
      </c>
      <c r="G1616" s="4" t="s">
        <v>2281</v>
      </c>
      <c r="H1616" s="4" t="s">
        <v>32</v>
      </c>
      <c r="I1616" s="4" t="s">
        <v>33</v>
      </c>
      <c r="J1616" s="4">
        <v>1</v>
      </c>
      <c r="K1616" s="4">
        <v>0</v>
      </c>
      <c r="L1616" s="4">
        <f>J1616+K1616</f>
        <v>0</v>
      </c>
      <c r="M1616" s="4" t="s">
        <v>80</v>
      </c>
      <c r="N1616" s="4"/>
      <c r="O1616" s="4">
        <v>1</v>
      </c>
      <c r="P1616" s="4" t="s">
        <v>135</v>
      </c>
      <c r="Q1616" s="4"/>
      <c r="R1616" s="7">
        <v>610000</v>
      </c>
      <c r="S1616" s="7">
        <v>0</v>
      </c>
      <c r="T1616" s="7">
        <f>R1616-S1616</f>
        <v>0</v>
      </c>
      <c r="U1616" s="7">
        <f>T1616*O1616</f>
        <v>0</v>
      </c>
    </row>
    <row r="1617" spans="1:21">
      <c r="A1617" s="4" t="s">
        <v>2282</v>
      </c>
      <c r="B1617" s="4" t="s">
        <v>39</v>
      </c>
      <c r="C1617" s="5">
        <v>45945.19876157407</v>
      </c>
      <c r="D1617" s="5">
        <v>45945</v>
      </c>
      <c r="E1617" s="6">
        <f>IF(AND(C1617&lt;&gt;"",D1617&lt;&gt;""),D1617-C1617,"")</f>
        <v>0</v>
      </c>
      <c r="F1617" s="4" t="s">
        <v>2283</v>
      </c>
      <c r="G1617" s="4" t="s">
        <v>2284</v>
      </c>
      <c r="H1617" s="4" t="s">
        <v>32</v>
      </c>
      <c r="I1617" s="4" t="s">
        <v>33</v>
      </c>
      <c r="J1617" s="4">
        <v>1</v>
      </c>
      <c r="K1617" s="4">
        <v>0</v>
      </c>
      <c r="L1617" s="4">
        <f>J1617+K1617</f>
        <v>0</v>
      </c>
      <c r="M1617" s="4" t="s">
        <v>80</v>
      </c>
      <c r="N1617" s="4"/>
      <c r="O1617" s="4">
        <v>1</v>
      </c>
      <c r="P1617" s="4" t="s">
        <v>43</v>
      </c>
      <c r="Q1617" s="4"/>
      <c r="R1617" s="7">
        <v>610000</v>
      </c>
      <c r="S1617" s="7">
        <v>0</v>
      </c>
      <c r="T1617" s="7">
        <f>R1617-S1617</f>
        <v>0</v>
      </c>
      <c r="U1617" s="7">
        <f>T1617*O1617</f>
        <v>0</v>
      </c>
    </row>
    <row r="1618" spans="1:21">
      <c r="A1618" s="4" t="s">
        <v>2282</v>
      </c>
      <c r="B1618" s="4" t="s">
        <v>39</v>
      </c>
      <c r="C1618" s="5">
        <v>45945.19876157407</v>
      </c>
      <c r="D1618" s="5">
        <v>45945</v>
      </c>
      <c r="E1618" s="6">
        <f>IF(AND(C1618&lt;&gt;"",D1618&lt;&gt;""),D1618-C1618,"")</f>
        <v>0</v>
      </c>
      <c r="F1618" s="4" t="s">
        <v>2283</v>
      </c>
      <c r="G1618" s="4" t="s">
        <v>2284</v>
      </c>
      <c r="H1618" s="4" t="s">
        <v>32</v>
      </c>
      <c r="I1618" s="4" t="s">
        <v>33</v>
      </c>
      <c r="J1618" s="4">
        <v>1</v>
      </c>
      <c r="K1618" s="4">
        <v>0</v>
      </c>
      <c r="L1618" s="4">
        <f>J1618+K1618</f>
        <v>0</v>
      </c>
      <c r="M1618" s="4" t="s">
        <v>80</v>
      </c>
      <c r="N1618" s="4"/>
      <c r="O1618" s="4">
        <v>1</v>
      </c>
      <c r="P1618" s="4" t="s">
        <v>43</v>
      </c>
      <c r="Q1618" s="4"/>
      <c r="R1618" s="7">
        <v>610000</v>
      </c>
      <c r="S1618" s="7">
        <v>0</v>
      </c>
      <c r="T1618" s="7">
        <f>R1618-S1618</f>
        <v>0</v>
      </c>
      <c r="U1618" s="7">
        <f>T1618*O1618</f>
        <v>0</v>
      </c>
    </row>
    <row r="1619" spans="1:21">
      <c r="A1619" s="4" t="s">
        <v>2282</v>
      </c>
      <c r="B1619" s="4" t="s">
        <v>39</v>
      </c>
      <c r="C1619" s="5">
        <v>45945.19876157407</v>
      </c>
      <c r="D1619" s="5">
        <v>45945</v>
      </c>
      <c r="E1619" s="6">
        <f>IF(AND(C1619&lt;&gt;"",D1619&lt;&gt;""),D1619-C1619,"")</f>
        <v>0</v>
      </c>
      <c r="F1619" s="4" t="s">
        <v>2283</v>
      </c>
      <c r="G1619" s="4" t="s">
        <v>2284</v>
      </c>
      <c r="H1619" s="4" t="s">
        <v>32</v>
      </c>
      <c r="I1619" s="4" t="s">
        <v>33</v>
      </c>
      <c r="J1619" s="4">
        <v>0</v>
      </c>
      <c r="K1619" s="4">
        <v>0</v>
      </c>
      <c r="L1619" s="4">
        <f>J1619+K1619</f>
        <v>0</v>
      </c>
      <c r="M1619" s="4" t="s">
        <v>370</v>
      </c>
      <c r="N1619" s="4"/>
      <c r="O1619" s="4">
        <v>1</v>
      </c>
      <c r="P1619" s="4" t="s">
        <v>43</v>
      </c>
      <c r="Q1619" s="4"/>
      <c r="R1619" s="7">
        <v>5000000</v>
      </c>
      <c r="S1619" s="7">
        <v>0</v>
      </c>
      <c r="T1619" s="7">
        <f>R1619-S1619</f>
        <v>0</v>
      </c>
      <c r="U1619" s="7">
        <f>T1619*O1619</f>
        <v>0</v>
      </c>
    </row>
    <row r="1620" spans="1:21">
      <c r="A1620" s="4" t="s">
        <v>2282</v>
      </c>
      <c r="B1620" s="4" t="s">
        <v>39</v>
      </c>
      <c r="C1620" s="5">
        <v>45945.19876157407</v>
      </c>
      <c r="D1620" s="5">
        <v>45945</v>
      </c>
      <c r="E1620" s="6">
        <f>IF(AND(C1620&lt;&gt;"",D1620&lt;&gt;""),D1620-C1620,"")</f>
        <v>0</v>
      </c>
      <c r="F1620" s="4" t="s">
        <v>2283</v>
      </c>
      <c r="G1620" s="4" t="s">
        <v>2284</v>
      </c>
      <c r="H1620" s="4" t="s">
        <v>32</v>
      </c>
      <c r="I1620" s="4" t="s">
        <v>33</v>
      </c>
      <c r="J1620" s="4">
        <v>0</v>
      </c>
      <c r="K1620" s="4">
        <v>0</v>
      </c>
      <c r="L1620" s="4">
        <f>J1620+K1620</f>
        <v>0</v>
      </c>
      <c r="M1620" s="4" t="s">
        <v>609</v>
      </c>
      <c r="N1620" s="4"/>
      <c r="O1620" s="4">
        <v>1</v>
      </c>
      <c r="P1620" s="4" t="s">
        <v>43</v>
      </c>
      <c r="Q1620" s="4"/>
      <c r="R1620" s="7">
        <v>30000</v>
      </c>
      <c r="S1620" s="7">
        <v>0</v>
      </c>
      <c r="T1620" s="7">
        <f>R1620-S1620</f>
        <v>0</v>
      </c>
      <c r="U1620" s="7">
        <f>T1620*O1620</f>
        <v>0</v>
      </c>
    </row>
    <row r="1621" spans="1:21">
      <c r="A1621" s="4" t="s">
        <v>2282</v>
      </c>
      <c r="B1621" s="4" t="s">
        <v>39</v>
      </c>
      <c r="C1621" s="5">
        <v>45945.19876157407</v>
      </c>
      <c r="D1621" s="5">
        <v>45945</v>
      </c>
      <c r="E1621" s="6">
        <f>IF(AND(C1621&lt;&gt;"",D1621&lt;&gt;""),D1621-C1621,"")</f>
        <v>0</v>
      </c>
      <c r="F1621" s="4" t="s">
        <v>2283</v>
      </c>
      <c r="G1621" s="4" t="s">
        <v>2284</v>
      </c>
      <c r="H1621" s="4" t="s">
        <v>32</v>
      </c>
      <c r="I1621" s="4" t="s">
        <v>33</v>
      </c>
      <c r="J1621" s="4">
        <v>0</v>
      </c>
      <c r="K1621" s="4">
        <v>0</v>
      </c>
      <c r="L1621" s="4">
        <f>J1621+K1621</f>
        <v>0</v>
      </c>
      <c r="M1621" s="4" t="s">
        <v>247</v>
      </c>
      <c r="N1621" s="4"/>
      <c r="O1621" s="4">
        <v>1</v>
      </c>
      <c r="P1621" s="4" t="s">
        <v>43</v>
      </c>
      <c r="Q1621" s="4"/>
      <c r="R1621" s="7">
        <v>55000</v>
      </c>
      <c r="S1621" s="7">
        <v>0</v>
      </c>
      <c r="T1621" s="7">
        <f>R1621-S1621</f>
        <v>0</v>
      </c>
      <c r="U1621" s="7">
        <f>T1621*O1621</f>
        <v>0</v>
      </c>
    </row>
    <row r="1622" spans="1:21">
      <c r="A1622" s="4" t="s">
        <v>2285</v>
      </c>
      <c r="B1622" s="4" t="s">
        <v>48</v>
      </c>
      <c r="C1622" s="5">
        <v>45945.20887731481</v>
      </c>
      <c r="D1622" s="5">
        <v>45961</v>
      </c>
      <c r="E1622" s="6">
        <f>IF(AND(C1622&lt;&gt;"",D1622&lt;&gt;""),D1622-C1622,"")</f>
        <v>0</v>
      </c>
      <c r="F1622" s="4" t="s">
        <v>64</v>
      </c>
      <c r="G1622" s="4" t="s">
        <v>2286</v>
      </c>
      <c r="H1622" s="4" t="s">
        <v>32</v>
      </c>
      <c r="I1622" s="4" t="s">
        <v>33</v>
      </c>
      <c r="J1622" s="4">
        <v>3</v>
      </c>
      <c r="K1622" s="4">
        <v>0</v>
      </c>
      <c r="L1622" s="4">
        <f>J1622+K1622</f>
        <v>0</v>
      </c>
      <c r="M1622" s="4"/>
      <c r="N1622" s="4"/>
      <c r="O1622" s="4">
        <v>0</v>
      </c>
      <c r="P1622" s="4"/>
      <c r="Q1622" s="4"/>
      <c r="R1622" s="7">
        <v>0</v>
      </c>
      <c r="S1622" s="7">
        <v>0</v>
      </c>
      <c r="T1622" s="7">
        <f>R1622-S1622</f>
        <v>0</v>
      </c>
      <c r="U1622" s="7">
        <f>T1622*O1622</f>
        <v>0</v>
      </c>
    </row>
    <row r="1623" spans="1:21">
      <c r="A1623" s="4" t="s">
        <v>2287</v>
      </c>
      <c r="B1623" s="4" t="s">
        <v>48</v>
      </c>
      <c r="C1623" s="5">
        <v>45945.26173611111</v>
      </c>
      <c r="D1623" s="5">
        <v>45961</v>
      </c>
      <c r="E1623" s="6">
        <f>IF(AND(C1623&lt;&gt;"",D1623&lt;&gt;""),D1623-C1623,"")</f>
        <v>0</v>
      </c>
      <c r="F1623" s="4" t="s">
        <v>372</v>
      </c>
      <c r="G1623" s="4" t="s">
        <v>373</v>
      </c>
      <c r="H1623" s="4" t="s">
        <v>32</v>
      </c>
      <c r="I1623" s="4" t="s">
        <v>33</v>
      </c>
      <c r="J1623" s="4">
        <v>7</v>
      </c>
      <c r="K1623" s="4">
        <v>3</v>
      </c>
      <c r="L1623" s="4">
        <f>J1623+K1623</f>
        <v>0</v>
      </c>
      <c r="M1623" s="4"/>
      <c r="N1623" s="4"/>
      <c r="O1623" s="4">
        <v>0</v>
      </c>
      <c r="P1623" s="4"/>
      <c r="Q1623" s="4"/>
      <c r="R1623" s="7">
        <v>0</v>
      </c>
      <c r="S1623" s="7">
        <v>0</v>
      </c>
      <c r="T1623" s="7">
        <f>R1623-S1623</f>
        <v>0</v>
      </c>
      <c r="U1623" s="7">
        <f>T1623*O1623</f>
        <v>0</v>
      </c>
    </row>
    <row r="1624" spans="1:21">
      <c r="A1624" s="4" t="s">
        <v>2288</v>
      </c>
      <c r="B1624" s="4" t="s">
        <v>39</v>
      </c>
      <c r="C1624" s="5">
        <v>45945.26671296296</v>
      </c>
      <c r="D1624" s="5">
        <v>45945</v>
      </c>
      <c r="E1624" s="6">
        <f>IF(AND(C1624&lt;&gt;"",D1624&lt;&gt;""),D1624-C1624,"")</f>
        <v>0</v>
      </c>
      <c r="F1624" s="4" t="s">
        <v>2289</v>
      </c>
      <c r="G1624" s="4" t="s">
        <v>2290</v>
      </c>
      <c r="H1624" s="4" t="s">
        <v>190</v>
      </c>
      <c r="I1624" s="4" t="s">
        <v>56</v>
      </c>
      <c r="J1624" s="4">
        <v>0</v>
      </c>
      <c r="K1624" s="4">
        <v>0</v>
      </c>
      <c r="L1624" s="4">
        <f>J1624+K1624</f>
        <v>0</v>
      </c>
      <c r="M1624" s="4" t="s">
        <v>370</v>
      </c>
      <c r="N1624" s="4"/>
      <c r="O1624" s="4">
        <v>1</v>
      </c>
      <c r="P1624" s="4" t="s">
        <v>135</v>
      </c>
      <c r="Q1624" s="4" t="s">
        <v>44</v>
      </c>
      <c r="R1624" s="7">
        <v>500000</v>
      </c>
      <c r="S1624" s="7">
        <v>0</v>
      </c>
      <c r="T1624" s="7">
        <f>R1624-S1624</f>
        <v>0</v>
      </c>
      <c r="U1624" s="7">
        <f>T1624*O1624</f>
        <v>0</v>
      </c>
    </row>
    <row r="1625" spans="1:21">
      <c r="A1625" s="4" t="s">
        <v>2288</v>
      </c>
      <c r="B1625" s="4" t="s">
        <v>39</v>
      </c>
      <c r="C1625" s="5">
        <v>45945.26671296296</v>
      </c>
      <c r="D1625" s="5">
        <v>45945</v>
      </c>
      <c r="E1625" s="6">
        <f>IF(AND(C1625&lt;&gt;"",D1625&lt;&gt;""),D1625-C1625,"")</f>
        <v>0</v>
      </c>
      <c r="F1625" s="4" t="s">
        <v>2289</v>
      </c>
      <c r="G1625" s="4" t="s">
        <v>2290</v>
      </c>
      <c r="H1625" s="4" t="s">
        <v>190</v>
      </c>
      <c r="I1625" s="4" t="s">
        <v>56</v>
      </c>
      <c r="J1625" s="4">
        <v>1</v>
      </c>
      <c r="K1625" s="4">
        <v>0</v>
      </c>
      <c r="L1625" s="4">
        <f>J1625+K1625</f>
        <v>0</v>
      </c>
      <c r="M1625" s="4" t="s">
        <v>2291</v>
      </c>
      <c r="N1625" s="4"/>
      <c r="O1625" s="4">
        <v>1</v>
      </c>
      <c r="P1625" s="4" t="s">
        <v>135</v>
      </c>
      <c r="Q1625" s="4" t="s">
        <v>44</v>
      </c>
      <c r="R1625" s="7">
        <v>1300000</v>
      </c>
      <c r="S1625" s="7">
        <v>0</v>
      </c>
      <c r="T1625" s="7">
        <f>R1625-S1625</f>
        <v>0</v>
      </c>
      <c r="U1625" s="7">
        <f>T1625*O1625</f>
        <v>0</v>
      </c>
    </row>
    <row r="1626" spans="1:21">
      <c r="A1626" s="4" t="s">
        <v>2292</v>
      </c>
      <c r="B1626" s="4" t="s">
        <v>39</v>
      </c>
      <c r="C1626" s="5">
        <v>45945.27</v>
      </c>
      <c r="D1626" s="5">
        <v>45945</v>
      </c>
      <c r="E1626" s="6">
        <f>IF(AND(C1626&lt;&gt;"",D1626&lt;&gt;""),D1626-C1626,"")</f>
        <v>0</v>
      </c>
      <c r="F1626" s="4" t="s">
        <v>2293</v>
      </c>
      <c r="G1626" s="4" t="s">
        <v>2294</v>
      </c>
      <c r="H1626" s="4" t="s">
        <v>32</v>
      </c>
      <c r="I1626" s="4" t="s">
        <v>33</v>
      </c>
      <c r="J1626" s="4">
        <v>2</v>
      </c>
      <c r="K1626" s="4">
        <v>0</v>
      </c>
      <c r="L1626" s="4">
        <f>J1626+K1626</f>
        <v>0</v>
      </c>
      <c r="M1626" s="4" t="s">
        <v>42</v>
      </c>
      <c r="N1626" s="4"/>
      <c r="O1626" s="4">
        <v>2</v>
      </c>
      <c r="P1626" s="4" t="s">
        <v>135</v>
      </c>
      <c r="Q1626" s="4" t="s">
        <v>44</v>
      </c>
      <c r="R1626" s="7">
        <v>370000</v>
      </c>
      <c r="S1626" s="7">
        <v>37000</v>
      </c>
      <c r="T1626" s="7">
        <f>R1626-S1626</f>
        <v>0</v>
      </c>
      <c r="U1626" s="7">
        <f>T1626*O1626</f>
        <v>0</v>
      </c>
    </row>
    <row r="1627" spans="1:21">
      <c r="A1627" s="4" t="s">
        <v>2292</v>
      </c>
      <c r="B1627" s="4" t="s">
        <v>39</v>
      </c>
      <c r="C1627" s="5">
        <v>45945.27</v>
      </c>
      <c r="D1627" s="5">
        <v>45945</v>
      </c>
      <c r="E1627" s="6">
        <f>IF(AND(C1627&lt;&gt;"",D1627&lt;&gt;""),D1627-C1627,"")</f>
        <v>0</v>
      </c>
      <c r="F1627" s="4" t="s">
        <v>2293</v>
      </c>
      <c r="G1627" s="4" t="s">
        <v>2294</v>
      </c>
      <c r="H1627" s="4" t="s">
        <v>32</v>
      </c>
      <c r="I1627" s="4" t="s">
        <v>33</v>
      </c>
      <c r="J1627" s="4">
        <v>0</v>
      </c>
      <c r="K1627" s="4">
        <v>1</v>
      </c>
      <c r="L1627" s="4">
        <f>J1627+K1627</f>
        <v>0</v>
      </c>
      <c r="M1627" s="4" t="s">
        <v>46</v>
      </c>
      <c r="N1627" s="4"/>
      <c r="O1627" s="4">
        <v>1</v>
      </c>
      <c r="P1627" s="4" t="s">
        <v>135</v>
      </c>
      <c r="Q1627" s="4" t="s">
        <v>44</v>
      </c>
      <c r="R1627" s="7">
        <v>325000</v>
      </c>
      <c r="S1627" s="7">
        <v>32500</v>
      </c>
      <c r="T1627" s="7">
        <f>R1627-S1627</f>
        <v>0</v>
      </c>
      <c r="U1627" s="7">
        <f>T1627*O1627</f>
        <v>0</v>
      </c>
    </row>
    <row r="1628" spans="1:21">
      <c r="A1628" s="4" t="s">
        <v>2295</v>
      </c>
      <c r="B1628" s="4" t="s">
        <v>39</v>
      </c>
      <c r="C1628" s="5">
        <v>45945.27292824074</v>
      </c>
      <c r="D1628" s="5">
        <v>45945</v>
      </c>
      <c r="E1628" s="6">
        <f>IF(AND(C1628&lt;&gt;"",D1628&lt;&gt;""),D1628-C1628,"")</f>
        <v>0</v>
      </c>
      <c r="F1628" s="4" t="s">
        <v>2296</v>
      </c>
      <c r="G1628" s="4" t="s">
        <v>2297</v>
      </c>
      <c r="H1628" s="4" t="s">
        <v>32</v>
      </c>
      <c r="I1628" s="4" t="s">
        <v>33</v>
      </c>
      <c r="J1628" s="4">
        <v>2</v>
      </c>
      <c r="K1628" s="4">
        <v>0</v>
      </c>
      <c r="L1628" s="4">
        <f>J1628+K1628</f>
        <v>0</v>
      </c>
      <c r="M1628" s="4" t="s">
        <v>42</v>
      </c>
      <c r="N1628" s="4"/>
      <c r="O1628" s="4">
        <v>2</v>
      </c>
      <c r="P1628" s="4" t="s">
        <v>135</v>
      </c>
      <c r="Q1628" s="4" t="s">
        <v>44</v>
      </c>
      <c r="R1628" s="7">
        <v>370000</v>
      </c>
      <c r="S1628" s="7">
        <v>370000</v>
      </c>
      <c r="T1628" s="7">
        <f>R1628-S1628</f>
        <v>0</v>
      </c>
      <c r="U1628" s="7">
        <f>T1628*O1628</f>
        <v>0</v>
      </c>
    </row>
    <row r="1629" spans="1:21">
      <c r="A1629" s="4" t="s">
        <v>2298</v>
      </c>
      <c r="B1629" s="4" t="s">
        <v>39</v>
      </c>
      <c r="C1629" s="5">
        <v>45945.27517361111</v>
      </c>
      <c r="D1629" s="5">
        <v>45945</v>
      </c>
      <c r="E1629" s="6">
        <f>IF(AND(C1629&lt;&gt;"",D1629&lt;&gt;""),D1629-C1629,"")</f>
        <v>0</v>
      </c>
      <c r="F1629" s="4" t="s">
        <v>2299</v>
      </c>
      <c r="G1629" s="4" t="s">
        <v>2300</v>
      </c>
      <c r="H1629" s="4" t="s">
        <v>190</v>
      </c>
      <c r="I1629" s="4" t="s">
        <v>56</v>
      </c>
      <c r="J1629" s="4">
        <v>0</v>
      </c>
      <c r="K1629" s="4">
        <v>0</v>
      </c>
      <c r="L1629" s="4">
        <f>J1629+K1629</f>
        <v>0</v>
      </c>
      <c r="M1629" s="4" t="s">
        <v>370</v>
      </c>
      <c r="N1629" s="4"/>
      <c r="O1629" s="4">
        <v>1</v>
      </c>
      <c r="P1629" s="4" t="s">
        <v>135</v>
      </c>
      <c r="Q1629" s="4" t="s">
        <v>44</v>
      </c>
      <c r="R1629" s="7">
        <v>1000000</v>
      </c>
      <c r="S1629" s="7">
        <v>0</v>
      </c>
      <c r="T1629" s="7">
        <f>R1629-S1629</f>
        <v>0</v>
      </c>
      <c r="U1629" s="7">
        <f>T1629*O1629</f>
        <v>0</v>
      </c>
    </row>
    <row r="1630" spans="1:21">
      <c r="A1630" s="4" t="s">
        <v>2298</v>
      </c>
      <c r="B1630" s="4" t="s">
        <v>39</v>
      </c>
      <c r="C1630" s="5">
        <v>45945.27517361111</v>
      </c>
      <c r="D1630" s="5">
        <v>45945</v>
      </c>
      <c r="E1630" s="6">
        <f>IF(AND(C1630&lt;&gt;"",D1630&lt;&gt;""),D1630-C1630,"")</f>
        <v>0</v>
      </c>
      <c r="F1630" s="4" t="s">
        <v>2299</v>
      </c>
      <c r="G1630" s="4" t="s">
        <v>2300</v>
      </c>
      <c r="H1630" s="4" t="s">
        <v>190</v>
      </c>
      <c r="I1630" s="4" t="s">
        <v>56</v>
      </c>
      <c r="J1630" s="4">
        <v>1</v>
      </c>
      <c r="K1630" s="4">
        <v>0</v>
      </c>
      <c r="L1630" s="4">
        <f>J1630+K1630</f>
        <v>0</v>
      </c>
      <c r="M1630" s="4" t="s">
        <v>976</v>
      </c>
      <c r="N1630" s="4"/>
      <c r="O1630" s="4">
        <v>1</v>
      </c>
      <c r="P1630" s="4" t="s">
        <v>135</v>
      </c>
      <c r="Q1630" s="4" t="s">
        <v>44</v>
      </c>
      <c r="R1630" s="7">
        <v>1500000</v>
      </c>
      <c r="S1630" s="7">
        <v>0</v>
      </c>
      <c r="T1630" s="7">
        <f>R1630-S1630</f>
        <v>0</v>
      </c>
      <c r="U1630" s="7">
        <f>T1630*O1630</f>
        <v>0</v>
      </c>
    </row>
    <row r="1631" spans="1:21">
      <c r="A1631" s="4" t="s">
        <v>2301</v>
      </c>
      <c r="B1631" s="4" t="s">
        <v>39</v>
      </c>
      <c r="C1631" s="5">
        <v>45945.27730324074</v>
      </c>
      <c r="D1631" s="5">
        <v>45945</v>
      </c>
      <c r="E1631" s="6">
        <f>IF(AND(C1631&lt;&gt;"",D1631&lt;&gt;""),D1631-C1631,"")</f>
        <v>0</v>
      </c>
      <c r="F1631" s="4" t="s">
        <v>2302</v>
      </c>
      <c r="G1631" s="4" t="s">
        <v>2303</v>
      </c>
      <c r="H1631" s="4" t="s">
        <v>190</v>
      </c>
      <c r="I1631" s="4" t="s">
        <v>56</v>
      </c>
      <c r="J1631" s="4">
        <v>1</v>
      </c>
      <c r="K1631" s="4">
        <v>0</v>
      </c>
      <c r="L1631" s="4">
        <f>J1631+K1631</f>
        <v>0</v>
      </c>
      <c r="M1631" s="4" t="s">
        <v>976</v>
      </c>
      <c r="N1631" s="4"/>
      <c r="O1631" s="4">
        <v>1</v>
      </c>
      <c r="P1631" s="4" t="s">
        <v>135</v>
      </c>
      <c r="Q1631" s="4" t="s">
        <v>44</v>
      </c>
      <c r="R1631" s="7">
        <v>1500000</v>
      </c>
      <c r="S1631" s="7">
        <v>0</v>
      </c>
      <c r="T1631" s="7">
        <f>R1631-S1631</f>
        <v>0</v>
      </c>
      <c r="U1631" s="7">
        <f>T1631*O1631</f>
        <v>0</v>
      </c>
    </row>
    <row r="1632" spans="1:21">
      <c r="A1632" s="4" t="s">
        <v>2301</v>
      </c>
      <c r="B1632" s="4" t="s">
        <v>39</v>
      </c>
      <c r="C1632" s="5">
        <v>45945.27730324074</v>
      </c>
      <c r="D1632" s="5">
        <v>45945</v>
      </c>
      <c r="E1632" s="6">
        <f>IF(AND(C1632&lt;&gt;"",D1632&lt;&gt;""),D1632-C1632,"")</f>
        <v>0</v>
      </c>
      <c r="F1632" s="4" t="s">
        <v>2302</v>
      </c>
      <c r="G1632" s="4" t="s">
        <v>2303</v>
      </c>
      <c r="H1632" s="4" t="s">
        <v>190</v>
      </c>
      <c r="I1632" s="4" t="s">
        <v>56</v>
      </c>
      <c r="J1632" s="4">
        <v>0</v>
      </c>
      <c r="K1632" s="4">
        <v>0</v>
      </c>
      <c r="L1632" s="4">
        <f>J1632+K1632</f>
        <v>0</v>
      </c>
      <c r="M1632" s="4" t="s">
        <v>370</v>
      </c>
      <c r="N1632" s="4"/>
      <c r="O1632" s="4">
        <v>1</v>
      </c>
      <c r="P1632" s="4" t="s">
        <v>135</v>
      </c>
      <c r="Q1632" s="4" t="s">
        <v>44</v>
      </c>
      <c r="R1632" s="7">
        <v>1000000</v>
      </c>
      <c r="S1632" s="7">
        <v>0</v>
      </c>
      <c r="T1632" s="7">
        <f>R1632-S1632</f>
        <v>0</v>
      </c>
      <c r="U1632" s="7">
        <f>T1632*O1632</f>
        <v>0</v>
      </c>
    </row>
    <row r="1633" spans="1:21">
      <c r="A1633" s="4" t="s">
        <v>2304</v>
      </c>
      <c r="B1633" s="4" t="s">
        <v>48</v>
      </c>
      <c r="C1633" s="5">
        <v>45945.28940972222</v>
      </c>
      <c r="D1633" s="5">
        <v>45961</v>
      </c>
      <c r="E1633" s="6">
        <f>IF(AND(C1633&lt;&gt;"",D1633&lt;&gt;""),D1633-C1633,"")</f>
        <v>0</v>
      </c>
      <c r="F1633" s="4" t="s">
        <v>399</v>
      </c>
      <c r="G1633" s="4" t="s">
        <v>400</v>
      </c>
      <c r="H1633" s="4" t="s">
        <v>32</v>
      </c>
      <c r="I1633" s="4" t="s">
        <v>33</v>
      </c>
      <c r="J1633" s="4">
        <v>6</v>
      </c>
      <c r="K1633" s="4">
        <v>0</v>
      </c>
      <c r="L1633" s="4">
        <f>J1633+K1633</f>
        <v>0</v>
      </c>
      <c r="M1633" s="4"/>
      <c r="N1633" s="4"/>
      <c r="O1633" s="4">
        <v>0</v>
      </c>
      <c r="P1633" s="4"/>
      <c r="Q1633" s="4"/>
      <c r="R1633" s="7">
        <v>0</v>
      </c>
      <c r="S1633" s="7">
        <v>0</v>
      </c>
      <c r="T1633" s="7">
        <f>R1633-S1633</f>
        <v>0</v>
      </c>
      <c r="U1633" s="7">
        <f>T1633*O1633</f>
        <v>0</v>
      </c>
    </row>
    <row r="1634" spans="1:21">
      <c r="A1634" s="4" t="s">
        <v>2305</v>
      </c>
      <c r="B1634" s="4" t="s">
        <v>48</v>
      </c>
      <c r="C1634" s="5">
        <v>45945.29273148148</v>
      </c>
      <c r="D1634" s="5">
        <v>45961</v>
      </c>
      <c r="E1634" s="6">
        <f>IF(AND(C1634&lt;&gt;"",D1634&lt;&gt;""),D1634-C1634,"")</f>
        <v>0</v>
      </c>
      <c r="F1634" s="4" t="s">
        <v>64</v>
      </c>
      <c r="G1634" s="4" t="s">
        <v>2306</v>
      </c>
      <c r="H1634" s="4" t="s">
        <v>32</v>
      </c>
      <c r="I1634" s="4" t="s">
        <v>33</v>
      </c>
      <c r="J1634" s="4">
        <v>2</v>
      </c>
      <c r="K1634" s="4">
        <v>0</v>
      </c>
      <c r="L1634" s="4">
        <f>J1634+K1634</f>
        <v>0</v>
      </c>
      <c r="M1634" s="4"/>
      <c r="N1634" s="4"/>
      <c r="O1634" s="4">
        <v>0</v>
      </c>
      <c r="P1634" s="4"/>
      <c r="Q1634" s="4"/>
      <c r="R1634" s="7">
        <v>0</v>
      </c>
      <c r="S1634" s="7">
        <v>0</v>
      </c>
      <c r="T1634" s="7">
        <f>R1634-S1634</f>
        <v>0</v>
      </c>
      <c r="U1634" s="7">
        <f>T1634*O1634</f>
        <v>0</v>
      </c>
    </row>
    <row r="1635" spans="1:21">
      <c r="A1635" s="4" t="s">
        <v>2307</v>
      </c>
      <c r="B1635" s="4" t="s">
        <v>48</v>
      </c>
      <c r="C1635" s="5">
        <v>45945.30267361111</v>
      </c>
      <c r="D1635" s="5">
        <v>45961</v>
      </c>
      <c r="E1635" s="6">
        <f>IF(AND(C1635&lt;&gt;"",D1635&lt;&gt;""),D1635-C1635,"")</f>
        <v>0</v>
      </c>
      <c r="F1635" s="4" t="s">
        <v>40</v>
      </c>
      <c r="G1635" s="4" t="s">
        <v>41</v>
      </c>
      <c r="H1635" s="4" t="s">
        <v>32</v>
      </c>
      <c r="I1635" s="4" t="s">
        <v>33</v>
      </c>
      <c r="J1635" s="4">
        <v>5</v>
      </c>
      <c r="K1635" s="4">
        <v>2</v>
      </c>
      <c r="L1635" s="4">
        <f>J1635+K1635</f>
        <v>0</v>
      </c>
      <c r="M1635" s="4"/>
      <c r="N1635" s="4"/>
      <c r="O1635" s="4">
        <v>0</v>
      </c>
      <c r="P1635" s="4"/>
      <c r="Q1635" s="4"/>
      <c r="R1635" s="7">
        <v>0</v>
      </c>
      <c r="S1635" s="7">
        <v>0</v>
      </c>
      <c r="T1635" s="7">
        <f>R1635-S1635</f>
        <v>0</v>
      </c>
      <c r="U1635" s="7">
        <f>T1635*O1635</f>
        <v>0</v>
      </c>
    </row>
    <row r="1636" spans="1:21">
      <c r="A1636" s="4" t="s">
        <v>2308</v>
      </c>
      <c r="B1636" s="4" t="s">
        <v>103</v>
      </c>
      <c r="C1636" s="5">
        <v>45945.32015046296</v>
      </c>
      <c r="D1636" s="5">
        <v>45961</v>
      </c>
      <c r="E1636" s="6">
        <f>IF(AND(C1636&lt;&gt;"",D1636&lt;&gt;""),D1636-C1636,"")</f>
        <v>0</v>
      </c>
      <c r="F1636" s="4" t="s">
        <v>2309</v>
      </c>
      <c r="G1636" s="4" t="s">
        <v>627</v>
      </c>
      <c r="H1636" s="4" t="s">
        <v>2310</v>
      </c>
      <c r="I1636" s="4" t="s">
        <v>56</v>
      </c>
      <c r="J1636" s="4">
        <v>1</v>
      </c>
      <c r="K1636" s="4">
        <v>1</v>
      </c>
      <c r="L1636" s="4">
        <f>J1636+K1636</f>
        <v>0</v>
      </c>
      <c r="M1636" s="4"/>
      <c r="N1636" s="4"/>
      <c r="O1636" s="4">
        <v>0</v>
      </c>
      <c r="P1636" s="4"/>
      <c r="Q1636" s="4"/>
      <c r="R1636" s="7">
        <v>0</v>
      </c>
      <c r="S1636" s="7">
        <v>0</v>
      </c>
      <c r="T1636" s="7">
        <f>R1636-S1636</f>
        <v>0</v>
      </c>
      <c r="U1636" s="7">
        <f>T1636*O1636</f>
        <v>0</v>
      </c>
    </row>
    <row r="1637" spans="1:21">
      <c r="A1637" s="4" t="s">
        <v>2311</v>
      </c>
      <c r="B1637" s="4" t="s">
        <v>103</v>
      </c>
      <c r="C1637" s="5">
        <v>45945.3243287037</v>
      </c>
      <c r="D1637" s="5">
        <v>45961</v>
      </c>
      <c r="E1637" s="6">
        <f>IF(AND(C1637&lt;&gt;"",D1637&lt;&gt;""),D1637-C1637,"")</f>
        <v>0</v>
      </c>
      <c r="F1637" s="4" t="s">
        <v>1343</v>
      </c>
      <c r="G1637" s="4" t="s">
        <v>2312</v>
      </c>
      <c r="H1637" s="4" t="s">
        <v>1262</v>
      </c>
      <c r="I1637" s="4" t="s">
        <v>56</v>
      </c>
      <c r="J1637" s="4">
        <v>2</v>
      </c>
      <c r="K1637" s="4">
        <v>0</v>
      </c>
      <c r="L1637" s="4">
        <f>J1637+K1637</f>
        <v>0</v>
      </c>
      <c r="M1637" s="4"/>
      <c r="N1637" s="4"/>
      <c r="O1637" s="4">
        <v>0</v>
      </c>
      <c r="P1637" s="4"/>
      <c r="Q1637" s="4"/>
      <c r="R1637" s="7">
        <v>0</v>
      </c>
      <c r="S1637" s="7">
        <v>0</v>
      </c>
      <c r="T1637" s="7">
        <f>R1637-S1637</f>
        <v>0</v>
      </c>
      <c r="U1637" s="7">
        <f>T1637*O1637</f>
        <v>0</v>
      </c>
    </row>
    <row r="1638" spans="1:21">
      <c r="A1638" s="4" t="s">
        <v>2313</v>
      </c>
      <c r="B1638" s="4" t="s">
        <v>39</v>
      </c>
      <c r="C1638" s="5">
        <v>45945.34277777778</v>
      </c>
      <c r="D1638" s="5">
        <v>45945</v>
      </c>
      <c r="E1638" s="6">
        <f>IF(AND(C1638&lt;&gt;"",D1638&lt;&gt;""),D1638-C1638,"")</f>
        <v>0</v>
      </c>
      <c r="F1638" s="4" t="s">
        <v>2314</v>
      </c>
      <c r="G1638" s="4" t="s">
        <v>2315</v>
      </c>
      <c r="H1638" s="4" t="s">
        <v>32</v>
      </c>
      <c r="I1638" s="4" t="s">
        <v>33</v>
      </c>
      <c r="J1638" s="4">
        <v>1</v>
      </c>
      <c r="K1638" s="4">
        <v>0</v>
      </c>
      <c r="L1638" s="4">
        <f>J1638+K1638</f>
        <v>0</v>
      </c>
      <c r="M1638" s="4" t="s">
        <v>80</v>
      </c>
      <c r="N1638" s="4"/>
      <c r="O1638" s="4">
        <v>1</v>
      </c>
      <c r="P1638" s="4" t="s">
        <v>135</v>
      </c>
      <c r="Q1638" s="4"/>
      <c r="R1638" s="7">
        <v>610000</v>
      </c>
      <c r="S1638" s="7">
        <v>0</v>
      </c>
      <c r="T1638" s="7">
        <f>R1638-S1638</f>
        <v>0</v>
      </c>
      <c r="U1638" s="7">
        <f>T1638*O1638</f>
        <v>0</v>
      </c>
    </row>
    <row r="1639" spans="1:21">
      <c r="A1639" s="4" t="s">
        <v>2313</v>
      </c>
      <c r="B1639" s="4" t="s">
        <v>39</v>
      </c>
      <c r="C1639" s="5">
        <v>45945.34277777778</v>
      </c>
      <c r="D1639" s="5">
        <v>45945</v>
      </c>
      <c r="E1639" s="6">
        <f>IF(AND(C1639&lt;&gt;"",D1639&lt;&gt;""),D1639-C1639,"")</f>
        <v>0</v>
      </c>
      <c r="F1639" s="4" t="s">
        <v>2314</v>
      </c>
      <c r="G1639" s="4" t="s">
        <v>2315</v>
      </c>
      <c r="H1639" s="4" t="s">
        <v>32</v>
      </c>
      <c r="I1639" s="4" t="s">
        <v>33</v>
      </c>
      <c r="J1639" s="4">
        <v>0</v>
      </c>
      <c r="K1639" s="4">
        <v>0</v>
      </c>
      <c r="L1639" s="4">
        <f>J1639+K1639</f>
        <v>0</v>
      </c>
      <c r="M1639" s="4" t="s">
        <v>370</v>
      </c>
      <c r="N1639" s="4"/>
      <c r="O1639" s="4">
        <v>1</v>
      </c>
      <c r="P1639" s="4" t="s">
        <v>135</v>
      </c>
      <c r="Q1639" s="4"/>
      <c r="R1639" s="7">
        <v>2000000</v>
      </c>
      <c r="S1639" s="7">
        <v>0</v>
      </c>
      <c r="T1639" s="7">
        <f>R1639-S1639</f>
        <v>0</v>
      </c>
      <c r="U1639" s="7">
        <f>T1639*O1639</f>
        <v>0</v>
      </c>
    </row>
    <row r="1640" spans="1:21">
      <c r="A1640" s="4" t="s">
        <v>2316</v>
      </c>
      <c r="B1640" s="4" t="s">
        <v>29</v>
      </c>
      <c r="C1640" s="5">
        <v>45945.34887731481</v>
      </c>
      <c r="D1640" s="5">
        <v>45961</v>
      </c>
      <c r="E1640" s="6">
        <f>IF(AND(C1640&lt;&gt;"",D1640&lt;&gt;""),D1640-C1640,"")</f>
        <v>0</v>
      </c>
      <c r="F1640" s="4" t="s">
        <v>1433</v>
      </c>
      <c r="G1640" s="4" t="s">
        <v>1434</v>
      </c>
      <c r="H1640" s="4" t="s">
        <v>1435</v>
      </c>
      <c r="I1640" s="4" t="s">
        <v>56</v>
      </c>
      <c r="J1640" s="4">
        <v>1</v>
      </c>
      <c r="K1640" s="4">
        <v>0</v>
      </c>
      <c r="L1640" s="4">
        <f>J1640+K1640</f>
        <v>0</v>
      </c>
      <c r="M1640" s="4"/>
      <c r="N1640" s="4"/>
      <c r="O1640" s="4">
        <v>0</v>
      </c>
      <c r="P1640" s="4"/>
      <c r="Q1640" s="4"/>
      <c r="R1640" s="7">
        <v>0</v>
      </c>
      <c r="S1640" s="7">
        <v>0</v>
      </c>
      <c r="T1640" s="7">
        <f>R1640-S1640</f>
        <v>0</v>
      </c>
      <c r="U1640" s="7">
        <f>T1640*O1640</f>
        <v>0</v>
      </c>
    </row>
    <row r="1641" spans="1:21">
      <c r="A1641" s="4" t="s">
        <v>2317</v>
      </c>
      <c r="B1641" s="4" t="s">
        <v>29</v>
      </c>
      <c r="C1641" s="5">
        <v>45945.35252314815</v>
      </c>
      <c r="D1641" s="5">
        <v>45961</v>
      </c>
      <c r="E1641" s="6">
        <f>IF(AND(C1641&lt;&gt;"",D1641&lt;&gt;""),D1641-C1641,"")</f>
        <v>0</v>
      </c>
      <c r="F1641" s="4" t="s">
        <v>1433</v>
      </c>
      <c r="G1641" s="4" t="s">
        <v>1434</v>
      </c>
      <c r="H1641" s="4" t="s">
        <v>1435</v>
      </c>
      <c r="I1641" s="4" t="s">
        <v>56</v>
      </c>
      <c r="J1641" s="4">
        <v>1</v>
      </c>
      <c r="K1641" s="4">
        <v>1</v>
      </c>
      <c r="L1641" s="4">
        <f>J1641+K1641</f>
        <v>0</v>
      </c>
      <c r="M1641" s="4"/>
      <c r="N1641" s="4"/>
      <c r="O1641" s="4">
        <v>0</v>
      </c>
      <c r="P1641" s="4"/>
      <c r="Q1641" s="4"/>
      <c r="R1641" s="7">
        <v>0</v>
      </c>
      <c r="S1641" s="7">
        <v>0</v>
      </c>
      <c r="T1641" s="7">
        <f>R1641-S1641</f>
        <v>0</v>
      </c>
      <c r="U1641" s="7">
        <f>T1641*O1641</f>
        <v>0</v>
      </c>
    </row>
    <row r="1642" spans="1:21">
      <c r="A1642" s="4" t="s">
        <v>2318</v>
      </c>
      <c r="B1642" s="4" t="s">
        <v>29</v>
      </c>
      <c r="C1642" s="5">
        <v>45945.35285879629</v>
      </c>
      <c r="D1642" s="5">
        <v>45961</v>
      </c>
      <c r="E1642" s="6">
        <f>IF(AND(C1642&lt;&gt;"",D1642&lt;&gt;""),D1642-C1642,"")</f>
        <v>0</v>
      </c>
      <c r="F1642" s="4" t="s">
        <v>1433</v>
      </c>
      <c r="G1642" s="4" t="s">
        <v>1434</v>
      </c>
      <c r="H1642" s="4" t="s">
        <v>1435</v>
      </c>
      <c r="I1642" s="4" t="s">
        <v>56</v>
      </c>
      <c r="J1642" s="4">
        <v>1</v>
      </c>
      <c r="K1642" s="4">
        <v>1</v>
      </c>
      <c r="L1642" s="4">
        <f>J1642+K1642</f>
        <v>0</v>
      </c>
      <c r="M1642" s="4"/>
      <c r="N1642" s="4"/>
      <c r="O1642" s="4">
        <v>0</v>
      </c>
      <c r="P1642" s="4"/>
      <c r="Q1642" s="4"/>
      <c r="R1642" s="7">
        <v>0</v>
      </c>
      <c r="S1642" s="7">
        <v>0</v>
      </c>
      <c r="T1642" s="7">
        <f>R1642-S1642</f>
        <v>0</v>
      </c>
      <c r="U1642" s="7">
        <f>T1642*O1642</f>
        <v>0</v>
      </c>
    </row>
    <row r="1643" spans="1:21">
      <c r="A1643" s="4" t="s">
        <v>2319</v>
      </c>
      <c r="B1643" s="4" t="s">
        <v>29</v>
      </c>
      <c r="C1643" s="5">
        <v>45945.35327546296</v>
      </c>
      <c r="D1643" s="5">
        <v>45961</v>
      </c>
      <c r="E1643" s="6">
        <f>IF(AND(C1643&lt;&gt;"",D1643&lt;&gt;""),D1643-C1643,"")</f>
        <v>0</v>
      </c>
      <c r="F1643" s="4" t="s">
        <v>1433</v>
      </c>
      <c r="G1643" s="4" t="s">
        <v>1434</v>
      </c>
      <c r="H1643" s="4" t="s">
        <v>1435</v>
      </c>
      <c r="I1643" s="4" t="s">
        <v>56</v>
      </c>
      <c r="J1643" s="4">
        <v>1</v>
      </c>
      <c r="K1643" s="4">
        <v>1</v>
      </c>
      <c r="L1643" s="4">
        <f>J1643+K1643</f>
        <v>0</v>
      </c>
      <c r="M1643" s="4"/>
      <c r="N1643" s="4"/>
      <c r="O1643" s="4">
        <v>0</v>
      </c>
      <c r="P1643" s="4"/>
      <c r="Q1643" s="4"/>
      <c r="R1643" s="7">
        <v>0</v>
      </c>
      <c r="S1643" s="7">
        <v>0</v>
      </c>
      <c r="T1643" s="7">
        <f>R1643-S1643</f>
        <v>0</v>
      </c>
      <c r="U1643" s="7">
        <f>T1643*O1643</f>
        <v>0</v>
      </c>
    </row>
    <row r="1644" spans="1:21">
      <c r="A1644" s="4" t="s">
        <v>2320</v>
      </c>
      <c r="B1644" s="4" t="s">
        <v>29</v>
      </c>
      <c r="C1644" s="5">
        <v>45945.35376157407</v>
      </c>
      <c r="D1644" s="5">
        <v>45961</v>
      </c>
      <c r="E1644" s="6">
        <f>IF(AND(C1644&lt;&gt;"",D1644&lt;&gt;""),D1644-C1644,"")</f>
        <v>0</v>
      </c>
      <c r="F1644" s="4" t="s">
        <v>1433</v>
      </c>
      <c r="G1644" s="4" t="s">
        <v>1434</v>
      </c>
      <c r="H1644" s="4" t="s">
        <v>1435</v>
      </c>
      <c r="I1644" s="4" t="s">
        <v>56</v>
      </c>
      <c r="J1644" s="4">
        <v>1</v>
      </c>
      <c r="K1644" s="4">
        <v>1</v>
      </c>
      <c r="L1644" s="4">
        <f>J1644+K1644</f>
        <v>0</v>
      </c>
      <c r="M1644" s="4"/>
      <c r="N1644" s="4"/>
      <c r="O1644" s="4">
        <v>0</v>
      </c>
      <c r="P1644" s="4"/>
      <c r="Q1644" s="4"/>
      <c r="R1644" s="7">
        <v>0</v>
      </c>
      <c r="S1644" s="7">
        <v>0</v>
      </c>
      <c r="T1644" s="7">
        <f>R1644-S1644</f>
        <v>0</v>
      </c>
      <c r="U1644" s="7">
        <f>T1644*O1644</f>
        <v>0</v>
      </c>
    </row>
    <row r="1645" spans="1:21">
      <c r="A1645" s="4" t="s">
        <v>2321</v>
      </c>
      <c r="B1645" s="4" t="s">
        <v>29</v>
      </c>
      <c r="C1645" s="5">
        <v>45945.54899305556</v>
      </c>
      <c r="D1645" s="5">
        <v>45961</v>
      </c>
      <c r="E1645" s="6">
        <f>IF(AND(C1645&lt;&gt;"",D1645&lt;&gt;""),D1645-C1645,"")</f>
        <v>0</v>
      </c>
      <c r="F1645" s="4" t="s">
        <v>307</v>
      </c>
      <c r="G1645" s="4" t="s">
        <v>308</v>
      </c>
      <c r="H1645" s="4" t="s">
        <v>190</v>
      </c>
      <c r="I1645" s="4" t="s">
        <v>56</v>
      </c>
      <c r="J1645" s="4">
        <v>1</v>
      </c>
      <c r="K1645" s="4">
        <v>0</v>
      </c>
      <c r="L1645" s="4">
        <f>J1645+K1645</f>
        <v>0</v>
      </c>
      <c r="M1645" s="4"/>
      <c r="N1645" s="4"/>
      <c r="O1645" s="4">
        <v>0</v>
      </c>
      <c r="P1645" s="4"/>
      <c r="Q1645" s="4"/>
      <c r="R1645" s="7">
        <v>0</v>
      </c>
      <c r="S1645" s="7">
        <v>0</v>
      </c>
      <c r="T1645" s="7">
        <f>R1645-S1645</f>
        <v>0</v>
      </c>
      <c r="U1645" s="7">
        <f>T1645*O1645</f>
        <v>0</v>
      </c>
    </row>
    <row r="1646" spans="1:21">
      <c r="A1646" s="4" t="s">
        <v>2322</v>
      </c>
      <c r="B1646" s="4" t="s">
        <v>29</v>
      </c>
      <c r="C1646" s="5">
        <v>45945.54902777778</v>
      </c>
      <c r="D1646" s="5">
        <v>45961</v>
      </c>
      <c r="E1646" s="6">
        <f>IF(AND(C1646&lt;&gt;"",D1646&lt;&gt;""),D1646-C1646,"")</f>
        <v>0</v>
      </c>
      <c r="F1646" s="4" t="s">
        <v>307</v>
      </c>
      <c r="G1646" s="4" t="s">
        <v>308</v>
      </c>
      <c r="H1646" s="4" t="s">
        <v>190</v>
      </c>
      <c r="I1646" s="4" t="s">
        <v>56</v>
      </c>
      <c r="J1646" s="4">
        <v>1</v>
      </c>
      <c r="K1646" s="4">
        <v>0</v>
      </c>
      <c r="L1646" s="4">
        <f>J1646+K1646</f>
        <v>0</v>
      </c>
      <c r="M1646" s="4"/>
      <c r="N1646" s="4"/>
      <c r="O1646" s="4">
        <v>0</v>
      </c>
      <c r="P1646" s="4"/>
      <c r="Q1646" s="4"/>
      <c r="R1646" s="7">
        <v>0</v>
      </c>
      <c r="S1646" s="7">
        <v>0</v>
      </c>
      <c r="T1646" s="7">
        <f>R1646-S1646</f>
        <v>0</v>
      </c>
      <c r="U1646" s="7">
        <f>T1646*O1646</f>
        <v>0</v>
      </c>
    </row>
    <row r="1647" spans="1:21">
      <c r="A1647" s="4" t="s">
        <v>2323</v>
      </c>
      <c r="B1647" s="4" t="s">
        <v>48</v>
      </c>
      <c r="C1647" s="5">
        <v>45945.64509259259</v>
      </c>
      <c r="D1647" s="5">
        <v>45961</v>
      </c>
      <c r="E1647" s="6">
        <f>IF(AND(C1647&lt;&gt;"",D1647&lt;&gt;""),D1647-C1647,"")</f>
        <v>0</v>
      </c>
      <c r="F1647" s="4" t="s">
        <v>772</v>
      </c>
      <c r="G1647" s="4" t="s">
        <v>773</v>
      </c>
      <c r="H1647" s="4"/>
      <c r="I1647" s="4" t="s">
        <v>56</v>
      </c>
      <c r="J1647" s="4">
        <v>2</v>
      </c>
      <c r="K1647" s="4">
        <v>0</v>
      </c>
      <c r="L1647" s="4">
        <f>J1647+K1647</f>
        <v>0</v>
      </c>
      <c r="M1647" s="4"/>
      <c r="N1647" s="4"/>
      <c r="O1647" s="4">
        <v>0</v>
      </c>
      <c r="P1647" s="4"/>
      <c r="Q1647" s="4"/>
      <c r="R1647" s="7">
        <v>0</v>
      </c>
      <c r="S1647" s="7">
        <v>0</v>
      </c>
      <c r="T1647" s="7">
        <f>R1647-S1647</f>
        <v>0</v>
      </c>
      <c r="U1647" s="7">
        <f>T1647*O1647</f>
        <v>0</v>
      </c>
    </row>
    <row r="1648" spans="1:21">
      <c r="A1648" s="4" t="s">
        <v>2324</v>
      </c>
      <c r="B1648" s="4" t="s">
        <v>48</v>
      </c>
      <c r="C1648" s="5">
        <v>45945.99422453704</v>
      </c>
      <c r="D1648" s="5">
        <v>45961</v>
      </c>
      <c r="E1648" s="6">
        <f>IF(AND(C1648&lt;&gt;"",D1648&lt;&gt;""),D1648-C1648,"")</f>
        <v>0</v>
      </c>
      <c r="F1648" s="4" t="s">
        <v>30</v>
      </c>
      <c r="G1648" s="4" t="s">
        <v>31</v>
      </c>
      <c r="H1648" s="4" t="s">
        <v>32</v>
      </c>
      <c r="I1648" s="4" t="s">
        <v>33</v>
      </c>
      <c r="J1648" s="4">
        <v>1</v>
      </c>
      <c r="K1648" s="4">
        <v>0</v>
      </c>
      <c r="L1648" s="4">
        <f>J1648+K1648</f>
        <v>0</v>
      </c>
      <c r="M1648" s="4"/>
      <c r="N1648" s="4"/>
      <c r="O1648" s="4">
        <v>0</v>
      </c>
      <c r="P1648" s="4"/>
      <c r="Q1648" s="4"/>
      <c r="R1648" s="7">
        <v>0</v>
      </c>
      <c r="S1648" s="7">
        <v>0</v>
      </c>
      <c r="T1648" s="7">
        <f>R1648-S1648</f>
        <v>0</v>
      </c>
      <c r="U1648" s="7">
        <f>T1648*O1648</f>
        <v>0</v>
      </c>
    </row>
    <row r="1649" spans="1:21">
      <c r="A1649" s="4" t="s">
        <v>2325</v>
      </c>
      <c r="B1649" s="4" t="s">
        <v>48</v>
      </c>
      <c r="C1649" s="5">
        <v>45945.99496527778</v>
      </c>
      <c r="D1649" s="5">
        <v>45961</v>
      </c>
      <c r="E1649" s="6">
        <f>IF(AND(C1649&lt;&gt;"",D1649&lt;&gt;""),D1649-C1649,"")</f>
        <v>0</v>
      </c>
      <c r="F1649" s="4" t="s">
        <v>64</v>
      </c>
      <c r="G1649" s="4" t="s">
        <v>2326</v>
      </c>
      <c r="H1649" s="4" t="s">
        <v>32</v>
      </c>
      <c r="I1649" s="4" t="s">
        <v>33</v>
      </c>
      <c r="J1649" s="4">
        <v>2</v>
      </c>
      <c r="K1649" s="4">
        <v>0</v>
      </c>
      <c r="L1649" s="4">
        <f>J1649+K1649</f>
        <v>0</v>
      </c>
      <c r="M1649" s="4"/>
      <c r="N1649" s="4"/>
      <c r="O1649" s="4">
        <v>0</v>
      </c>
      <c r="P1649" s="4"/>
      <c r="Q1649" s="4"/>
      <c r="R1649" s="7">
        <v>0</v>
      </c>
      <c r="S1649" s="7">
        <v>0</v>
      </c>
      <c r="T1649" s="7">
        <f>R1649-S1649</f>
        <v>0</v>
      </c>
      <c r="U1649" s="7">
        <f>T1649*O1649</f>
        <v>0</v>
      </c>
    </row>
    <row r="1650" spans="1:21">
      <c r="A1650" s="4" t="s">
        <v>2327</v>
      </c>
      <c r="B1650" s="4" t="s">
        <v>48</v>
      </c>
      <c r="C1650" s="5">
        <v>45945.99900462963</v>
      </c>
      <c r="D1650" s="5">
        <v>45961</v>
      </c>
      <c r="E1650" s="6">
        <f>IF(AND(C1650&lt;&gt;"",D1650&lt;&gt;""),D1650-C1650,"")</f>
        <v>0</v>
      </c>
      <c r="F1650" s="4" t="s">
        <v>64</v>
      </c>
      <c r="G1650" s="4" t="s">
        <v>2328</v>
      </c>
      <c r="H1650" s="4" t="s">
        <v>32</v>
      </c>
      <c r="I1650" s="4" t="s">
        <v>33</v>
      </c>
      <c r="J1650" s="4">
        <v>3</v>
      </c>
      <c r="K1650" s="4">
        <v>0</v>
      </c>
      <c r="L1650" s="4">
        <f>J1650+K1650</f>
        <v>0</v>
      </c>
      <c r="M1650" s="4"/>
      <c r="N1650" s="4"/>
      <c r="O1650" s="4">
        <v>0</v>
      </c>
      <c r="P1650" s="4"/>
      <c r="Q1650" s="4"/>
      <c r="R1650" s="7">
        <v>0</v>
      </c>
      <c r="S1650" s="7">
        <v>0</v>
      </c>
      <c r="T1650" s="7">
        <f>R1650-S1650</f>
        <v>0</v>
      </c>
      <c r="U1650" s="7">
        <f>T1650*O1650</f>
        <v>0</v>
      </c>
    </row>
    <row r="1651" spans="1:21">
      <c r="A1651" s="4" t="s">
        <v>2329</v>
      </c>
      <c r="B1651" s="4" t="s">
        <v>48</v>
      </c>
      <c r="C1651" s="5">
        <v>45946.001875</v>
      </c>
      <c r="D1651" s="5">
        <v>45961</v>
      </c>
      <c r="E1651" s="6">
        <f>IF(AND(C1651&lt;&gt;"",D1651&lt;&gt;""),D1651-C1651,"")</f>
        <v>0</v>
      </c>
      <c r="F1651" s="4" t="s">
        <v>64</v>
      </c>
      <c r="G1651" s="4" t="s">
        <v>2330</v>
      </c>
      <c r="H1651" s="4" t="s">
        <v>32</v>
      </c>
      <c r="I1651" s="4" t="s">
        <v>33</v>
      </c>
      <c r="J1651" s="4">
        <v>3</v>
      </c>
      <c r="K1651" s="4">
        <v>2</v>
      </c>
      <c r="L1651" s="4">
        <f>J1651+K1651</f>
        <v>0</v>
      </c>
      <c r="M1651" s="4"/>
      <c r="N1651" s="4"/>
      <c r="O1651" s="4">
        <v>0</v>
      </c>
      <c r="P1651" s="4"/>
      <c r="Q1651" s="4"/>
      <c r="R1651" s="7">
        <v>0</v>
      </c>
      <c r="S1651" s="7">
        <v>0</v>
      </c>
      <c r="T1651" s="7">
        <f>R1651-S1651</f>
        <v>0</v>
      </c>
      <c r="U1651" s="7">
        <f>T1651*O1651</f>
        <v>0</v>
      </c>
    </row>
    <row r="1652" spans="1:21">
      <c r="A1652" s="4" t="s">
        <v>2331</v>
      </c>
      <c r="B1652" s="4" t="s">
        <v>48</v>
      </c>
      <c r="C1652" s="5">
        <v>45946.00350694444</v>
      </c>
      <c r="D1652" s="5">
        <v>45961</v>
      </c>
      <c r="E1652" s="6">
        <f>IF(AND(C1652&lt;&gt;"",D1652&lt;&gt;""),D1652-C1652,"")</f>
        <v>0</v>
      </c>
      <c r="F1652" s="4" t="s">
        <v>64</v>
      </c>
      <c r="G1652" s="4" t="s">
        <v>2332</v>
      </c>
      <c r="H1652" s="4" t="s">
        <v>32</v>
      </c>
      <c r="I1652" s="4" t="s">
        <v>33</v>
      </c>
      <c r="J1652" s="4">
        <v>3</v>
      </c>
      <c r="K1652" s="4">
        <v>0</v>
      </c>
      <c r="L1652" s="4">
        <f>J1652+K1652</f>
        <v>0</v>
      </c>
      <c r="M1652" s="4"/>
      <c r="N1652" s="4"/>
      <c r="O1652" s="4">
        <v>0</v>
      </c>
      <c r="P1652" s="4"/>
      <c r="Q1652" s="4"/>
      <c r="R1652" s="7">
        <v>0</v>
      </c>
      <c r="S1652" s="7">
        <v>0</v>
      </c>
      <c r="T1652" s="7">
        <f>R1652-S1652</f>
        <v>0</v>
      </c>
      <c r="U1652" s="7">
        <f>T1652*O1652</f>
        <v>0</v>
      </c>
    </row>
    <row r="1653" spans="1:21">
      <c r="A1653" s="4" t="s">
        <v>2333</v>
      </c>
      <c r="B1653" s="4" t="s">
        <v>48</v>
      </c>
      <c r="C1653" s="5">
        <v>45946.00704861111</v>
      </c>
      <c r="D1653" s="5">
        <v>45961</v>
      </c>
      <c r="E1653" s="6">
        <f>IF(AND(C1653&lt;&gt;"",D1653&lt;&gt;""),D1653-C1653,"")</f>
        <v>0</v>
      </c>
      <c r="F1653" s="4" t="s">
        <v>2334</v>
      </c>
      <c r="G1653" s="4" t="s">
        <v>2335</v>
      </c>
      <c r="H1653" s="4" t="s">
        <v>32</v>
      </c>
      <c r="I1653" s="4" t="s">
        <v>33</v>
      </c>
      <c r="J1653" s="4">
        <v>5</v>
      </c>
      <c r="K1653" s="4">
        <v>0</v>
      </c>
      <c r="L1653" s="4">
        <f>J1653+K1653</f>
        <v>0</v>
      </c>
      <c r="M1653" s="4"/>
      <c r="N1653" s="4"/>
      <c r="O1653" s="4">
        <v>0</v>
      </c>
      <c r="P1653" s="4"/>
      <c r="Q1653" s="4"/>
      <c r="R1653" s="7">
        <v>0</v>
      </c>
      <c r="S1653" s="7">
        <v>0</v>
      </c>
      <c r="T1653" s="7">
        <f>R1653-S1653</f>
        <v>0</v>
      </c>
      <c r="U1653" s="7">
        <f>T1653*O1653</f>
        <v>0</v>
      </c>
    </row>
    <row r="1654" spans="1:21">
      <c r="A1654" s="4" t="s">
        <v>2336</v>
      </c>
      <c r="B1654" s="4" t="s">
        <v>48</v>
      </c>
      <c r="C1654" s="5">
        <v>45946.01002314815</v>
      </c>
      <c r="D1654" s="5">
        <v>45961</v>
      </c>
      <c r="E1654" s="6">
        <f>IF(AND(C1654&lt;&gt;"",D1654&lt;&gt;""),D1654-C1654,"")</f>
        <v>0</v>
      </c>
      <c r="F1654" s="4" t="s">
        <v>201</v>
      </c>
      <c r="G1654" s="4" t="s">
        <v>202</v>
      </c>
      <c r="H1654" s="4" t="s">
        <v>32</v>
      </c>
      <c r="I1654" s="4" t="s">
        <v>33</v>
      </c>
      <c r="J1654" s="4">
        <v>5</v>
      </c>
      <c r="K1654" s="4">
        <v>0</v>
      </c>
      <c r="L1654" s="4">
        <f>J1654+K1654</f>
        <v>0</v>
      </c>
      <c r="M1654" s="4"/>
      <c r="N1654" s="4"/>
      <c r="O1654" s="4">
        <v>0</v>
      </c>
      <c r="P1654" s="4"/>
      <c r="Q1654" s="4"/>
      <c r="R1654" s="7">
        <v>0</v>
      </c>
      <c r="S1654" s="7">
        <v>0</v>
      </c>
      <c r="T1654" s="7">
        <f>R1654-S1654</f>
        <v>0</v>
      </c>
      <c r="U1654" s="7">
        <f>T1654*O1654</f>
        <v>0</v>
      </c>
    </row>
    <row r="1655" spans="1:21">
      <c r="A1655" s="4" t="s">
        <v>2337</v>
      </c>
      <c r="B1655" s="4" t="s">
        <v>39</v>
      </c>
      <c r="C1655" s="5">
        <v>45946.0625462963</v>
      </c>
      <c r="D1655" s="5">
        <v>45946</v>
      </c>
      <c r="E1655" s="6">
        <f>IF(AND(C1655&lt;&gt;"",D1655&lt;&gt;""),D1655-C1655,"")</f>
        <v>0</v>
      </c>
      <c r="F1655" s="4" t="s">
        <v>2338</v>
      </c>
      <c r="G1655" s="4" t="s">
        <v>2339</v>
      </c>
      <c r="H1655" s="4" t="s">
        <v>32</v>
      </c>
      <c r="I1655" s="4" t="s">
        <v>33</v>
      </c>
      <c r="J1655" s="4">
        <v>0</v>
      </c>
      <c r="K1655" s="4">
        <v>0</v>
      </c>
      <c r="L1655" s="4">
        <f>J1655+K1655</f>
        <v>0</v>
      </c>
      <c r="M1655" s="4" t="s">
        <v>370</v>
      </c>
      <c r="N1655" s="4"/>
      <c r="O1655" s="4">
        <v>1</v>
      </c>
      <c r="P1655" s="4" t="s">
        <v>135</v>
      </c>
      <c r="Q1655" s="4" t="s">
        <v>44</v>
      </c>
      <c r="R1655" s="7">
        <v>2000000</v>
      </c>
      <c r="S1655" s="7">
        <v>0</v>
      </c>
      <c r="T1655" s="7">
        <f>R1655-S1655</f>
        <v>0</v>
      </c>
      <c r="U1655" s="7">
        <f>T1655*O1655</f>
        <v>0</v>
      </c>
    </row>
    <row r="1656" spans="1:21">
      <c r="A1656" s="4" t="s">
        <v>2340</v>
      </c>
      <c r="B1656" s="4" t="s">
        <v>39</v>
      </c>
      <c r="C1656" s="5">
        <v>45946.06296296296</v>
      </c>
      <c r="D1656" s="5">
        <v>45946</v>
      </c>
      <c r="E1656" s="6">
        <f>IF(AND(C1656&lt;&gt;"",D1656&lt;&gt;""),D1656-C1656,"")</f>
        <v>0</v>
      </c>
      <c r="F1656" s="4" t="s">
        <v>2341</v>
      </c>
      <c r="G1656" s="4" t="s">
        <v>2342</v>
      </c>
      <c r="H1656" s="4" t="s">
        <v>32</v>
      </c>
      <c r="I1656" s="4" t="s">
        <v>33</v>
      </c>
      <c r="J1656" s="4">
        <v>0</v>
      </c>
      <c r="K1656" s="4">
        <v>0</v>
      </c>
      <c r="L1656" s="4">
        <f>J1656+K1656</f>
        <v>0</v>
      </c>
      <c r="M1656" s="4" t="s">
        <v>370</v>
      </c>
      <c r="N1656" s="4"/>
      <c r="O1656" s="4">
        <v>1</v>
      </c>
      <c r="P1656" s="4" t="s">
        <v>135</v>
      </c>
      <c r="Q1656" s="4" t="s">
        <v>44</v>
      </c>
      <c r="R1656" s="7">
        <v>2000000</v>
      </c>
      <c r="S1656" s="7">
        <v>0</v>
      </c>
      <c r="T1656" s="7">
        <f>R1656-S1656</f>
        <v>0</v>
      </c>
      <c r="U1656" s="7">
        <f>T1656*O1656</f>
        <v>0</v>
      </c>
    </row>
    <row r="1657" spans="1:21">
      <c r="A1657" s="4" t="s">
        <v>2343</v>
      </c>
      <c r="B1657" s="4" t="s">
        <v>39</v>
      </c>
      <c r="C1657" s="5">
        <v>45946.06340277778</v>
      </c>
      <c r="D1657" s="5">
        <v>45946</v>
      </c>
      <c r="E1657" s="6">
        <f>IF(AND(C1657&lt;&gt;"",D1657&lt;&gt;""),D1657-C1657,"")</f>
        <v>0</v>
      </c>
      <c r="F1657" s="4" t="s">
        <v>2344</v>
      </c>
      <c r="G1657" s="4" t="s">
        <v>2345</v>
      </c>
      <c r="H1657" s="4" t="s">
        <v>32</v>
      </c>
      <c r="I1657" s="4" t="s">
        <v>33</v>
      </c>
      <c r="J1657" s="4">
        <v>0</v>
      </c>
      <c r="K1657" s="4">
        <v>0</v>
      </c>
      <c r="L1657" s="4">
        <f>J1657+K1657</f>
        <v>0</v>
      </c>
      <c r="M1657" s="4" t="s">
        <v>370</v>
      </c>
      <c r="N1657" s="4"/>
      <c r="O1657" s="4">
        <v>1</v>
      </c>
      <c r="P1657" s="4" t="s">
        <v>135</v>
      </c>
      <c r="Q1657" s="4" t="s">
        <v>44</v>
      </c>
      <c r="R1657" s="7">
        <v>2000000</v>
      </c>
      <c r="S1657" s="7">
        <v>0</v>
      </c>
      <c r="T1657" s="7">
        <f>R1657-S1657</f>
        <v>0</v>
      </c>
      <c r="U1657" s="7">
        <f>T1657*O1657</f>
        <v>0</v>
      </c>
    </row>
    <row r="1658" spans="1:21">
      <c r="A1658" s="4" t="s">
        <v>2346</v>
      </c>
      <c r="B1658" s="4" t="s">
        <v>39</v>
      </c>
      <c r="C1658" s="5">
        <v>45946.06380787037</v>
      </c>
      <c r="D1658" s="5">
        <v>45946</v>
      </c>
      <c r="E1658" s="6">
        <f>IF(AND(C1658&lt;&gt;"",D1658&lt;&gt;""),D1658-C1658,"")</f>
        <v>0</v>
      </c>
      <c r="F1658" s="4" t="s">
        <v>2347</v>
      </c>
      <c r="G1658" s="4" t="s">
        <v>2348</v>
      </c>
      <c r="H1658" s="4" t="s">
        <v>32</v>
      </c>
      <c r="I1658" s="4" t="s">
        <v>33</v>
      </c>
      <c r="J1658" s="4">
        <v>0</v>
      </c>
      <c r="K1658" s="4">
        <v>0</v>
      </c>
      <c r="L1658" s="4">
        <f>J1658+K1658</f>
        <v>0</v>
      </c>
      <c r="M1658" s="4" t="s">
        <v>370</v>
      </c>
      <c r="N1658" s="4"/>
      <c r="O1658" s="4">
        <v>1</v>
      </c>
      <c r="P1658" s="4" t="s">
        <v>135</v>
      </c>
      <c r="Q1658" s="4" t="s">
        <v>44</v>
      </c>
      <c r="R1658" s="7">
        <v>2000000</v>
      </c>
      <c r="S1658" s="7">
        <v>0</v>
      </c>
      <c r="T1658" s="7">
        <f>R1658-S1658</f>
        <v>0</v>
      </c>
      <c r="U1658" s="7">
        <f>T1658*O1658</f>
        <v>0</v>
      </c>
    </row>
    <row r="1659" spans="1:21">
      <c r="A1659" s="4" t="s">
        <v>2349</v>
      </c>
      <c r="B1659" s="4" t="s">
        <v>39</v>
      </c>
      <c r="C1659" s="5">
        <v>45946.06430555556</v>
      </c>
      <c r="D1659" s="5">
        <v>45946</v>
      </c>
      <c r="E1659" s="6">
        <f>IF(AND(C1659&lt;&gt;"",D1659&lt;&gt;""),D1659-C1659,"")</f>
        <v>0</v>
      </c>
      <c r="F1659" s="4" t="s">
        <v>2350</v>
      </c>
      <c r="G1659" s="4" t="s">
        <v>2351</v>
      </c>
      <c r="H1659" s="4" t="s">
        <v>32</v>
      </c>
      <c r="I1659" s="4" t="s">
        <v>33</v>
      </c>
      <c r="J1659" s="4">
        <v>0</v>
      </c>
      <c r="K1659" s="4">
        <v>0</v>
      </c>
      <c r="L1659" s="4">
        <f>J1659+K1659</f>
        <v>0</v>
      </c>
      <c r="M1659" s="4" t="s">
        <v>370</v>
      </c>
      <c r="N1659" s="4"/>
      <c r="O1659" s="4">
        <v>1</v>
      </c>
      <c r="P1659" s="4" t="s">
        <v>135</v>
      </c>
      <c r="Q1659" s="4" t="s">
        <v>44</v>
      </c>
      <c r="R1659" s="7">
        <v>2000000</v>
      </c>
      <c r="S1659" s="7">
        <v>0</v>
      </c>
      <c r="T1659" s="7">
        <f>R1659-S1659</f>
        <v>0</v>
      </c>
      <c r="U1659" s="7">
        <f>T1659*O1659</f>
        <v>0</v>
      </c>
    </row>
    <row r="1660" spans="1:21">
      <c r="A1660" s="4" t="s">
        <v>2352</v>
      </c>
      <c r="B1660" s="4" t="s">
        <v>39</v>
      </c>
      <c r="C1660" s="5">
        <v>45946.06498842593</v>
      </c>
      <c r="D1660" s="5">
        <v>45946</v>
      </c>
      <c r="E1660" s="6">
        <f>IF(AND(C1660&lt;&gt;"",D1660&lt;&gt;""),D1660-C1660,"")</f>
        <v>0</v>
      </c>
      <c r="F1660" s="4" t="s">
        <v>2238</v>
      </c>
      <c r="G1660" s="4" t="s">
        <v>2353</v>
      </c>
      <c r="H1660" s="4" t="s">
        <v>32</v>
      </c>
      <c r="I1660" s="4" t="s">
        <v>33</v>
      </c>
      <c r="J1660" s="4">
        <v>0</v>
      </c>
      <c r="K1660" s="4">
        <v>0</v>
      </c>
      <c r="L1660" s="4">
        <f>J1660+K1660</f>
        <v>0</v>
      </c>
      <c r="M1660" s="4" t="s">
        <v>370</v>
      </c>
      <c r="N1660" s="4"/>
      <c r="O1660" s="4">
        <v>1</v>
      </c>
      <c r="P1660" s="4" t="s">
        <v>135</v>
      </c>
      <c r="Q1660" s="4" t="s">
        <v>44</v>
      </c>
      <c r="R1660" s="7">
        <v>2000000</v>
      </c>
      <c r="S1660" s="7">
        <v>0</v>
      </c>
      <c r="T1660" s="7">
        <f>R1660-S1660</f>
        <v>0</v>
      </c>
      <c r="U1660" s="7">
        <f>T1660*O1660</f>
        <v>0</v>
      </c>
    </row>
    <row r="1661" spans="1:21">
      <c r="A1661" s="4" t="s">
        <v>2354</v>
      </c>
      <c r="B1661" s="4" t="s">
        <v>39</v>
      </c>
      <c r="C1661" s="5">
        <v>45946.09511574074</v>
      </c>
      <c r="D1661" s="5">
        <v>45946</v>
      </c>
      <c r="E1661" s="6">
        <f>IF(AND(C1661&lt;&gt;"",D1661&lt;&gt;""),D1661-C1661,"")</f>
        <v>0</v>
      </c>
      <c r="F1661" s="4" t="s">
        <v>2355</v>
      </c>
      <c r="G1661" s="4" t="s">
        <v>2356</v>
      </c>
      <c r="H1661" s="4" t="s">
        <v>32</v>
      </c>
      <c r="I1661" s="4" t="s">
        <v>33</v>
      </c>
      <c r="J1661" s="4">
        <v>2</v>
      </c>
      <c r="K1661" s="4">
        <v>0</v>
      </c>
      <c r="L1661" s="4">
        <f>J1661+K1661</f>
        <v>0</v>
      </c>
      <c r="M1661" s="4" t="s">
        <v>80</v>
      </c>
      <c r="N1661" s="4"/>
      <c r="O1661" s="4">
        <v>2</v>
      </c>
      <c r="P1661" s="4" t="s">
        <v>135</v>
      </c>
      <c r="Q1661" s="4"/>
      <c r="R1661" s="7">
        <v>610000</v>
      </c>
      <c r="S1661" s="7">
        <v>0</v>
      </c>
      <c r="T1661" s="7">
        <f>R1661-S1661</f>
        <v>0</v>
      </c>
      <c r="U1661" s="7">
        <f>T1661*O1661</f>
        <v>0</v>
      </c>
    </row>
    <row r="1662" spans="1:21">
      <c r="A1662" s="4" t="s">
        <v>2357</v>
      </c>
      <c r="B1662" s="4" t="s">
        <v>39</v>
      </c>
      <c r="C1662" s="5">
        <v>45946.09863425926</v>
      </c>
      <c r="D1662" s="5">
        <v>45946</v>
      </c>
      <c r="E1662" s="6">
        <f>IF(AND(C1662&lt;&gt;"",D1662&lt;&gt;""),D1662-C1662,"")</f>
        <v>0</v>
      </c>
      <c r="F1662" s="4" t="s">
        <v>2358</v>
      </c>
      <c r="G1662" s="4" t="s">
        <v>2359</v>
      </c>
      <c r="H1662" s="4" t="s">
        <v>32</v>
      </c>
      <c r="I1662" s="4" t="s">
        <v>33</v>
      </c>
      <c r="J1662" s="4">
        <v>3</v>
      </c>
      <c r="K1662" s="4">
        <v>0</v>
      </c>
      <c r="L1662" s="4">
        <f>J1662+K1662</f>
        <v>0</v>
      </c>
      <c r="M1662" s="4" t="s">
        <v>80</v>
      </c>
      <c r="N1662" s="4"/>
      <c r="O1662" s="4">
        <v>3</v>
      </c>
      <c r="P1662" s="4" t="s">
        <v>135</v>
      </c>
      <c r="Q1662" s="4"/>
      <c r="R1662" s="7">
        <v>610000</v>
      </c>
      <c r="S1662" s="7">
        <v>0</v>
      </c>
      <c r="T1662" s="7">
        <f>R1662-S1662</f>
        <v>0</v>
      </c>
      <c r="U1662" s="7">
        <f>T1662*O1662</f>
        <v>0</v>
      </c>
    </row>
    <row r="1663" spans="1:21">
      <c r="A1663" s="4" t="s">
        <v>2360</v>
      </c>
      <c r="B1663" s="4" t="s">
        <v>39</v>
      </c>
      <c r="C1663" s="5">
        <v>45946.12090277778</v>
      </c>
      <c r="D1663" s="5">
        <v>45946</v>
      </c>
      <c r="E1663" s="6">
        <f>IF(AND(C1663&lt;&gt;"",D1663&lt;&gt;""),D1663-C1663,"")</f>
        <v>0</v>
      </c>
      <c r="F1663" s="4" t="s">
        <v>2361</v>
      </c>
      <c r="G1663" s="4" t="s">
        <v>2362</v>
      </c>
      <c r="H1663" s="4" t="s">
        <v>32</v>
      </c>
      <c r="I1663" s="4" t="s">
        <v>33</v>
      </c>
      <c r="J1663" s="4">
        <v>3</v>
      </c>
      <c r="K1663" s="4">
        <v>0</v>
      </c>
      <c r="L1663" s="4">
        <f>J1663+K1663</f>
        <v>0</v>
      </c>
      <c r="M1663" s="4" t="s">
        <v>80</v>
      </c>
      <c r="N1663" s="4"/>
      <c r="O1663" s="4">
        <v>3</v>
      </c>
      <c r="P1663" s="4" t="s">
        <v>135</v>
      </c>
      <c r="Q1663" s="4"/>
      <c r="R1663" s="7">
        <v>610000</v>
      </c>
      <c r="S1663" s="7">
        <v>0</v>
      </c>
      <c r="T1663" s="7">
        <f>R1663-S1663</f>
        <v>0</v>
      </c>
      <c r="U1663" s="7">
        <f>T1663*O1663</f>
        <v>0</v>
      </c>
    </row>
    <row r="1664" spans="1:21">
      <c r="A1664" s="4" t="s">
        <v>2363</v>
      </c>
      <c r="B1664" s="4" t="s">
        <v>39</v>
      </c>
      <c r="C1664" s="5">
        <v>45946.12336805555</v>
      </c>
      <c r="D1664" s="5">
        <v>45946</v>
      </c>
      <c r="E1664" s="6">
        <f>IF(AND(C1664&lt;&gt;"",D1664&lt;&gt;""),D1664-C1664,"")</f>
        <v>0</v>
      </c>
      <c r="F1664" s="4" t="s">
        <v>2364</v>
      </c>
      <c r="G1664" s="4" t="s">
        <v>2365</v>
      </c>
      <c r="H1664" s="4" t="s">
        <v>32</v>
      </c>
      <c r="I1664" s="4" t="s">
        <v>33</v>
      </c>
      <c r="J1664" s="4">
        <v>0</v>
      </c>
      <c r="K1664" s="4">
        <v>0</v>
      </c>
      <c r="L1664" s="4">
        <f>J1664+K1664</f>
        <v>0</v>
      </c>
      <c r="M1664" s="4" t="s">
        <v>370</v>
      </c>
      <c r="N1664" s="4"/>
      <c r="O1664" s="4">
        <v>1</v>
      </c>
      <c r="P1664" s="4" t="s">
        <v>135</v>
      </c>
      <c r="Q1664" s="4" t="s">
        <v>44</v>
      </c>
      <c r="R1664" s="7">
        <v>500000</v>
      </c>
      <c r="S1664" s="7">
        <v>0</v>
      </c>
      <c r="T1664" s="7">
        <f>R1664-S1664</f>
        <v>0</v>
      </c>
      <c r="U1664" s="7">
        <f>T1664*O1664</f>
        <v>0</v>
      </c>
    </row>
    <row r="1665" spans="1:21">
      <c r="A1665" s="4" t="s">
        <v>2363</v>
      </c>
      <c r="B1665" s="4" t="s">
        <v>39</v>
      </c>
      <c r="C1665" s="5">
        <v>45946.12336805555</v>
      </c>
      <c r="D1665" s="5">
        <v>45946</v>
      </c>
      <c r="E1665" s="6">
        <f>IF(AND(C1665&lt;&gt;"",D1665&lt;&gt;""),D1665-C1665,"")</f>
        <v>0</v>
      </c>
      <c r="F1665" s="4" t="s">
        <v>2364</v>
      </c>
      <c r="G1665" s="4" t="s">
        <v>2365</v>
      </c>
      <c r="H1665" s="4" t="s">
        <v>32</v>
      </c>
      <c r="I1665" s="4" t="s">
        <v>33</v>
      </c>
      <c r="J1665" s="4">
        <v>1</v>
      </c>
      <c r="K1665" s="4">
        <v>0</v>
      </c>
      <c r="L1665" s="4">
        <f>J1665+K1665</f>
        <v>0</v>
      </c>
      <c r="M1665" s="4" t="s">
        <v>976</v>
      </c>
      <c r="N1665" s="4"/>
      <c r="O1665" s="4">
        <v>1</v>
      </c>
      <c r="P1665" s="4" t="s">
        <v>135</v>
      </c>
      <c r="Q1665" s="4" t="s">
        <v>44</v>
      </c>
      <c r="R1665" s="7">
        <v>1500000</v>
      </c>
      <c r="S1665" s="7">
        <v>0</v>
      </c>
      <c r="T1665" s="7">
        <f>R1665-S1665</f>
        <v>0</v>
      </c>
      <c r="U1665" s="7">
        <f>T1665*O1665</f>
        <v>0</v>
      </c>
    </row>
    <row r="1666" spans="1:21">
      <c r="A1666" s="4" t="s">
        <v>2366</v>
      </c>
      <c r="B1666" s="4" t="s">
        <v>39</v>
      </c>
      <c r="C1666" s="5">
        <v>45946.1237962963</v>
      </c>
      <c r="D1666" s="5">
        <v>45946</v>
      </c>
      <c r="E1666" s="6">
        <f>IF(AND(C1666&lt;&gt;"",D1666&lt;&gt;""),D1666-C1666,"")</f>
        <v>0</v>
      </c>
      <c r="F1666" s="4" t="s">
        <v>2367</v>
      </c>
      <c r="G1666" s="4" t="s">
        <v>2368</v>
      </c>
      <c r="H1666" s="4" t="s">
        <v>32</v>
      </c>
      <c r="I1666" s="4" t="s">
        <v>33</v>
      </c>
      <c r="J1666" s="4">
        <v>1</v>
      </c>
      <c r="K1666" s="4">
        <v>0</v>
      </c>
      <c r="L1666" s="4">
        <f>J1666+K1666</f>
        <v>0</v>
      </c>
      <c r="M1666" s="4" t="s">
        <v>80</v>
      </c>
      <c r="N1666" s="4"/>
      <c r="O1666" s="4">
        <v>1</v>
      </c>
      <c r="P1666" s="4" t="s">
        <v>135</v>
      </c>
      <c r="Q1666" s="4"/>
      <c r="R1666" s="7">
        <v>610000</v>
      </c>
      <c r="S1666" s="7">
        <v>0</v>
      </c>
      <c r="T1666" s="7">
        <f>R1666-S1666</f>
        <v>0</v>
      </c>
      <c r="U1666" s="7">
        <f>T1666*O1666</f>
        <v>0</v>
      </c>
    </row>
    <row r="1667" spans="1:21">
      <c r="A1667" s="4" t="s">
        <v>2369</v>
      </c>
      <c r="B1667" s="4" t="s">
        <v>39</v>
      </c>
      <c r="C1667" s="5">
        <v>45946.12806712963</v>
      </c>
      <c r="D1667" s="5">
        <v>45946</v>
      </c>
      <c r="E1667" s="6">
        <f>IF(AND(C1667&lt;&gt;"",D1667&lt;&gt;""),D1667-C1667,"")</f>
        <v>0</v>
      </c>
      <c r="F1667" s="4" t="s">
        <v>2370</v>
      </c>
      <c r="G1667" s="4" t="s">
        <v>2371</v>
      </c>
      <c r="H1667" s="4" t="s">
        <v>32</v>
      </c>
      <c r="I1667" s="4" t="s">
        <v>33</v>
      </c>
      <c r="J1667" s="4">
        <v>0</v>
      </c>
      <c r="K1667" s="4">
        <v>0</v>
      </c>
      <c r="L1667" s="4">
        <f>J1667+K1667</f>
        <v>0</v>
      </c>
      <c r="M1667" s="4" t="s">
        <v>370</v>
      </c>
      <c r="N1667" s="4"/>
      <c r="O1667" s="4">
        <v>1</v>
      </c>
      <c r="P1667" s="4" t="s">
        <v>135</v>
      </c>
      <c r="Q1667" s="4" t="s">
        <v>44</v>
      </c>
      <c r="R1667" s="7">
        <v>500000</v>
      </c>
      <c r="S1667" s="7">
        <v>0</v>
      </c>
      <c r="T1667" s="7">
        <f>R1667-S1667</f>
        <v>0</v>
      </c>
      <c r="U1667" s="7">
        <f>T1667*O1667</f>
        <v>0</v>
      </c>
    </row>
    <row r="1668" spans="1:21">
      <c r="A1668" s="4" t="s">
        <v>2369</v>
      </c>
      <c r="B1668" s="4" t="s">
        <v>39</v>
      </c>
      <c r="C1668" s="5">
        <v>45946.12806712963</v>
      </c>
      <c r="D1668" s="5">
        <v>45946</v>
      </c>
      <c r="E1668" s="6">
        <f>IF(AND(C1668&lt;&gt;"",D1668&lt;&gt;""),D1668-C1668,"")</f>
        <v>0</v>
      </c>
      <c r="F1668" s="4" t="s">
        <v>2370</v>
      </c>
      <c r="G1668" s="4" t="s">
        <v>2371</v>
      </c>
      <c r="H1668" s="4" t="s">
        <v>32</v>
      </c>
      <c r="I1668" s="4" t="s">
        <v>33</v>
      </c>
      <c r="J1668" s="4">
        <v>1</v>
      </c>
      <c r="K1668" s="4">
        <v>0</v>
      </c>
      <c r="L1668" s="4">
        <f>J1668+K1668</f>
        <v>0</v>
      </c>
      <c r="M1668" s="4" t="s">
        <v>976</v>
      </c>
      <c r="N1668" s="4"/>
      <c r="O1668" s="4">
        <v>1</v>
      </c>
      <c r="P1668" s="4" t="s">
        <v>135</v>
      </c>
      <c r="Q1668" s="4" t="s">
        <v>44</v>
      </c>
      <c r="R1668" s="7">
        <v>1500000</v>
      </c>
      <c r="S1668" s="7">
        <v>0</v>
      </c>
      <c r="T1668" s="7">
        <f>R1668-S1668</f>
        <v>0</v>
      </c>
      <c r="U1668" s="7">
        <f>T1668*O1668</f>
        <v>0</v>
      </c>
    </row>
    <row r="1669" spans="1:21">
      <c r="A1669" s="4" t="s">
        <v>2372</v>
      </c>
      <c r="B1669" s="4" t="s">
        <v>39</v>
      </c>
      <c r="C1669" s="5">
        <v>45946.14715277778</v>
      </c>
      <c r="D1669" s="5">
        <v>45946</v>
      </c>
      <c r="E1669" s="6">
        <f>IF(AND(C1669&lt;&gt;"",D1669&lt;&gt;""),D1669-C1669,"")</f>
        <v>0</v>
      </c>
      <c r="F1669" s="4" t="s">
        <v>2373</v>
      </c>
      <c r="G1669" s="4" t="s">
        <v>2374</v>
      </c>
      <c r="H1669" s="4" t="s">
        <v>32</v>
      </c>
      <c r="I1669" s="4" t="s">
        <v>33</v>
      </c>
      <c r="J1669" s="4">
        <v>1</v>
      </c>
      <c r="K1669" s="4">
        <v>0</v>
      </c>
      <c r="L1669" s="4">
        <f>J1669+K1669</f>
        <v>0</v>
      </c>
      <c r="M1669" s="4" t="s">
        <v>42</v>
      </c>
      <c r="N1669" s="4"/>
      <c r="O1669" s="4">
        <v>1</v>
      </c>
      <c r="P1669" s="4" t="s">
        <v>135</v>
      </c>
      <c r="Q1669" s="4" t="s">
        <v>44</v>
      </c>
      <c r="R1669" s="7">
        <v>1300000</v>
      </c>
      <c r="S1669" s="7">
        <v>0</v>
      </c>
      <c r="T1669" s="7">
        <f>R1669-S1669</f>
        <v>0</v>
      </c>
      <c r="U1669" s="7">
        <f>T1669*O1669</f>
        <v>0</v>
      </c>
    </row>
    <row r="1670" spans="1:21">
      <c r="A1670" s="4" t="s">
        <v>2375</v>
      </c>
      <c r="B1670" s="4" t="s">
        <v>48</v>
      </c>
      <c r="C1670" s="5">
        <v>45946.14820601852</v>
      </c>
      <c r="D1670" s="5">
        <v>45961</v>
      </c>
      <c r="E1670" s="6">
        <f>IF(AND(C1670&lt;&gt;"",D1670&lt;&gt;""),D1670-C1670,"")</f>
        <v>0</v>
      </c>
      <c r="F1670" s="4" t="s">
        <v>184</v>
      </c>
      <c r="G1670" s="4"/>
      <c r="H1670" s="4" t="s">
        <v>32</v>
      </c>
      <c r="I1670" s="4" t="s">
        <v>33</v>
      </c>
      <c r="J1670" s="4">
        <v>2</v>
      </c>
      <c r="K1670" s="4">
        <v>1</v>
      </c>
      <c r="L1670" s="4">
        <f>J1670+K1670</f>
        <v>0</v>
      </c>
      <c r="M1670" s="4"/>
      <c r="N1670" s="4"/>
      <c r="O1670" s="4">
        <v>0</v>
      </c>
      <c r="P1670" s="4"/>
      <c r="Q1670" s="4"/>
      <c r="R1670" s="7">
        <v>0</v>
      </c>
      <c r="S1670" s="7">
        <v>0</v>
      </c>
      <c r="T1670" s="7">
        <f>R1670-S1670</f>
        <v>0</v>
      </c>
      <c r="U1670" s="7">
        <f>T1670*O1670</f>
        <v>0</v>
      </c>
    </row>
    <row r="1671" spans="1:21">
      <c r="A1671" s="4" t="s">
        <v>2376</v>
      </c>
      <c r="B1671" s="4" t="s">
        <v>48</v>
      </c>
      <c r="C1671" s="5">
        <v>45946.16535879629</v>
      </c>
      <c r="D1671" s="5">
        <v>45961</v>
      </c>
      <c r="E1671" s="6">
        <f>IF(AND(C1671&lt;&gt;"",D1671&lt;&gt;""),D1671-C1671,"")</f>
        <v>0</v>
      </c>
      <c r="F1671" s="4" t="s">
        <v>64</v>
      </c>
      <c r="G1671" s="4" t="s">
        <v>2377</v>
      </c>
      <c r="H1671" s="4" t="s">
        <v>32</v>
      </c>
      <c r="I1671" s="4" t="s">
        <v>33</v>
      </c>
      <c r="J1671" s="4">
        <v>3</v>
      </c>
      <c r="K1671" s="4">
        <v>0</v>
      </c>
      <c r="L1671" s="4">
        <f>J1671+K1671</f>
        <v>0</v>
      </c>
      <c r="M1671" s="4"/>
      <c r="N1671" s="4"/>
      <c r="O1671" s="4">
        <v>0</v>
      </c>
      <c r="P1671" s="4"/>
      <c r="Q1671" s="4"/>
      <c r="R1671" s="7">
        <v>0</v>
      </c>
      <c r="S1671" s="7">
        <v>0</v>
      </c>
      <c r="T1671" s="7">
        <f>R1671-S1671</f>
        <v>0</v>
      </c>
      <c r="U1671" s="7">
        <f>T1671*O1671</f>
        <v>0</v>
      </c>
    </row>
    <row r="1672" spans="1:21">
      <c r="A1672" s="4" t="s">
        <v>2378</v>
      </c>
      <c r="B1672" s="4" t="s">
        <v>39</v>
      </c>
      <c r="C1672" s="5">
        <v>45946.178125</v>
      </c>
      <c r="D1672" s="5">
        <v>45946</v>
      </c>
      <c r="E1672" s="6">
        <f>IF(AND(C1672&lt;&gt;"",D1672&lt;&gt;""),D1672-C1672,"")</f>
        <v>0</v>
      </c>
      <c r="F1672" s="4" t="s">
        <v>184</v>
      </c>
      <c r="G1672" s="4"/>
      <c r="H1672" s="4" t="s">
        <v>32</v>
      </c>
      <c r="I1672" s="4" t="s">
        <v>33</v>
      </c>
      <c r="J1672" s="4">
        <v>1</v>
      </c>
      <c r="K1672" s="4">
        <v>0</v>
      </c>
      <c r="L1672" s="4">
        <f>J1672+K1672</f>
        <v>0</v>
      </c>
      <c r="M1672" s="4" t="s">
        <v>80</v>
      </c>
      <c r="N1672" s="4"/>
      <c r="O1672" s="4">
        <v>1</v>
      </c>
      <c r="P1672" s="4" t="s">
        <v>135</v>
      </c>
      <c r="Q1672" s="4" t="s">
        <v>178</v>
      </c>
      <c r="R1672" s="7">
        <v>610000</v>
      </c>
      <c r="S1672" s="7">
        <v>0</v>
      </c>
      <c r="T1672" s="7">
        <f>R1672-S1672</f>
        <v>0</v>
      </c>
      <c r="U1672" s="7">
        <f>T1672*O1672</f>
        <v>0</v>
      </c>
    </row>
    <row r="1673" spans="1:21">
      <c r="A1673" s="4" t="s">
        <v>2379</v>
      </c>
      <c r="B1673" s="4" t="s">
        <v>48</v>
      </c>
      <c r="C1673" s="5">
        <v>45946.18087962963</v>
      </c>
      <c r="D1673" s="5">
        <v>45961</v>
      </c>
      <c r="E1673" s="6">
        <f>IF(AND(C1673&lt;&gt;"",D1673&lt;&gt;""),D1673-C1673,"")</f>
        <v>0</v>
      </c>
      <c r="F1673" s="4" t="s">
        <v>1343</v>
      </c>
      <c r="G1673" s="4" t="s">
        <v>2380</v>
      </c>
      <c r="H1673" s="4"/>
      <c r="I1673" s="4" t="s">
        <v>56</v>
      </c>
      <c r="J1673" s="4">
        <v>2</v>
      </c>
      <c r="K1673" s="4">
        <v>0</v>
      </c>
      <c r="L1673" s="4">
        <f>J1673+K1673</f>
        <v>0</v>
      </c>
      <c r="M1673" s="4"/>
      <c r="N1673" s="4"/>
      <c r="O1673" s="4">
        <v>0</v>
      </c>
      <c r="P1673" s="4"/>
      <c r="Q1673" s="4"/>
      <c r="R1673" s="7">
        <v>0</v>
      </c>
      <c r="S1673" s="7">
        <v>0</v>
      </c>
      <c r="T1673" s="7">
        <f>R1673-S1673</f>
        <v>0</v>
      </c>
      <c r="U1673" s="7">
        <f>T1673*O1673</f>
        <v>0</v>
      </c>
    </row>
    <row r="1674" spans="1:21">
      <c r="A1674" s="4" t="s">
        <v>2381</v>
      </c>
      <c r="B1674" s="4" t="s">
        <v>48</v>
      </c>
      <c r="C1674" s="5">
        <v>45946.18269675926</v>
      </c>
      <c r="D1674" s="5">
        <v>45961</v>
      </c>
      <c r="E1674" s="6">
        <f>IF(AND(C1674&lt;&gt;"",D1674&lt;&gt;""),D1674-C1674,"")</f>
        <v>0</v>
      </c>
      <c r="F1674" s="4" t="s">
        <v>2382</v>
      </c>
      <c r="G1674" s="4" t="s">
        <v>2383</v>
      </c>
      <c r="H1674" s="4"/>
      <c r="I1674" s="4" t="s">
        <v>56</v>
      </c>
      <c r="J1674" s="4">
        <v>2</v>
      </c>
      <c r="K1674" s="4">
        <v>0</v>
      </c>
      <c r="L1674" s="4">
        <f>J1674+K1674</f>
        <v>0</v>
      </c>
      <c r="M1674" s="4"/>
      <c r="N1674" s="4"/>
      <c r="O1674" s="4">
        <v>0</v>
      </c>
      <c r="P1674" s="4"/>
      <c r="Q1674" s="4"/>
      <c r="R1674" s="7">
        <v>0</v>
      </c>
      <c r="S1674" s="7">
        <v>0</v>
      </c>
      <c r="T1674" s="7">
        <f>R1674-S1674</f>
        <v>0</v>
      </c>
      <c r="U1674" s="7">
        <f>T1674*O1674</f>
        <v>0</v>
      </c>
    </row>
    <row r="1675" spans="1:21">
      <c r="A1675" s="4" t="s">
        <v>2384</v>
      </c>
      <c r="B1675" s="4" t="s">
        <v>48</v>
      </c>
      <c r="C1675" s="5">
        <v>45946.18351851852</v>
      </c>
      <c r="D1675" s="5">
        <v>45961</v>
      </c>
      <c r="E1675" s="6">
        <f>IF(AND(C1675&lt;&gt;"",D1675&lt;&gt;""),D1675-C1675,"")</f>
        <v>0</v>
      </c>
      <c r="F1675" s="4" t="s">
        <v>2385</v>
      </c>
      <c r="G1675" s="4" t="s">
        <v>2386</v>
      </c>
      <c r="H1675" s="4"/>
      <c r="I1675" s="4" t="s">
        <v>56</v>
      </c>
      <c r="J1675" s="4">
        <v>2</v>
      </c>
      <c r="K1675" s="4">
        <v>0</v>
      </c>
      <c r="L1675" s="4">
        <f>J1675+K1675</f>
        <v>0</v>
      </c>
      <c r="M1675" s="4"/>
      <c r="N1675" s="4"/>
      <c r="O1675" s="4">
        <v>0</v>
      </c>
      <c r="P1675" s="4"/>
      <c r="Q1675" s="4"/>
      <c r="R1675" s="7">
        <v>0</v>
      </c>
      <c r="S1675" s="7">
        <v>0</v>
      </c>
      <c r="T1675" s="7">
        <f>R1675-S1675</f>
        <v>0</v>
      </c>
      <c r="U1675" s="7">
        <f>T1675*O1675</f>
        <v>0</v>
      </c>
    </row>
    <row r="1676" spans="1:21">
      <c r="A1676" s="4" t="s">
        <v>2387</v>
      </c>
      <c r="B1676" s="4" t="s">
        <v>48</v>
      </c>
      <c r="C1676" s="5">
        <v>45946.18814814815</v>
      </c>
      <c r="D1676" s="5">
        <v>45961</v>
      </c>
      <c r="E1676" s="6">
        <f>IF(AND(C1676&lt;&gt;"",D1676&lt;&gt;""),D1676-C1676,"")</f>
        <v>0</v>
      </c>
      <c r="F1676" s="4" t="s">
        <v>201</v>
      </c>
      <c r="G1676" s="4" t="s">
        <v>202</v>
      </c>
      <c r="H1676" s="4" t="s">
        <v>32</v>
      </c>
      <c r="I1676" s="4" t="s">
        <v>33</v>
      </c>
      <c r="J1676" s="4">
        <v>2</v>
      </c>
      <c r="K1676" s="4">
        <v>0</v>
      </c>
      <c r="L1676" s="4">
        <f>J1676+K1676</f>
        <v>0</v>
      </c>
      <c r="M1676" s="4"/>
      <c r="N1676" s="4"/>
      <c r="O1676" s="4">
        <v>0</v>
      </c>
      <c r="P1676" s="4"/>
      <c r="Q1676" s="4"/>
      <c r="R1676" s="7">
        <v>0</v>
      </c>
      <c r="S1676" s="7">
        <v>0</v>
      </c>
      <c r="T1676" s="7">
        <f>R1676-S1676</f>
        <v>0</v>
      </c>
      <c r="U1676" s="7">
        <f>T1676*O1676</f>
        <v>0</v>
      </c>
    </row>
    <row r="1677" spans="1:21">
      <c r="A1677" s="4" t="s">
        <v>2388</v>
      </c>
      <c r="B1677" s="4" t="s">
        <v>39</v>
      </c>
      <c r="C1677" s="5">
        <v>45946.19585648148</v>
      </c>
      <c r="D1677" s="5">
        <v>45946</v>
      </c>
      <c r="E1677" s="6">
        <f>IF(AND(C1677&lt;&gt;"",D1677&lt;&gt;""),D1677-C1677,"")</f>
        <v>0</v>
      </c>
      <c r="F1677" s="4" t="s">
        <v>2389</v>
      </c>
      <c r="G1677" s="4" t="s">
        <v>2390</v>
      </c>
      <c r="H1677" s="4" t="s">
        <v>32</v>
      </c>
      <c r="I1677" s="4" t="s">
        <v>33</v>
      </c>
      <c r="J1677" s="4">
        <v>4</v>
      </c>
      <c r="K1677" s="4">
        <v>0</v>
      </c>
      <c r="L1677" s="4">
        <f>J1677+K1677</f>
        <v>0</v>
      </c>
      <c r="M1677" s="4" t="s">
        <v>80</v>
      </c>
      <c r="N1677" s="4"/>
      <c r="O1677" s="4">
        <v>4</v>
      </c>
      <c r="P1677" s="4" t="s">
        <v>135</v>
      </c>
      <c r="Q1677" s="4"/>
      <c r="R1677" s="7">
        <v>610000</v>
      </c>
      <c r="S1677" s="7">
        <v>0</v>
      </c>
      <c r="T1677" s="7">
        <f>R1677-S1677</f>
        <v>0</v>
      </c>
      <c r="U1677" s="7">
        <f>T1677*O1677</f>
        <v>0</v>
      </c>
    </row>
    <row r="1678" spans="1:21">
      <c r="A1678" s="4" t="s">
        <v>2391</v>
      </c>
      <c r="B1678" s="4" t="s">
        <v>48</v>
      </c>
      <c r="C1678" s="5">
        <v>45946.20214120371</v>
      </c>
      <c r="D1678" s="5">
        <v>45961</v>
      </c>
      <c r="E1678" s="6">
        <f>IF(AND(C1678&lt;&gt;"",D1678&lt;&gt;""),D1678-C1678,"")</f>
        <v>0</v>
      </c>
      <c r="F1678" s="4" t="s">
        <v>201</v>
      </c>
      <c r="G1678" s="4" t="s">
        <v>202</v>
      </c>
      <c r="H1678" s="4" t="s">
        <v>32</v>
      </c>
      <c r="I1678" s="4" t="s">
        <v>33</v>
      </c>
      <c r="J1678" s="4">
        <v>3</v>
      </c>
      <c r="K1678" s="4">
        <v>0</v>
      </c>
      <c r="L1678" s="4">
        <f>J1678+K1678</f>
        <v>0</v>
      </c>
      <c r="M1678" s="4"/>
      <c r="N1678" s="4"/>
      <c r="O1678" s="4">
        <v>0</v>
      </c>
      <c r="P1678" s="4"/>
      <c r="Q1678" s="4"/>
      <c r="R1678" s="7">
        <v>0</v>
      </c>
      <c r="S1678" s="7">
        <v>0</v>
      </c>
      <c r="T1678" s="7">
        <f>R1678-S1678</f>
        <v>0</v>
      </c>
      <c r="U1678" s="7">
        <f>T1678*O1678</f>
        <v>0</v>
      </c>
    </row>
    <row r="1679" spans="1:21">
      <c r="A1679" s="4" t="s">
        <v>2392</v>
      </c>
      <c r="B1679" s="4" t="s">
        <v>48</v>
      </c>
      <c r="C1679" s="5">
        <v>45946.20450231482</v>
      </c>
      <c r="D1679" s="5">
        <v>45961</v>
      </c>
      <c r="E1679" s="6">
        <f>IF(AND(C1679&lt;&gt;"",D1679&lt;&gt;""),D1679-C1679,"")</f>
        <v>0</v>
      </c>
      <c r="F1679" s="4" t="s">
        <v>201</v>
      </c>
      <c r="G1679" s="4" t="s">
        <v>202</v>
      </c>
      <c r="H1679" s="4" t="s">
        <v>32</v>
      </c>
      <c r="I1679" s="4" t="s">
        <v>33</v>
      </c>
      <c r="J1679" s="4">
        <v>3</v>
      </c>
      <c r="K1679" s="4">
        <v>2</v>
      </c>
      <c r="L1679" s="4">
        <f>J1679+K1679</f>
        <v>0</v>
      </c>
      <c r="M1679" s="4"/>
      <c r="N1679" s="4"/>
      <c r="O1679" s="4">
        <v>0</v>
      </c>
      <c r="P1679" s="4"/>
      <c r="Q1679" s="4"/>
      <c r="R1679" s="7">
        <v>0</v>
      </c>
      <c r="S1679" s="7">
        <v>0</v>
      </c>
      <c r="T1679" s="7">
        <f>R1679-S1679</f>
        <v>0</v>
      </c>
      <c r="U1679" s="7">
        <f>T1679*O1679</f>
        <v>0</v>
      </c>
    </row>
    <row r="1680" spans="1:21">
      <c r="A1680" s="4" t="s">
        <v>2393</v>
      </c>
      <c r="B1680" s="4" t="s">
        <v>48</v>
      </c>
      <c r="C1680" s="5">
        <v>45946.22299768519</v>
      </c>
      <c r="D1680" s="5">
        <v>45961</v>
      </c>
      <c r="E1680" s="6">
        <f>IF(AND(C1680&lt;&gt;"",D1680&lt;&gt;""),D1680-C1680,"")</f>
        <v>0</v>
      </c>
      <c r="F1680" s="4" t="s">
        <v>201</v>
      </c>
      <c r="G1680" s="4" t="s">
        <v>202</v>
      </c>
      <c r="H1680" s="4" t="s">
        <v>32</v>
      </c>
      <c r="I1680" s="4" t="s">
        <v>33</v>
      </c>
      <c r="J1680" s="4">
        <v>3</v>
      </c>
      <c r="K1680" s="4">
        <v>2</v>
      </c>
      <c r="L1680" s="4">
        <f>J1680+K1680</f>
        <v>0</v>
      </c>
      <c r="M1680" s="4"/>
      <c r="N1680" s="4"/>
      <c r="O1680" s="4">
        <v>0</v>
      </c>
      <c r="P1680" s="4"/>
      <c r="Q1680" s="4"/>
      <c r="R1680" s="7">
        <v>0</v>
      </c>
      <c r="S1680" s="7">
        <v>0</v>
      </c>
      <c r="T1680" s="7">
        <f>R1680-S1680</f>
        <v>0</v>
      </c>
      <c r="U1680" s="7">
        <f>T1680*O1680</f>
        <v>0</v>
      </c>
    </row>
    <row r="1681" spans="1:21">
      <c r="A1681" s="4" t="s">
        <v>2394</v>
      </c>
      <c r="B1681" s="4" t="s">
        <v>48</v>
      </c>
      <c r="C1681" s="5">
        <v>45946.22495370371</v>
      </c>
      <c r="D1681" s="5">
        <v>45961</v>
      </c>
      <c r="E1681" s="6">
        <f>IF(AND(C1681&lt;&gt;"",D1681&lt;&gt;""),D1681-C1681,"")</f>
        <v>0</v>
      </c>
      <c r="F1681" s="4" t="s">
        <v>201</v>
      </c>
      <c r="G1681" s="4" t="s">
        <v>202</v>
      </c>
      <c r="H1681" s="4" t="s">
        <v>32</v>
      </c>
      <c r="I1681" s="4" t="s">
        <v>33</v>
      </c>
      <c r="J1681" s="4">
        <v>3</v>
      </c>
      <c r="K1681" s="4">
        <v>2</v>
      </c>
      <c r="L1681" s="4">
        <f>J1681+K1681</f>
        <v>0</v>
      </c>
      <c r="M1681" s="4"/>
      <c r="N1681" s="4"/>
      <c r="O1681" s="4">
        <v>0</v>
      </c>
      <c r="P1681" s="4"/>
      <c r="Q1681" s="4"/>
      <c r="R1681" s="7">
        <v>0</v>
      </c>
      <c r="S1681" s="7">
        <v>0</v>
      </c>
      <c r="T1681" s="7">
        <f>R1681-S1681</f>
        <v>0</v>
      </c>
      <c r="U1681" s="7">
        <f>T1681*O1681</f>
        <v>0</v>
      </c>
    </row>
    <row r="1682" spans="1:21">
      <c r="A1682" s="4" t="s">
        <v>2395</v>
      </c>
      <c r="B1682" s="4" t="s">
        <v>103</v>
      </c>
      <c r="C1682" s="5">
        <v>45946.23614583333</v>
      </c>
      <c r="D1682" s="5">
        <v>45961</v>
      </c>
      <c r="E1682" s="6">
        <f>IF(AND(C1682&lt;&gt;"",D1682&lt;&gt;""),D1682-C1682,"")</f>
        <v>0</v>
      </c>
      <c r="F1682" s="4" t="s">
        <v>2396</v>
      </c>
      <c r="G1682" s="4" t="s">
        <v>2397</v>
      </c>
      <c r="H1682" s="4" t="s">
        <v>32</v>
      </c>
      <c r="I1682" s="4" t="s">
        <v>33</v>
      </c>
      <c r="J1682" s="4">
        <v>2</v>
      </c>
      <c r="K1682" s="4">
        <v>0</v>
      </c>
      <c r="L1682" s="4">
        <f>J1682+K1682</f>
        <v>0</v>
      </c>
      <c r="M1682" s="4"/>
      <c r="N1682" s="4"/>
      <c r="O1682" s="4">
        <v>0</v>
      </c>
      <c r="P1682" s="4"/>
      <c r="Q1682" s="4"/>
      <c r="R1682" s="7">
        <v>0</v>
      </c>
      <c r="S1682" s="7">
        <v>0</v>
      </c>
      <c r="T1682" s="7">
        <f>R1682-S1682</f>
        <v>0</v>
      </c>
      <c r="U1682" s="7">
        <f>T1682*O1682</f>
        <v>0</v>
      </c>
    </row>
    <row r="1683" spans="1:21">
      <c r="A1683" s="4" t="s">
        <v>2398</v>
      </c>
      <c r="B1683" s="4" t="s">
        <v>103</v>
      </c>
      <c r="C1683" s="5">
        <v>45946.2380787037</v>
      </c>
      <c r="D1683" s="5">
        <v>45961</v>
      </c>
      <c r="E1683" s="6">
        <f>IF(AND(C1683&lt;&gt;"",D1683&lt;&gt;""),D1683-C1683,"")</f>
        <v>0</v>
      </c>
      <c r="F1683" s="4" t="s">
        <v>201</v>
      </c>
      <c r="G1683" s="4" t="s">
        <v>202</v>
      </c>
      <c r="H1683" s="4" t="s">
        <v>32</v>
      </c>
      <c r="I1683" s="4" t="s">
        <v>33</v>
      </c>
      <c r="J1683" s="4">
        <v>2</v>
      </c>
      <c r="K1683" s="4">
        <v>0</v>
      </c>
      <c r="L1683" s="4">
        <f>J1683+K1683</f>
        <v>0</v>
      </c>
      <c r="M1683" s="4"/>
      <c r="N1683" s="4"/>
      <c r="O1683" s="4">
        <v>0</v>
      </c>
      <c r="P1683" s="4"/>
      <c r="Q1683" s="4"/>
      <c r="R1683" s="7">
        <v>0</v>
      </c>
      <c r="S1683" s="7">
        <v>0</v>
      </c>
      <c r="T1683" s="7">
        <f>R1683-S1683</f>
        <v>0</v>
      </c>
      <c r="U1683" s="7">
        <f>T1683*O1683</f>
        <v>0</v>
      </c>
    </row>
    <row r="1684" spans="1:21">
      <c r="A1684" s="4" t="s">
        <v>2399</v>
      </c>
      <c r="B1684" s="4" t="s">
        <v>39</v>
      </c>
      <c r="C1684" s="5">
        <v>45946.24012731481</v>
      </c>
      <c r="D1684" s="5">
        <v>45946</v>
      </c>
      <c r="E1684" s="6">
        <f>IF(AND(C1684&lt;&gt;"",D1684&lt;&gt;""),D1684-C1684,"")</f>
        <v>0</v>
      </c>
      <c r="F1684" s="4" t="s">
        <v>399</v>
      </c>
      <c r="G1684" s="4" t="s">
        <v>400</v>
      </c>
      <c r="H1684" s="4" t="s">
        <v>32</v>
      </c>
      <c r="I1684" s="4" t="s">
        <v>33</v>
      </c>
      <c r="J1684" s="4">
        <v>0</v>
      </c>
      <c r="K1684" s="4">
        <v>0</v>
      </c>
      <c r="L1684" s="4">
        <f>J1684+K1684</f>
        <v>0</v>
      </c>
      <c r="M1684" s="4" t="s">
        <v>370</v>
      </c>
      <c r="N1684" s="4"/>
      <c r="O1684" s="4">
        <v>1</v>
      </c>
      <c r="P1684" s="4" t="s">
        <v>135</v>
      </c>
      <c r="Q1684" s="4" t="s">
        <v>44</v>
      </c>
      <c r="R1684" s="7">
        <v>1000000</v>
      </c>
      <c r="S1684" s="7">
        <v>0</v>
      </c>
      <c r="T1684" s="7">
        <f>R1684-S1684</f>
        <v>0</v>
      </c>
      <c r="U1684" s="7">
        <f>T1684*O1684</f>
        <v>0</v>
      </c>
    </row>
    <row r="1685" spans="1:21">
      <c r="A1685" s="4" t="s">
        <v>2400</v>
      </c>
      <c r="B1685" s="4" t="s">
        <v>103</v>
      </c>
      <c r="C1685" s="5">
        <v>45946.24390046296</v>
      </c>
      <c r="D1685" s="5">
        <v>45961</v>
      </c>
      <c r="E1685" s="6">
        <f>IF(AND(C1685&lt;&gt;"",D1685&lt;&gt;""),D1685-C1685,"")</f>
        <v>0</v>
      </c>
      <c r="F1685" s="4" t="s">
        <v>201</v>
      </c>
      <c r="G1685" s="4" t="s">
        <v>202</v>
      </c>
      <c r="H1685" s="4" t="s">
        <v>32</v>
      </c>
      <c r="I1685" s="4" t="s">
        <v>33</v>
      </c>
      <c r="J1685" s="4">
        <v>3</v>
      </c>
      <c r="K1685" s="4">
        <v>0</v>
      </c>
      <c r="L1685" s="4">
        <f>J1685+K1685</f>
        <v>0</v>
      </c>
      <c r="M1685" s="4"/>
      <c r="N1685" s="4"/>
      <c r="O1685" s="4">
        <v>0</v>
      </c>
      <c r="P1685" s="4"/>
      <c r="Q1685" s="4"/>
      <c r="R1685" s="7">
        <v>0</v>
      </c>
      <c r="S1685" s="7">
        <v>0</v>
      </c>
      <c r="T1685" s="7">
        <f>R1685-S1685</f>
        <v>0</v>
      </c>
      <c r="U1685" s="7">
        <f>T1685*O1685</f>
        <v>0</v>
      </c>
    </row>
    <row r="1686" spans="1:21">
      <c r="A1686" s="4" t="s">
        <v>2401</v>
      </c>
      <c r="B1686" s="4" t="s">
        <v>48</v>
      </c>
      <c r="C1686" s="5">
        <v>45946.24494212963</v>
      </c>
      <c r="D1686" s="5">
        <v>45961</v>
      </c>
      <c r="E1686" s="6">
        <f>IF(AND(C1686&lt;&gt;"",D1686&lt;&gt;""),D1686-C1686,"")</f>
        <v>0</v>
      </c>
      <c r="F1686" s="4" t="s">
        <v>64</v>
      </c>
      <c r="G1686" s="4" t="s">
        <v>2402</v>
      </c>
      <c r="H1686" s="4" t="s">
        <v>32</v>
      </c>
      <c r="I1686" s="4" t="s">
        <v>33</v>
      </c>
      <c r="J1686" s="4">
        <v>7</v>
      </c>
      <c r="K1686" s="4">
        <v>3</v>
      </c>
      <c r="L1686" s="4">
        <f>J1686+K1686</f>
        <v>0</v>
      </c>
      <c r="M1686" s="4"/>
      <c r="N1686" s="4"/>
      <c r="O1686" s="4">
        <v>0</v>
      </c>
      <c r="P1686" s="4"/>
      <c r="Q1686" s="4"/>
      <c r="R1686" s="7">
        <v>0</v>
      </c>
      <c r="S1686" s="7">
        <v>0</v>
      </c>
      <c r="T1686" s="7">
        <f>R1686-S1686</f>
        <v>0</v>
      </c>
      <c r="U1686" s="7">
        <f>T1686*O1686</f>
        <v>0</v>
      </c>
    </row>
    <row r="1687" spans="1:21">
      <c r="A1687" s="4" t="s">
        <v>2403</v>
      </c>
      <c r="B1687" s="4" t="s">
        <v>103</v>
      </c>
      <c r="C1687" s="5">
        <v>45946.25035879629</v>
      </c>
      <c r="D1687" s="5">
        <v>45961</v>
      </c>
      <c r="E1687" s="6">
        <f>IF(AND(C1687&lt;&gt;"",D1687&lt;&gt;""),D1687-C1687,"")</f>
        <v>0</v>
      </c>
      <c r="F1687" s="4" t="s">
        <v>188</v>
      </c>
      <c r="G1687" s="4" t="s">
        <v>2404</v>
      </c>
      <c r="H1687" s="4" t="s">
        <v>190</v>
      </c>
      <c r="I1687" s="4" t="s">
        <v>56</v>
      </c>
      <c r="J1687" s="4">
        <v>3</v>
      </c>
      <c r="K1687" s="4">
        <v>0</v>
      </c>
      <c r="L1687" s="4">
        <f>J1687+K1687</f>
        <v>0</v>
      </c>
      <c r="M1687" s="4"/>
      <c r="N1687" s="4"/>
      <c r="O1687" s="4">
        <v>0</v>
      </c>
      <c r="P1687" s="4"/>
      <c r="Q1687" s="4"/>
      <c r="R1687" s="7">
        <v>0</v>
      </c>
      <c r="S1687" s="7">
        <v>0</v>
      </c>
      <c r="T1687" s="7">
        <f>R1687-S1687</f>
        <v>0</v>
      </c>
      <c r="U1687" s="7">
        <f>T1687*O1687</f>
        <v>0</v>
      </c>
    </row>
    <row r="1688" spans="1:21">
      <c r="A1688" s="4" t="s">
        <v>2405</v>
      </c>
      <c r="B1688" s="4" t="s">
        <v>29</v>
      </c>
      <c r="C1688" s="5">
        <v>45946.25917824074</v>
      </c>
      <c r="D1688" s="5">
        <v>45961</v>
      </c>
      <c r="E1688" s="6">
        <f>IF(AND(C1688&lt;&gt;"",D1688&lt;&gt;""),D1688-C1688,"")</f>
        <v>0</v>
      </c>
      <c r="F1688" s="4" t="s">
        <v>1433</v>
      </c>
      <c r="G1688" s="4" t="s">
        <v>1434</v>
      </c>
      <c r="H1688" s="4" t="s">
        <v>1435</v>
      </c>
      <c r="I1688" s="4" t="s">
        <v>56</v>
      </c>
      <c r="J1688" s="4">
        <v>1</v>
      </c>
      <c r="K1688" s="4">
        <v>1</v>
      </c>
      <c r="L1688" s="4">
        <f>J1688+K1688</f>
        <v>0</v>
      </c>
      <c r="M1688" s="4"/>
      <c r="N1688" s="4"/>
      <c r="O1688" s="4">
        <v>0</v>
      </c>
      <c r="P1688" s="4"/>
      <c r="Q1688" s="4"/>
      <c r="R1688" s="7">
        <v>0</v>
      </c>
      <c r="S1688" s="7">
        <v>0</v>
      </c>
      <c r="T1688" s="7">
        <f>R1688-S1688</f>
        <v>0</v>
      </c>
      <c r="U1688" s="7">
        <f>T1688*O1688</f>
        <v>0</v>
      </c>
    </row>
    <row r="1689" spans="1:21">
      <c r="A1689" s="4" t="s">
        <v>2406</v>
      </c>
      <c r="B1689" s="4" t="s">
        <v>48</v>
      </c>
      <c r="C1689" s="5">
        <v>45946.26905092593</v>
      </c>
      <c r="D1689" s="5">
        <v>45961</v>
      </c>
      <c r="E1689" s="6">
        <f>IF(AND(C1689&lt;&gt;"",D1689&lt;&gt;""),D1689-C1689,"")</f>
        <v>0</v>
      </c>
      <c r="F1689" s="4" t="s">
        <v>30</v>
      </c>
      <c r="G1689" s="4" t="s">
        <v>31</v>
      </c>
      <c r="H1689" s="4" t="s">
        <v>32</v>
      </c>
      <c r="I1689" s="4" t="s">
        <v>33</v>
      </c>
      <c r="J1689" s="4">
        <v>3</v>
      </c>
      <c r="K1689" s="4">
        <v>0</v>
      </c>
      <c r="L1689" s="4">
        <f>J1689+K1689</f>
        <v>0</v>
      </c>
      <c r="M1689" s="4"/>
      <c r="N1689" s="4"/>
      <c r="O1689" s="4">
        <v>0</v>
      </c>
      <c r="P1689" s="4"/>
      <c r="Q1689" s="4"/>
      <c r="R1689" s="7">
        <v>0</v>
      </c>
      <c r="S1689" s="7">
        <v>0</v>
      </c>
      <c r="T1689" s="7">
        <f>R1689-S1689</f>
        <v>0</v>
      </c>
      <c r="U1689" s="7">
        <f>T1689*O1689</f>
        <v>0</v>
      </c>
    </row>
    <row r="1690" spans="1:21">
      <c r="A1690" s="4" t="s">
        <v>2407</v>
      </c>
      <c r="B1690" s="4" t="s">
        <v>48</v>
      </c>
      <c r="C1690" s="5">
        <v>45946.27010416667</v>
      </c>
      <c r="D1690" s="5">
        <v>45961</v>
      </c>
      <c r="E1690" s="6">
        <f>IF(AND(C1690&lt;&gt;"",D1690&lt;&gt;""),D1690-C1690,"")</f>
        <v>0</v>
      </c>
      <c r="F1690" s="4" t="s">
        <v>2408</v>
      </c>
      <c r="G1690" s="4" t="s">
        <v>2404</v>
      </c>
      <c r="H1690" s="4" t="s">
        <v>32</v>
      </c>
      <c r="I1690" s="4" t="s">
        <v>33</v>
      </c>
      <c r="J1690" s="4">
        <v>2</v>
      </c>
      <c r="K1690" s="4">
        <v>0</v>
      </c>
      <c r="L1690" s="4">
        <f>J1690+K1690</f>
        <v>0</v>
      </c>
      <c r="M1690" s="4"/>
      <c r="N1690" s="4"/>
      <c r="O1690" s="4">
        <v>0</v>
      </c>
      <c r="P1690" s="4"/>
      <c r="Q1690" s="4"/>
      <c r="R1690" s="7">
        <v>0</v>
      </c>
      <c r="S1690" s="7">
        <v>0</v>
      </c>
      <c r="T1690" s="7">
        <f>R1690-S1690</f>
        <v>0</v>
      </c>
      <c r="U1690" s="7">
        <f>T1690*O1690</f>
        <v>0</v>
      </c>
    </row>
    <row r="1691" spans="1:21">
      <c r="A1691" s="4" t="s">
        <v>2409</v>
      </c>
      <c r="B1691" s="4" t="s">
        <v>48</v>
      </c>
      <c r="C1691" s="5">
        <v>45946.28770833334</v>
      </c>
      <c r="D1691" s="5">
        <v>45961</v>
      </c>
      <c r="E1691" s="6">
        <f>IF(AND(C1691&lt;&gt;"",D1691&lt;&gt;""),D1691-C1691,"")</f>
        <v>0</v>
      </c>
      <c r="F1691" s="4" t="s">
        <v>184</v>
      </c>
      <c r="G1691" s="4"/>
      <c r="H1691" s="4" t="s">
        <v>32</v>
      </c>
      <c r="I1691" s="4" t="s">
        <v>33</v>
      </c>
      <c r="J1691" s="4">
        <v>3</v>
      </c>
      <c r="K1691" s="4">
        <v>2</v>
      </c>
      <c r="L1691" s="4">
        <f>J1691+K1691</f>
        <v>0</v>
      </c>
      <c r="M1691" s="4"/>
      <c r="N1691" s="4"/>
      <c r="O1691" s="4">
        <v>0</v>
      </c>
      <c r="P1691" s="4"/>
      <c r="Q1691" s="4"/>
      <c r="R1691" s="7">
        <v>0</v>
      </c>
      <c r="S1691" s="7">
        <v>0</v>
      </c>
      <c r="T1691" s="7">
        <f>R1691-S1691</f>
        <v>0</v>
      </c>
      <c r="U1691" s="7">
        <f>T1691*O1691</f>
        <v>0</v>
      </c>
    </row>
    <row r="1692" spans="1:21">
      <c r="A1692" s="4" t="s">
        <v>2410</v>
      </c>
      <c r="B1692" s="4" t="s">
        <v>48</v>
      </c>
      <c r="C1692" s="5">
        <v>45946.28869212963</v>
      </c>
      <c r="D1692" s="5">
        <v>45961</v>
      </c>
      <c r="E1692" s="6">
        <f>IF(AND(C1692&lt;&gt;"",D1692&lt;&gt;""),D1692-C1692,"")</f>
        <v>0</v>
      </c>
      <c r="F1692" s="4" t="s">
        <v>2411</v>
      </c>
      <c r="G1692" s="4" t="s">
        <v>287</v>
      </c>
      <c r="H1692" s="4"/>
      <c r="I1692" s="4" t="s">
        <v>56</v>
      </c>
      <c r="J1692" s="4">
        <v>3</v>
      </c>
      <c r="K1692" s="4">
        <v>0</v>
      </c>
      <c r="L1692" s="4">
        <f>J1692+K1692</f>
        <v>0</v>
      </c>
      <c r="M1692" s="4"/>
      <c r="N1692" s="4"/>
      <c r="O1692" s="4">
        <v>0</v>
      </c>
      <c r="P1692" s="4"/>
      <c r="Q1692" s="4"/>
      <c r="R1692" s="7">
        <v>0</v>
      </c>
      <c r="S1692" s="7">
        <v>0</v>
      </c>
      <c r="T1692" s="7">
        <f>R1692-S1692</f>
        <v>0</v>
      </c>
      <c r="U1692" s="7">
        <f>T1692*O1692</f>
        <v>0</v>
      </c>
    </row>
    <row r="1693" spans="1:21">
      <c r="A1693" s="4" t="s">
        <v>2410</v>
      </c>
      <c r="B1693" s="4" t="s">
        <v>48</v>
      </c>
      <c r="C1693" s="5">
        <v>45946.28869212963</v>
      </c>
      <c r="D1693" s="5">
        <v>45961</v>
      </c>
      <c r="E1693" s="6">
        <f>IF(AND(C1693&lt;&gt;"",D1693&lt;&gt;""),D1693-C1693,"")</f>
        <v>0</v>
      </c>
      <c r="F1693" s="4" t="s">
        <v>2412</v>
      </c>
      <c r="G1693" s="4" t="s">
        <v>287</v>
      </c>
      <c r="H1693" s="4"/>
      <c r="I1693" s="4" t="s">
        <v>56</v>
      </c>
      <c r="J1693" s="4">
        <v>5</v>
      </c>
      <c r="K1693" s="4">
        <v>0</v>
      </c>
      <c r="L1693" s="4">
        <f>J1693+K1693</f>
        <v>0</v>
      </c>
      <c r="M1693" s="4"/>
      <c r="N1693" s="4"/>
      <c r="O1693" s="4">
        <v>0</v>
      </c>
      <c r="P1693" s="4"/>
      <c r="Q1693" s="4"/>
      <c r="R1693" s="7">
        <v>0</v>
      </c>
      <c r="S1693" s="7">
        <v>0</v>
      </c>
      <c r="T1693" s="7">
        <f>R1693-S1693</f>
        <v>0</v>
      </c>
      <c r="U1693" s="7">
        <f>T1693*O1693</f>
        <v>0</v>
      </c>
    </row>
    <row r="1694" spans="1:21">
      <c r="A1694" s="4" t="s">
        <v>2413</v>
      </c>
      <c r="B1694" s="4" t="s">
        <v>48</v>
      </c>
      <c r="C1694" s="5">
        <v>45946.28869212963</v>
      </c>
      <c r="D1694" s="5">
        <v>45961</v>
      </c>
      <c r="E1694" s="6">
        <f>IF(AND(C1694&lt;&gt;"",D1694&lt;&gt;""),D1694-C1694,"")</f>
        <v>0</v>
      </c>
      <c r="F1694" s="4" t="s">
        <v>2414</v>
      </c>
      <c r="G1694" s="4" t="s">
        <v>287</v>
      </c>
      <c r="H1694" s="4"/>
      <c r="I1694" s="4" t="s">
        <v>56</v>
      </c>
      <c r="J1694" s="4">
        <v>2</v>
      </c>
      <c r="K1694" s="4">
        <v>0</v>
      </c>
      <c r="L1694" s="4">
        <f>J1694+K1694</f>
        <v>0</v>
      </c>
      <c r="M1694" s="4"/>
      <c r="N1694" s="4"/>
      <c r="O1694" s="4">
        <v>0</v>
      </c>
      <c r="P1694" s="4"/>
      <c r="Q1694" s="4"/>
      <c r="R1694" s="7">
        <v>0</v>
      </c>
      <c r="S1694" s="7">
        <v>0</v>
      </c>
      <c r="T1694" s="7">
        <f>R1694-S1694</f>
        <v>0</v>
      </c>
      <c r="U1694" s="7">
        <f>T1694*O1694</f>
        <v>0</v>
      </c>
    </row>
    <row r="1695" spans="1:21">
      <c r="A1695" s="4" t="s">
        <v>2415</v>
      </c>
      <c r="B1695" s="4" t="s">
        <v>48</v>
      </c>
      <c r="C1695" s="5">
        <v>45946.28870370371</v>
      </c>
      <c r="D1695" s="5">
        <v>45961</v>
      </c>
      <c r="E1695" s="6">
        <f>IF(AND(C1695&lt;&gt;"",D1695&lt;&gt;""),D1695-C1695,"")</f>
        <v>0</v>
      </c>
      <c r="F1695" s="4" t="s">
        <v>2416</v>
      </c>
      <c r="G1695" s="4" t="s">
        <v>287</v>
      </c>
      <c r="H1695" s="4"/>
      <c r="I1695" s="4" t="s">
        <v>56</v>
      </c>
      <c r="J1695" s="4">
        <v>6</v>
      </c>
      <c r="K1695" s="4">
        <v>0</v>
      </c>
      <c r="L1695" s="4">
        <f>J1695+K1695</f>
        <v>0</v>
      </c>
      <c r="M1695" s="4"/>
      <c r="N1695" s="4"/>
      <c r="O1695" s="4">
        <v>0</v>
      </c>
      <c r="P1695" s="4"/>
      <c r="Q1695" s="4"/>
      <c r="R1695" s="7">
        <v>0</v>
      </c>
      <c r="S1695" s="7">
        <v>0</v>
      </c>
      <c r="T1695" s="7">
        <f>R1695-S1695</f>
        <v>0</v>
      </c>
      <c r="U1695" s="7">
        <f>T1695*O1695</f>
        <v>0</v>
      </c>
    </row>
    <row r="1696" spans="1:21">
      <c r="A1696" s="4" t="s">
        <v>2415</v>
      </c>
      <c r="B1696" s="4" t="s">
        <v>48</v>
      </c>
      <c r="C1696" s="5">
        <v>45946.28870370371</v>
      </c>
      <c r="D1696" s="5">
        <v>45961</v>
      </c>
      <c r="E1696" s="6">
        <f>IF(AND(C1696&lt;&gt;"",D1696&lt;&gt;""),D1696-C1696,"")</f>
        <v>0</v>
      </c>
      <c r="F1696" s="4" t="s">
        <v>2417</v>
      </c>
      <c r="G1696" s="4" t="s">
        <v>287</v>
      </c>
      <c r="H1696" s="4"/>
      <c r="I1696" s="4" t="s">
        <v>56</v>
      </c>
      <c r="J1696" s="4">
        <v>9</v>
      </c>
      <c r="K1696" s="4">
        <v>6</v>
      </c>
      <c r="L1696" s="4">
        <f>J1696+K1696</f>
        <v>0</v>
      </c>
      <c r="M1696" s="4"/>
      <c r="N1696" s="4"/>
      <c r="O1696" s="4">
        <v>0</v>
      </c>
      <c r="P1696" s="4"/>
      <c r="Q1696" s="4"/>
      <c r="R1696" s="7">
        <v>0</v>
      </c>
      <c r="S1696" s="7">
        <v>0</v>
      </c>
      <c r="T1696" s="7">
        <f>R1696-S1696</f>
        <v>0</v>
      </c>
      <c r="U1696" s="7">
        <f>T1696*O1696</f>
        <v>0</v>
      </c>
    </row>
    <row r="1697" spans="1:21">
      <c r="A1697" s="4" t="s">
        <v>2415</v>
      </c>
      <c r="B1697" s="4" t="s">
        <v>48</v>
      </c>
      <c r="C1697" s="5">
        <v>45946.28870370371</v>
      </c>
      <c r="D1697" s="5">
        <v>45961</v>
      </c>
      <c r="E1697" s="6">
        <f>IF(AND(C1697&lt;&gt;"",D1697&lt;&gt;""),D1697-C1697,"")</f>
        <v>0</v>
      </c>
      <c r="F1697" s="4" t="s">
        <v>2418</v>
      </c>
      <c r="G1697" s="4" t="s">
        <v>287</v>
      </c>
      <c r="H1697" s="4"/>
      <c r="I1697" s="4" t="s">
        <v>56</v>
      </c>
      <c r="J1697" s="4">
        <v>2</v>
      </c>
      <c r="K1697" s="4">
        <v>0</v>
      </c>
      <c r="L1697" s="4">
        <f>J1697+K1697</f>
        <v>0</v>
      </c>
      <c r="M1697" s="4"/>
      <c r="N1697" s="4"/>
      <c r="O1697" s="4">
        <v>0</v>
      </c>
      <c r="P1697" s="4"/>
      <c r="Q1697" s="4"/>
      <c r="R1697" s="7">
        <v>0</v>
      </c>
      <c r="S1697" s="7">
        <v>0</v>
      </c>
      <c r="T1697" s="7">
        <f>R1697-S1697</f>
        <v>0</v>
      </c>
      <c r="U1697" s="7">
        <f>T1697*O1697</f>
        <v>0</v>
      </c>
    </row>
    <row r="1698" spans="1:21">
      <c r="A1698" s="4" t="s">
        <v>2415</v>
      </c>
      <c r="B1698" s="4" t="s">
        <v>48</v>
      </c>
      <c r="C1698" s="5">
        <v>45946.28870370371</v>
      </c>
      <c r="D1698" s="5">
        <v>45961</v>
      </c>
      <c r="E1698" s="6">
        <f>IF(AND(C1698&lt;&gt;"",D1698&lt;&gt;""),D1698-C1698,"")</f>
        <v>0</v>
      </c>
      <c r="F1698" s="4" t="s">
        <v>2419</v>
      </c>
      <c r="G1698" s="4" t="s">
        <v>287</v>
      </c>
      <c r="H1698" s="4"/>
      <c r="I1698" s="4" t="s">
        <v>56</v>
      </c>
      <c r="J1698" s="4">
        <v>3</v>
      </c>
      <c r="K1698" s="4">
        <v>2</v>
      </c>
      <c r="L1698" s="4">
        <f>J1698+K1698</f>
        <v>0</v>
      </c>
      <c r="M1698" s="4"/>
      <c r="N1698" s="4"/>
      <c r="O1698" s="4">
        <v>0</v>
      </c>
      <c r="P1698" s="4"/>
      <c r="Q1698" s="4"/>
      <c r="R1698" s="7">
        <v>0</v>
      </c>
      <c r="S1698" s="7">
        <v>0</v>
      </c>
      <c r="T1698" s="7">
        <f>R1698-S1698</f>
        <v>0</v>
      </c>
      <c r="U1698" s="7">
        <f>T1698*O1698</f>
        <v>0</v>
      </c>
    </row>
    <row r="1699" spans="1:21">
      <c r="A1699" s="4" t="s">
        <v>2420</v>
      </c>
      <c r="B1699" s="4" t="s">
        <v>48</v>
      </c>
      <c r="C1699" s="5">
        <v>45946.28870370371</v>
      </c>
      <c r="D1699" s="5">
        <v>45961</v>
      </c>
      <c r="E1699" s="6">
        <f>IF(AND(C1699&lt;&gt;"",D1699&lt;&gt;""),D1699-C1699,"")</f>
        <v>0</v>
      </c>
      <c r="F1699" s="4" t="s">
        <v>2421</v>
      </c>
      <c r="G1699" s="4" t="s">
        <v>287</v>
      </c>
      <c r="H1699" s="4"/>
      <c r="I1699" s="4" t="s">
        <v>56</v>
      </c>
      <c r="J1699" s="4">
        <v>2</v>
      </c>
      <c r="K1699" s="4">
        <v>0</v>
      </c>
      <c r="L1699" s="4">
        <f>J1699+K1699</f>
        <v>0</v>
      </c>
      <c r="M1699" s="4"/>
      <c r="N1699" s="4"/>
      <c r="O1699" s="4">
        <v>0</v>
      </c>
      <c r="P1699" s="4"/>
      <c r="Q1699" s="4"/>
      <c r="R1699" s="7">
        <v>0</v>
      </c>
      <c r="S1699" s="7">
        <v>0</v>
      </c>
      <c r="T1699" s="7">
        <f>R1699-S1699</f>
        <v>0</v>
      </c>
      <c r="U1699" s="7">
        <f>T1699*O1699</f>
        <v>0</v>
      </c>
    </row>
    <row r="1700" spans="1:21">
      <c r="A1700" s="4" t="s">
        <v>2420</v>
      </c>
      <c r="B1700" s="4" t="s">
        <v>48</v>
      </c>
      <c r="C1700" s="5">
        <v>45946.28870370371</v>
      </c>
      <c r="D1700" s="5">
        <v>45961</v>
      </c>
      <c r="E1700" s="6">
        <f>IF(AND(C1700&lt;&gt;"",D1700&lt;&gt;""),D1700-C1700,"")</f>
        <v>0</v>
      </c>
      <c r="F1700" s="4" t="s">
        <v>2422</v>
      </c>
      <c r="G1700" s="4" t="s">
        <v>287</v>
      </c>
      <c r="H1700" s="4"/>
      <c r="I1700" s="4" t="s">
        <v>56</v>
      </c>
      <c r="J1700" s="4">
        <v>5</v>
      </c>
      <c r="K1700" s="4">
        <v>0</v>
      </c>
      <c r="L1700" s="4">
        <f>J1700+K1700</f>
        <v>0</v>
      </c>
      <c r="M1700" s="4"/>
      <c r="N1700" s="4"/>
      <c r="O1700" s="4">
        <v>0</v>
      </c>
      <c r="P1700" s="4"/>
      <c r="Q1700" s="4"/>
      <c r="R1700" s="7">
        <v>0</v>
      </c>
      <c r="S1700" s="7">
        <v>0</v>
      </c>
      <c r="T1700" s="7">
        <f>R1700-S1700</f>
        <v>0</v>
      </c>
      <c r="U1700" s="7">
        <f>T1700*O1700</f>
        <v>0</v>
      </c>
    </row>
    <row r="1701" spans="1:21">
      <c r="A1701" s="4" t="s">
        <v>2420</v>
      </c>
      <c r="B1701" s="4" t="s">
        <v>48</v>
      </c>
      <c r="C1701" s="5">
        <v>45946.28870370371</v>
      </c>
      <c r="D1701" s="5">
        <v>45961</v>
      </c>
      <c r="E1701" s="6">
        <f>IF(AND(C1701&lt;&gt;"",D1701&lt;&gt;""),D1701-C1701,"")</f>
        <v>0</v>
      </c>
      <c r="F1701" s="4" t="s">
        <v>2423</v>
      </c>
      <c r="G1701" s="4" t="s">
        <v>287</v>
      </c>
      <c r="H1701" s="4"/>
      <c r="I1701" s="4" t="s">
        <v>56</v>
      </c>
      <c r="J1701" s="4">
        <v>3</v>
      </c>
      <c r="K1701" s="4">
        <v>0</v>
      </c>
      <c r="L1701" s="4">
        <f>J1701+K1701</f>
        <v>0</v>
      </c>
      <c r="M1701" s="4"/>
      <c r="N1701" s="4"/>
      <c r="O1701" s="4">
        <v>0</v>
      </c>
      <c r="P1701" s="4"/>
      <c r="Q1701" s="4"/>
      <c r="R1701" s="7">
        <v>0</v>
      </c>
      <c r="S1701" s="7">
        <v>0</v>
      </c>
      <c r="T1701" s="7">
        <f>R1701-S1701</f>
        <v>0</v>
      </c>
      <c r="U1701" s="7">
        <f>T1701*O1701</f>
        <v>0</v>
      </c>
    </row>
    <row r="1702" spans="1:21">
      <c r="A1702" s="4" t="s">
        <v>2424</v>
      </c>
      <c r="B1702" s="4" t="s">
        <v>48</v>
      </c>
      <c r="C1702" s="5">
        <v>45946.28870370371</v>
      </c>
      <c r="D1702" s="5">
        <v>45961</v>
      </c>
      <c r="E1702" s="6">
        <f>IF(AND(C1702&lt;&gt;"",D1702&lt;&gt;""),D1702-C1702,"")</f>
        <v>0</v>
      </c>
      <c r="F1702" s="4" t="s">
        <v>2414</v>
      </c>
      <c r="G1702" s="4" t="s">
        <v>287</v>
      </c>
      <c r="H1702" s="4"/>
      <c r="I1702" s="4" t="s">
        <v>56</v>
      </c>
      <c r="J1702" s="4">
        <v>5</v>
      </c>
      <c r="K1702" s="4">
        <v>0</v>
      </c>
      <c r="L1702" s="4">
        <f>J1702+K1702</f>
        <v>0</v>
      </c>
      <c r="M1702" s="4"/>
      <c r="N1702" s="4"/>
      <c r="O1702" s="4">
        <v>0</v>
      </c>
      <c r="P1702" s="4"/>
      <c r="Q1702" s="4"/>
      <c r="R1702" s="7">
        <v>0</v>
      </c>
      <c r="S1702" s="7">
        <v>0</v>
      </c>
      <c r="T1702" s="7">
        <f>R1702-S1702</f>
        <v>0</v>
      </c>
      <c r="U1702" s="7">
        <f>T1702*O1702</f>
        <v>0</v>
      </c>
    </row>
    <row r="1703" spans="1:21">
      <c r="A1703" s="4" t="s">
        <v>2425</v>
      </c>
      <c r="B1703" s="4" t="s">
        <v>48</v>
      </c>
      <c r="C1703" s="5">
        <v>45946.28870370371</v>
      </c>
      <c r="D1703" s="5">
        <v>45961</v>
      </c>
      <c r="E1703" s="6">
        <f>IF(AND(C1703&lt;&gt;"",D1703&lt;&gt;""),D1703-C1703,"")</f>
        <v>0</v>
      </c>
      <c r="F1703" s="4" t="s">
        <v>2426</v>
      </c>
      <c r="G1703" s="4" t="s">
        <v>287</v>
      </c>
      <c r="H1703" s="4"/>
      <c r="I1703" s="4" t="s">
        <v>56</v>
      </c>
      <c r="J1703" s="4">
        <v>3</v>
      </c>
      <c r="K1703" s="4">
        <v>0</v>
      </c>
      <c r="L1703" s="4">
        <f>J1703+K1703</f>
        <v>0</v>
      </c>
      <c r="M1703" s="4"/>
      <c r="N1703" s="4"/>
      <c r="O1703" s="4">
        <v>0</v>
      </c>
      <c r="P1703" s="4"/>
      <c r="Q1703" s="4"/>
      <c r="R1703" s="7">
        <v>0</v>
      </c>
      <c r="S1703" s="7">
        <v>0</v>
      </c>
      <c r="T1703" s="7">
        <f>R1703-S1703</f>
        <v>0</v>
      </c>
      <c r="U1703" s="7">
        <f>T1703*O1703</f>
        <v>0</v>
      </c>
    </row>
    <row r="1704" spans="1:21">
      <c r="A1704" s="4" t="s">
        <v>2427</v>
      </c>
      <c r="B1704" s="4" t="s">
        <v>48</v>
      </c>
      <c r="C1704" s="5">
        <v>45946.28870370371</v>
      </c>
      <c r="D1704" s="5">
        <v>45961</v>
      </c>
      <c r="E1704" s="6">
        <f>IF(AND(C1704&lt;&gt;"",D1704&lt;&gt;""),D1704-C1704,"")</f>
        <v>0</v>
      </c>
      <c r="F1704" s="4" t="s">
        <v>2428</v>
      </c>
      <c r="G1704" s="4" t="s">
        <v>287</v>
      </c>
      <c r="H1704" s="4"/>
      <c r="I1704" s="4" t="s">
        <v>56</v>
      </c>
      <c r="J1704" s="4">
        <v>2</v>
      </c>
      <c r="K1704" s="4">
        <v>0</v>
      </c>
      <c r="L1704" s="4">
        <f>J1704+K1704</f>
        <v>0</v>
      </c>
      <c r="M1704" s="4"/>
      <c r="N1704" s="4"/>
      <c r="O1704" s="4">
        <v>0</v>
      </c>
      <c r="P1704" s="4"/>
      <c r="Q1704" s="4"/>
      <c r="R1704" s="7">
        <v>0</v>
      </c>
      <c r="S1704" s="7">
        <v>0</v>
      </c>
      <c r="T1704" s="7">
        <f>R1704-S1704</f>
        <v>0</v>
      </c>
      <c r="U1704" s="7">
        <f>T1704*O1704</f>
        <v>0</v>
      </c>
    </row>
    <row r="1705" spans="1:21">
      <c r="A1705" s="4" t="s">
        <v>2429</v>
      </c>
      <c r="B1705" s="4" t="s">
        <v>48</v>
      </c>
      <c r="C1705" s="5">
        <v>45946.28871527778</v>
      </c>
      <c r="D1705" s="5">
        <v>45961</v>
      </c>
      <c r="E1705" s="6">
        <f>IF(AND(C1705&lt;&gt;"",D1705&lt;&gt;""),D1705-C1705,"")</f>
        <v>0</v>
      </c>
      <c r="F1705" s="4" t="s">
        <v>2430</v>
      </c>
      <c r="G1705" s="4" t="s">
        <v>287</v>
      </c>
      <c r="H1705" s="4"/>
      <c r="I1705" s="4" t="s">
        <v>56</v>
      </c>
      <c r="J1705" s="4">
        <v>3</v>
      </c>
      <c r="K1705" s="4">
        <v>0</v>
      </c>
      <c r="L1705" s="4">
        <f>J1705+K1705</f>
        <v>0</v>
      </c>
      <c r="M1705" s="4"/>
      <c r="N1705" s="4"/>
      <c r="O1705" s="4">
        <v>0</v>
      </c>
      <c r="P1705" s="4"/>
      <c r="Q1705" s="4"/>
      <c r="R1705" s="7">
        <v>0</v>
      </c>
      <c r="S1705" s="7">
        <v>0</v>
      </c>
      <c r="T1705" s="7">
        <f>R1705-S1705</f>
        <v>0</v>
      </c>
      <c r="U1705" s="7">
        <f>T1705*O1705</f>
        <v>0</v>
      </c>
    </row>
    <row r="1706" spans="1:21">
      <c r="A1706" s="4" t="s">
        <v>2429</v>
      </c>
      <c r="B1706" s="4" t="s">
        <v>48</v>
      </c>
      <c r="C1706" s="5">
        <v>45946.28871527778</v>
      </c>
      <c r="D1706" s="5">
        <v>45961</v>
      </c>
      <c r="E1706" s="6">
        <f>IF(AND(C1706&lt;&gt;"",D1706&lt;&gt;""),D1706-C1706,"")</f>
        <v>0</v>
      </c>
      <c r="F1706" s="4" t="s">
        <v>2431</v>
      </c>
      <c r="G1706" s="4" t="s">
        <v>287</v>
      </c>
      <c r="H1706" s="4"/>
      <c r="I1706" s="4" t="s">
        <v>56</v>
      </c>
      <c r="J1706" s="4">
        <v>2</v>
      </c>
      <c r="K1706" s="4">
        <v>0</v>
      </c>
      <c r="L1706" s="4">
        <f>J1706+K1706</f>
        <v>0</v>
      </c>
      <c r="M1706" s="4"/>
      <c r="N1706" s="4"/>
      <c r="O1706" s="4">
        <v>0</v>
      </c>
      <c r="P1706" s="4"/>
      <c r="Q1706" s="4"/>
      <c r="R1706" s="7">
        <v>0</v>
      </c>
      <c r="S1706" s="7">
        <v>0</v>
      </c>
      <c r="T1706" s="7">
        <f>R1706-S1706</f>
        <v>0</v>
      </c>
      <c r="U1706" s="7">
        <f>T1706*O1706</f>
        <v>0</v>
      </c>
    </row>
    <row r="1707" spans="1:21">
      <c r="A1707" s="4" t="s">
        <v>2429</v>
      </c>
      <c r="B1707" s="4" t="s">
        <v>48</v>
      </c>
      <c r="C1707" s="5">
        <v>45946.28871527778</v>
      </c>
      <c r="D1707" s="5">
        <v>45961</v>
      </c>
      <c r="E1707" s="6">
        <f>IF(AND(C1707&lt;&gt;"",D1707&lt;&gt;""),D1707-C1707,"")</f>
        <v>0</v>
      </c>
      <c r="F1707" s="4" t="s">
        <v>2432</v>
      </c>
      <c r="G1707" s="4" t="s">
        <v>287</v>
      </c>
      <c r="H1707" s="4"/>
      <c r="I1707" s="4" t="s">
        <v>56</v>
      </c>
      <c r="J1707" s="4">
        <v>3</v>
      </c>
      <c r="K1707" s="4">
        <v>2</v>
      </c>
      <c r="L1707" s="4">
        <f>J1707+K1707</f>
        <v>0</v>
      </c>
      <c r="M1707" s="4"/>
      <c r="N1707" s="4"/>
      <c r="O1707" s="4">
        <v>0</v>
      </c>
      <c r="P1707" s="4"/>
      <c r="Q1707" s="4"/>
      <c r="R1707" s="7">
        <v>0</v>
      </c>
      <c r="S1707" s="7">
        <v>0</v>
      </c>
      <c r="T1707" s="7">
        <f>R1707-S1707</f>
        <v>0</v>
      </c>
      <c r="U1707" s="7">
        <f>T1707*O1707</f>
        <v>0</v>
      </c>
    </row>
    <row r="1708" spans="1:21">
      <c r="A1708" s="4" t="s">
        <v>2429</v>
      </c>
      <c r="B1708" s="4" t="s">
        <v>48</v>
      </c>
      <c r="C1708" s="5">
        <v>45946.28871527778</v>
      </c>
      <c r="D1708" s="5">
        <v>45961</v>
      </c>
      <c r="E1708" s="6">
        <f>IF(AND(C1708&lt;&gt;"",D1708&lt;&gt;""),D1708-C1708,"")</f>
        <v>0</v>
      </c>
      <c r="F1708" s="4" t="s">
        <v>2433</v>
      </c>
      <c r="G1708" s="4" t="s">
        <v>287</v>
      </c>
      <c r="H1708" s="4"/>
      <c r="I1708" s="4" t="s">
        <v>56</v>
      </c>
      <c r="J1708" s="4">
        <v>2</v>
      </c>
      <c r="K1708" s="4">
        <v>0</v>
      </c>
      <c r="L1708" s="4">
        <f>J1708+K1708</f>
        <v>0</v>
      </c>
      <c r="M1708" s="4"/>
      <c r="N1708" s="4"/>
      <c r="O1708" s="4">
        <v>0</v>
      </c>
      <c r="P1708" s="4"/>
      <c r="Q1708" s="4"/>
      <c r="R1708" s="7">
        <v>0</v>
      </c>
      <c r="S1708" s="7">
        <v>0</v>
      </c>
      <c r="T1708" s="7">
        <f>R1708-S1708</f>
        <v>0</v>
      </c>
      <c r="U1708" s="7">
        <f>T1708*O1708</f>
        <v>0</v>
      </c>
    </row>
    <row r="1709" spans="1:21">
      <c r="A1709" s="4" t="s">
        <v>2434</v>
      </c>
      <c r="B1709" s="4" t="s">
        <v>48</v>
      </c>
      <c r="C1709" s="5">
        <v>45946.28871527778</v>
      </c>
      <c r="D1709" s="5">
        <v>45961</v>
      </c>
      <c r="E1709" s="6">
        <f>IF(AND(C1709&lt;&gt;"",D1709&lt;&gt;""),D1709-C1709,"")</f>
        <v>0</v>
      </c>
      <c r="F1709" s="4" t="s">
        <v>2435</v>
      </c>
      <c r="G1709" s="4" t="s">
        <v>287</v>
      </c>
      <c r="H1709" s="4"/>
      <c r="I1709" s="4" t="s">
        <v>56</v>
      </c>
      <c r="J1709" s="4">
        <v>5</v>
      </c>
      <c r="K1709" s="4">
        <v>0</v>
      </c>
      <c r="L1709" s="4">
        <f>J1709+K1709</f>
        <v>0</v>
      </c>
      <c r="M1709" s="4"/>
      <c r="N1709" s="4"/>
      <c r="O1709" s="4">
        <v>0</v>
      </c>
      <c r="P1709" s="4"/>
      <c r="Q1709" s="4"/>
      <c r="R1709" s="7">
        <v>0</v>
      </c>
      <c r="S1709" s="7">
        <v>0</v>
      </c>
      <c r="T1709" s="7">
        <f>R1709-S1709</f>
        <v>0</v>
      </c>
      <c r="U1709" s="7">
        <f>T1709*O1709</f>
        <v>0</v>
      </c>
    </row>
    <row r="1710" spans="1:21">
      <c r="A1710" s="4" t="s">
        <v>2434</v>
      </c>
      <c r="B1710" s="4" t="s">
        <v>48</v>
      </c>
      <c r="C1710" s="5">
        <v>45946.28871527778</v>
      </c>
      <c r="D1710" s="5">
        <v>45961</v>
      </c>
      <c r="E1710" s="6">
        <f>IF(AND(C1710&lt;&gt;"",D1710&lt;&gt;""),D1710-C1710,"")</f>
        <v>0</v>
      </c>
      <c r="F1710" s="4" t="s">
        <v>2436</v>
      </c>
      <c r="G1710" s="4" t="s">
        <v>287</v>
      </c>
      <c r="H1710" s="4"/>
      <c r="I1710" s="4" t="s">
        <v>56</v>
      </c>
      <c r="J1710" s="4">
        <v>5</v>
      </c>
      <c r="K1710" s="4">
        <v>0</v>
      </c>
      <c r="L1710" s="4">
        <f>J1710+K1710</f>
        <v>0</v>
      </c>
      <c r="M1710" s="4"/>
      <c r="N1710" s="4"/>
      <c r="O1710" s="4">
        <v>0</v>
      </c>
      <c r="P1710" s="4"/>
      <c r="Q1710" s="4"/>
      <c r="R1710" s="7">
        <v>0</v>
      </c>
      <c r="S1710" s="7">
        <v>0</v>
      </c>
      <c r="T1710" s="7">
        <f>R1710-S1710</f>
        <v>0</v>
      </c>
      <c r="U1710" s="7">
        <f>T1710*O1710</f>
        <v>0</v>
      </c>
    </row>
    <row r="1711" spans="1:21">
      <c r="A1711" s="4" t="s">
        <v>2425</v>
      </c>
      <c r="B1711" s="4" t="s">
        <v>48</v>
      </c>
      <c r="C1711" s="5">
        <v>45946.28872685185</v>
      </c>
      <c r="D1711" s="5">
        <v>45961</v>
      </c>
      <c r="E1711" s="6">
        <f>IF(AND(C1711&lt;&gt;"",D1711&lt;&gt;""),D1711-C1711,"")</f>
        <v>0</v>
      </c>
      <c r="F1711" s="4" t="s">
        <v>2437</v>
      </c>
      <c r="G1711" s="4" t="s">
        <v>287</v>
      </c>
      <c r="H1711" s="4"/>
      <c r="I1711" s="4" t="s">
        <v>56</v>
      </c>
      <c r="J1711" s="4">
        <v>3</v>
      </c>
      <c r="K1711" s="4">
        <v>0</v>
      </c>
      <c r="L1711" s="4">
        <f>J1711+K1711</f>
        <v>0</v>
      </c>
      <c r="M1711" s="4"/>
      <c r="N1711" s="4"/>
      <c r="O1711" s="4">
        <v>0</v>
      </c>
      <c r="P1711" s="4"/>
      <c r="Q1711" s="4"/>
      <c r="R1711" s="7">
        <v>0</v>
      </c>
      <c r="S1711" s="7">
        <v>0</v>
      </c>
      <c r="T1711" s="7">
        <f>R1711-S1711</f>
        <v>0</v>
      </c>
      <c r="U1711" s="7">
        <f>T1711*O1711</f>
        <v>0</v>
      </c>
    </row>
    <row r="1712" spans="1:21">
      <c r="A1712" s="4" t="s">
        <v>2425</v>
      </c>
      <c r="B1712" s="4" t="s">
        <v>48</v>
      </c>
      <c r="C1712" s="5">
        <v>45946.28872685185</v>
      </c>
      <c r="D1712" s="5">
        <v>45961</v>
      </c>
      <c r="E1712" s="6">
        <f>IF(AND(C1712&lt;&gt;"",D1712&lt;&gt;""),D1712-C1712,"")</f>
        <v>0</v>
      </c>
      <c r="F1712" s="4" t="s">
        <v>2438</v>
      </c>
      <c r="G1712" s="4" t="s">
        <v>287</v>
      </c>
      <c r="H1712" s="4"/>
      <c r="I1712" s="4" t="s">
        <v>56</v>
      </c>
      <c r="J1712" s="4">
        <v>3</v>
      </c>
      <c r="K1712" s="4">
        <v>0</v>
      </c>
      <c r="L1712" s="4">
        <f>J1712+K1712</f>
        <v>0</v>
      </c>
      <c r="M1712" s="4"/>
      <c r="N1712" s="4"/>
      <c r="O1712" s="4">
        <v>0</v>
      </c>
      <c r="P1712" s="4"/>
      <c r="Q1712" s="4"/>
      <c r="R1712" s="7">
        <v>0</v>
      </c>
      <c r="S1712" s="7">
        <v>0</v>
      </c>
      <c r="T1712" s="7">
        <f>R1712-S1712</f>
        <v>0</v>
      </c>
      <c r="U1712" s="7">
        <f>T1712*O1712</f>
        <v>0</v>
      </c>
    </row>
    <row r="1713" spans="1:21">
      <c r="A1713" s="4" t="s">
        <v>2425</v>
      </c>
      <c r="B1713" s="4" t="s">
        <v>48</v>
      </c>
      <c r="C1713" s="5">
        <v>45946.28872685185</v>
      </c>
      <c r="D1713" s="5">
        <v>45961</v>
      </c>
      <c r="E1713" s="6">
        <f>IF(AND(C1713&lt;&gt;"",D1713&lt;&gt;""),D1713-C1713,"")</f>
        <v>0</v>
      </c>
      <c r="F1713" s="4" t="s">
        <v>2439</v>
      </c>
      <c r="G1713" s="4" t="s">
        <v>287</v>
      </c>
      <c r="H1713" s="4"/>
      <c r="I1713" s="4" t="s">
        <v>56</v>
      </c>
      <c r="J1713" s="4">
        <v>5</v>
      </c>
      <c r="K1713" s="4">
        <v>0</v>
      </c>
      <c r="L1713" s="4">
        <f>J1713+K1713</f>
        <v>0</v>
      </c>
      <c r="M1713" s="4"/>
      <c r="N1713" s="4"/>
      <c r="O1713" s="4">
        <v>0</v>
      </c>
      <c r="P1713" s="4"/>
      <c r="Q1713" s="4"/>
      <c r="R1713" s="7">
        <v>0</v>
      </c>
      <c r="S1713" s="7">
        <v>0</v>
      </c>
      <c r="T1713" s="7">
        <f>R1713-S1713</f>
        <v>0</v>
      </c>
      <c r="U1713" s="7">
        <f>T1713*O1713</f>
        <v>0</v>
      </c>
    </row>
    <row r="1714" spans="1:21">
      <c r="A1714" s="4" t="s">
        <v>2440</v>
      </c>
      <c r="B1714" s="4" t="s">
        <v>48</v>
      </c>
      <c r="C1714" s="5">
        <v>45946.28872685185</v>
      </c>
      <c r="D1714" s="5">
        <v>45961</v>
      </c>
      <c r="E1714" s="6">
        <f>IF(AND(C1714&lt;&gt;"",D1714&lt;&gt;""),D1714-C1714,"")</f>
        <v>0</v>
      </c>
      <c r="F1714" s="4" t="s">
        <v>2441</v>
      </c>
      <c r="G1714" s="4" t="s">
        <v>287</v>
      </c>
      <c r="H1714" s="4"/>
      <c r="I1714" s="4" t="s">
        <v>56</v>
      </c>
      <c r="J1714" s="4">
        <v>3</v>
      </c>
      <c r="K1714" s="4">
        <v>0</v>
      </c>
      <c r="L1714" s="4">
        <f>J1714+K1714</f>
        <v>0</v>
      </c>
      <c r="M1714" s="4"/>
      <c r="N1714" s="4"/>
      <c r="O1714" s="4">
        <v>0</v>
      </c>
      <c r="P1714" s="4"/>
      <c r="Q1714" s="4"/>
      <c r="R1714" s="7">
        <v>0</v>
      </c>
      <c r="S1714" s="7">
        <v>0</v>
      </c>
      <c r="T1714" s="7">
        <f>R1714-S1714</f>
        <v>0</v>
      </c>
      <c r="U1714" s="7">
        <f>T1714*O1714</f>
        <v>0</v>
      </c>
    </row>
    <row r="1715" spans="1:21">
      <c r="A1715" s="4" t="s">
        <v>2440</v>
      </c>
      <c r="B1715" s="4" t="s">
        <v>48</v>
      </c>
      <c r="C1715" s="5">
        <v>45946.28872685185</v>
      </c>
      <c r="D1715" s="5">
        <v>45961</v>
      </c>
      <c r="E1715" s="6">
        <f>IF(AND(C1715&lt;&gt;"",D1715&lt;&gt;""),D1715-C1715,"")</f>
        <v>0</v>
      </c>
      <c r="F1715" s="4" t="s">
        <v>2442</v>
      </c>
      <c r="G1715" s="4" t="s">
        <v>287</v>
      </c>
      <c r="H1715" s="4"/>
      <c r="I1715" s="4" t="s">
        <v>56</v>
      </c>
      <c r="J1715" s="4">
        <v>5</v>
      </c>
      <c r="K1715" s="4">
        <v>0</v>
      </c>
      <c r="L1715" s="4">
        <f>J1715+K1715</f>
        <v>0</v>
      </c>
      <c r="M1715" s="4"/>
      <c r="N1715" s="4"/>
      <c r="O1715" s="4">
        <v>0</v>
      </c>
      <c r="P1715" s="4"/>
      <c r="Q1715" s="4"/>
      <c r="R1715" s="7">
        <v>0</v>
      </c>
      <c r="S1715" s="7">
        <v>0</v>
      </c>
      <c r="T1715" s="7">
        <f>R1715-S1715</f>
        <v>0</v>
      </c>
      <c r="U1715" s="7">
        <f>T1715*O1715</f>
        <v>0</v>
      </c>
    </row>
    <row r="1716" spans="1:21">
      <c r="A1716" s="4" t="s">
        <v>2440</v>
      </c>
      <c r="B1716" s="4" t="s">
        <v>48</v>
      </c>
      <c r="C1716" s="5">
        <v>45946.28872685185</v>
      </c>
      <c r="D1716" s="5">
        <v>45961</v>
      </c>
      <c r="E1716" s="6">
        <f>IF(AND(C1716&lt;&gt;"",D1716&lt;&gt;""),D1716-C1716,"")</f>
        <v>0</v>
      </c>
      <c r="F1716" s="4" t="s">
        <v>2443</v>
      </c>
      <c r="G1716" s="4" t="s">
        <v>287</v>
      </c>
      <c r="H1716" s="4"/>
      <c r="I1716" s="4" t="s">
        <v>56</v>
      </c>
      <c r="J1716" s="4">
        <v>3</v>
      </c>
      <c r="K1716" s="4">
        <v>0</v>
      </c>
      <c r="L1716" s="4">
        <f>J1716+K1716</f>
        <v>0</v>
      </c>
      <c r="M1716" s="4"/>
      <c r="N1716" s="4"/>
      <c r="O1716" s="4">
        <v>0</v>
      </c>
      <c r="P1716" s="4"/>
      <c r="Q1716" s="4"/>
      <c r="R1716" s="7">
        <v>0</v>
      </c>
      <c r="S1716" s="7">
        <v>0</v>
      </c>
      <c r="T1716" s="7">
        <f>R1716-S1716</f>
        <v>0</v>
      </c>
      <c r="U1716" s="7">
        <f>T1716*O1716</f>
        <v>0</v>
      </c>
    </row>
    <row r="1717" spans="1:21">
      <c r="A1717" s="4" t="s">
        <v>2444</v>
      </c>
      <c r="B1717" s="4" t="s">
        <v>48</v>
      </c>
      <c r="C1717" s="5">
        <v>45946.28872685185</v>
      </c>
      <c r="D1717" s="5">
        <v>45961</v>
      </c>
      <c r="E1717" s="6">
        <f>IF(AND(C1717&lt;&gt;"",D1717&lt;&gt;""),D1717-C1717,"")</f>
        <v>0</v>
      </c>
      <c r="F1717" s="4" t="s">
        <v>2445</v>
      </c>
      <c r="G1717" s="4" t="s">
        <v>287</v>
      </c>
      <c r="H1717" s="4"/>
      <c r="I1717" s="4" t="s">
        <v>56</v>
      </c>
      <c r="J1717" s="4">
        <v>4</v>
      </c>
      <c r="K1717" s="4">
        <v>0</v>
      </c>
      <c r="L1717" s="4">
        <f>J1717+K1717</f>
        <v>0</v>
      </c>
      <c r="M1717" s="4"/>
      <c r="N1717" s="4"/>
      <c r="O1717" s="4">
        <v>0</v>
      </c>
      <c r="P1717" s="4"/>
      <c r="Q1717" s="4"/>
      <c r="R1717" s="7">
        <v>0</v>
      </c>
      <c r="S1717" s="7">
        <v>0</v>
      </c>
      <c r="T1717" s="7">
        <f>R1717-S1717</f>
        <v>0</v>
      </c>
      <c r="U1717" s="7">
        <f>T1717*O1717</f>
        <v>0</v>
      </c>
    </row>
    <row r="1718" spans="1:21">
      <c r="A1718" s="4" t="s">
        <v>2444</v>
      </c>
      <c r="B1718" s="4" t="s">
        <v>48</v>
      </c>
      <c r="C1718" s="5">
        <v>45946.28872685185</v>
      </c>
      <c r="D1718" s="5">
        <v>45961</v>
      </c>
      <c r="E1718" s="6">
        <f>IF(AND(C1718&lt;&gt;"",D1718&lt;&gt;""),D1718-C1718,"")</f>
        <v>0</v>
      </c>
      <c r="F1718" s="4" t="s">
        <v>2446</v>
      </c>
      <c r="G1718" s="4" t="s">
        <v>287</v>
      </c>
      <c r="H1718" s="4"/>
      <c r="I1718" s="4" t="s">
        <v>56</v>
      </c>
      <c r="J1718" s="4">
        <v>1</v>
      </c>
      <c r="K1718" s="4">
        <v>0</v>
      </c>
      <c r="L1718" s="4">
        <f>J1718+K1718</f>
        <v>0</v>
      </c>
      <c r="M1718" s="4"/>
      <c r="N1718" s="4"/>
      <c r="O1718" s="4">
        <v>0</v>
      </c>
      <c r="P1718" s="4"/>
      <c r="Q1718" s="4"/>
      <c r="R1718" s="7">
        <v>0</v>
      </c>
      <c r="S1718" s="7">
        <v>0</v>
      </c>
      <c r="T1718" s="7">
        <f>R1718-S1718</f>
        <v>0</v>
      </c>
      <c r="U1718" s="7">
        <f>T1718*O1718</f>
        <v>0</v>
      </c>
    </row>
    <row r="1719" spans="1:21">
      <c r="A1719" s="4" t="s">
        <v>2444</v>
      </c>
      <c r="B1719" s="4" t="s">
        <v>48</v>
      </c>
      <c r="C1719" s="5">
        <v>45946.28872685185</v>
      </c>
      <c r="D1719" s="5">
        <v>45961</v>
      </c>
      <c r="E1719" s="6">
        <f>IF(AND(C1719&lt;&gt;"",D1719&lt;&gt;""),D1719-C1719,"")</f>
        <v>0</v>
      </c>
      <c r="F1719" s="4" t="s">
        <v>2447</v>
      </c>
      <c r="G1719" s="4" t="s">
        <v>287</v>
      </c>
      <c r="H1719" s="4" t="s">
        <v>1318</v>
      </c>
      <c r="I1719" s="4" t="s">
        <v>56</v>
      </c>
      <c r="J1719" s="4">
        <v>5</v>
      </c>
      <c r="K1719" s="4">
        <v>0</v>
      </c>
      <c r="L1719" s="4">
        <f>J1719+K1719</f>
        <v>0</v>
      </c>
      <c r="M1719" s="4"/>
      <c r="N1719" s="4"/>
      <c r="O1719" s="4">
        <v>0</v>
      </c>
      <c r="P1719" s="4"/>
      <c r="Q1719" s="4"/>
      <c r="R1719" s="7">
        <v>0</v>
      </c>
      <c r="S1719" s="7">
        <v>0</v>
      </c>
      <c r="T1719" s="7">
        <f>R1719-S1719</f>
        <v>0</v>
      </c>
      <c r="U1719" s="7">
        <f>T1719*O1719</f>
        <v>0</v>
      </c>
    </row>
    <row r="1720" spans="1:21">
      <c r="A1720" s="4" t="s">
        <v>2444</v>
      </c>
      <c r="B1720" s="4" t="s">
        <v>48</v>
      </c>
      <c r="C1720" s="5">
        <v>45946.28872685185</v>
      </c>
      <c r="D1720" s="5">
        <v>45961</v>
      </c>
      <c r="E1720" s="6">
        <f>IF(AND(C1720&lt;&gt;"",D1720&lt;&gt;""),D1720-C1720,"")</f>
        <v>0</v>
      </c>
      <c r="F1720" s="4" t="s">
        <v>2448</v>
      </c>
      <c r="G1720" s="4" t="s">
        <v>287</v>
      </c>
      <c r="H1720" s="4"/>
      <c r="I1720" s="4" t="s">
        <v>56</v>
      </c>
      <c r="J1720" s="4">
        <v>3</v>
      </c>
      <c r="K1720" s="4">
        <v>2</v>
      </c>
      <c r="L1720" s="4">
        <f>J1720+K1720</f>
        <v>0</v>
      </c>
      <c r="M1720" s="4"/>
      <c r="N1720" s="4"/>
      <c r="O1720" s="4">
        <v>0</v>
      </c>
      <c r="P1720" s="4"/>
      <c r="Q1720" s="4"/>
      <c r="R1720" s="7">
        <v>0</v>
      </c>
      <c r="S1720" s="7">
        <v>0</v>
      </c>
      <c r="T1720" s="7">
        <f>R1720-S1720</f>
        <v>0</v>
      </c>
      <c r="U1720" s="7">
        <f>T1720*O1720</f>
        <v>0</v>
      </c>
    </row>
    <row r="1721" spans="1:21">
      <c r="A1721" s="4" t="s">
        <v>2444</v>
      </c>
      <c r="B1721" s="4" t="s">
        <v>48</v>
      </c>
      <c r="C1721" s="5">
        <v>45946.28872685185</v>
      </c>
      <c r="D1721" s="5">
        <v>45961</v>
      </c>
      <c r="E1721" s="6">
        <f>IF(AND(C1721&lt;&gt;"",D1721&lt;&gt;""),D1721-C1721,"")</f>
        <v>0</v>
      </c>
      <c r="F1721" s="4" t="s">
        <v>2449</v>
      </c>
      <c r="G1721" s="4" t="s">
        <v>287</v>
      </c>
      <c r="H1721" s="4"/>
      <c r="I1721" s="4" t="s">
        <v>56</v>
      </c>
      <c r="J1721" s="4">
        <v>3</v>
      </c>
      <c r="K1721" s="4">
        <v>0</v>
      </c>
      <c r="L1721" s="4">
        <f>J1721+K1721</f>
        <v>0</v>
      </c>
      <c r="M1721" s="4"/>
      <c r="N1721" s="4"/>
      <c r="O1721" s="4">
        <v>0</v>
      </c>
      <c r="P1721" s="4"/>
      <c r="Q1721" s="4"/>
      <c r="R1721" s="7">
        <v>0</v>
      </c>
      <c r="S1721" s="7">
        <v>0</v>
      </c>
      <c r="T1721" s="7">
        <f>R1721-S1721</f>
        <v>0</v>
      </c>
      <c r="U1721" s="7">
        <f>T1721*O1721</f>
        <v>0</v>
      </c>
    </row>
    <row r="1722" spans="1:21">
      <c r="A1722" s="4" t="s">
        <v>2450</v>
      </c>
      <c r="B1722" s="4" t="s">
        <v>48</v>
      </c>
      <c r="C1722" s="5">
        <v>45946.28873842592</v>
      </c>
      <c r="D1722" s="5">
        <v>45961</v>
      </c>
      <c r="E1722" s="6">
        <f>IF(AND(C1722&lt;&gt;"",D1722&lt;&gt;""),D1722-C1722,"")</f>
        <v>0</v>
      </c>
      <c r="F1722" s="4" t="s">
        <v>2451</v>
      </c>
      <c r="G1722" s="4" t="s">
        <v>287</v>
      </c>
      <c r="H1722" s="4"/>
      <c r="I1722" s="4" t="s">
        <v>56</v>
      </c>
      <c r="J1722" s="4">
        <v>4</v>
      </c>
      <c r="K1722" s="4">
        <v>0</v>
      </c>
      <c r="L1722" s="4">
        <f>J1722+K1722</f>
        <v>0</v>
      </c>
      <c r="M1722" s="4"/>
      <c r="N1722" s="4"/>
      <c r="O1722" s="4">
        <v>0</v>
      </c>
      <c r="P1722" s="4"/>
      <c r="Q1722" s="4"/>
      <c r="R1722" s="7">
        <v>0</v>
      </c>
      <c r="S1722" s="7">
        <v>0</v>
      </c>
      <c r="T1722" s="7">
        <f>R1722-S1722</f>
        <v>0</v>
      </c>
      <c r="U1722" s="7">
        <f>T1722*O1722</f>
        <v>0</v>
      </c>
    </row>
    <row r="1723" spans="1:21">
      <c r="A1723" s="4" t="s">
        <v>2450</v>
      </c>
      <c r="B1723" s="4" t="s">
        <v>48</v>
      </c>
      <c r="C1723" s="5">
        <v>45946.28873842592</v>
      </c>
      <c r="D1723" s="5">
        <v>45961</v>
      </c>
      <c r="E1723" s="6">
        <f>IF(AND(C1723&lt;&gt;"",D1723&lt;&gt;""),D1723-C1723,"")</f>
        <v>0</v>
      </c>
      <c r="F1723" s="4" t="s">
        <v>2452</v>
      </c>
      <c r="G1723" s="4" t="s">
        <v>287</v>
      </c>
      <c r="H1723" s="4"/>
      <c r="I1723" s="4" t="s">
        <v>56</v>
      </c>
      <c r="J1723" s="4">
        <v>4</v>
      </c>
      <c r="K1723" s="4">
        <v>0</v>
      </c>
      <c r="L1723" s="4">
        <f>J1723+K1723</f>
        <v>0</v>
      </c>
      <c r="M1723" s="4"/>
      <c r="N1723" s="4"/>
      <c r="O1723" s="4">
        <v>0</v>
      </c>
      <c r="P1723" s="4"/>
      <c r="Q1723" s="4"/>
      <c r="R1723" s="7">
        <v>0</v>
      </c>
      <c r="S1723" s="7">
        <v>0</v>
      </c>
      <c r="T1723" s="7">
        <f>R1723-S1723</f>
        <v>0</v>
      </c>
      <c r="U1723" s="7">
        <f>T1723*O1723</f>
        <v>0</v>
      </c>
    </row>
    <row r="1724" spans="1:21">
      <c r="A1724" s="4" t="s">
        <v>2450</v>
      </c>
      <c r="B1724" s="4" t="s">
        <v>48</v>
      </c>
      <c r="C1724" s="5">
        <v>45946.28873842592</v>
      </c>
      <c r="D1724" s="5">
        <v>45961</v>
      </c>
      <c r="E1724" s="6">
        <f>IF(AND(C1724&lt;&gt;"",D1724&lt;&gt;""),D1724-C1724,"")</f>
        <v>0</v>
      </c>
      <c r="F1724" s="4" t="s">
        <v>2453</v>
      </c>
      <c r="G1724" s="4" t="s">
        <v>287</v>
      </c>
      <c r="H1724" s="4"/>
      <c r="I1724" s="4" t="s">
        <v>56</v>
      </c>
      <c r="J1724" s="4">
        <v>3</v>
      </c>
      <c r="K1724" s="4">
        <v>0</v>
      </c>
      <c r="L1724" s="4">
        <f>J1724+K1724</f>
        <v>0</v>
      </c>
      <c r="M1724" s="4"/>
      <c r="N1724" s="4"/>
      <c r="O1724" s="4">
        <v>0</v>
      </c>
      <c r="P1724" s="4"/>
      <c r="Q1724" s="4"/>
      <c r="R1724" s="7">
        <v>0</v>
      </c>
      <c r="S1724" s="7">
        <v>0</v>
      </c>
      <c r="T1724" s="7">
        <f>R1724-S1724</f>
        <v>0</v>
      </c>
      <c r="U1724" s="7">
        <f>T1724*O1724</f>
        <v>0</v>
      </c>
    </row>
    <row r="1725" spans="1:21">
      <c r="A1725" s="4" t="s">
        <v>2450</v>
      </c>
      <c r="B1725" s="4" t="s">
        <v>48</v>
      </c>
      <c r="C1725" s="5">
        <v>45946.28873842592</v>
      </c>
      <c r="D1725" s="5">
        <v>45961</v>
      </c>
      <c r="E1725" s="6">
        <f>IF(AND(C1725&lt;&gt;"",D1725&lt;&gt;""),D1725-C1725,"")</f>
        <v>0</v>
      </c>
      <c r="F1725" s="4" t="s">
        <v>2454</v>
      </c>
      <c r="G1725" s="4" t="s">
        <v>287</v>
      </c>
      <c r="H1725" s="4"/>
      <c r="I1725" s="4" t="s">
        <v>56</v>
      </c>
      <c r="J1725" s="4">
        <v>5</v>
      </c>
      <c r="K1725" s="4">
        <v>0</v>
      </c>
      <c r="L1725" s="4">
        <f>J1725+K1725</f>
        <v>0</v>
      </c>
      <c r="M1725" s="4"/>
      <c r="N1725" s="4"/>
      <c r="O1725" s="4">
        <v>0</v>
      </c>
      <c r="P1725" s="4"/>
      <c r="Q1725" s="4"/>
      <c r="R1725" s="7">
        <v>0</v>
      </c>
      <c r="S1725" s="7">
        <v>0</v>
      </c>
      <c r="T1725" s="7">
        <f>R1725-S1725</f>
        <v>0</v>
      </c>
      <c r="U1725" s="7">
        <f>T1725*O1725</f>
        <v>0</v>
      </c>
    </row>
    <row r="1726" spans="1:21">
      <c r="A1726" s="4" t="s">
        <v>2450</v>
      </c>
      <c r="B1726" s="4" t="s">
        <v>48</v>
      </c>
      <c r="C1726" s="5">
        <v>45946.28873842592</v>
      </c>
      <c r="D1726" s="5">
        <v>45961</v>
      </c>
      <c r="E1726" s="6">
        <f>IF(AND(C1726&lt;&gt;"",D1726&lt;&gt;""),D1726-C1726,"")</f>
        <v>0</v>
      </c>
      <c r="F1726" s="4" t="s">
        <v>2455</v>
      </c>
      <c r="G1726" s="4" t="s">
        <v>287</v>
      </c>
      <c r="H1726" s="4"/>
      <c r="I1726" s="4" t="s">
        <v>56</v>
      </c>
      <c r="J1726" s="4">
        <v>3</v>
      </c>
      <c r="K1726" s="4">
        <v>0</v>
      </c>
      <c r="L1726" s="4">
        <f>J1726+K1726</f>
        <v>0</v>
      </c>
      <c r="M1726" s="4"/>
      <c r="N1726" s="4"/>
      <c r="O1726" s="4">
        <v>0</v>
      </c>
      <c r="P1726" s="4"/>
      <c r="Q1726" s="4"/>
      <c r="R1726" s="7">
        <v>0</v>
      </c>
      <c r="S1726" s="7">
        <v>0</v>
      </c>
      <c r="T1726" s="7">
        <f>R1726-S1726</f>
        <v>0</v>
      </c>
      <c r="U1726" s="7">
        <f>T1726*O1726</f>
        <v>0</v>
      </c>
    </row>
    <row r="1727" spans="1:21">
      <c r="A1727" s="4" t="s">
        <v>2456</v>
      </c>
      <c r="B1727" s="4" t="s">
        <v>48</v>
      </c>
      <c r="C1727" s="5">
        <v>45946.28873842592</v>
      </c>
      <c r="D1727" s="5">
        <v>45961</v>
      </c>
      <c r="E1727" s="6">
        <f>IF(AND(C1727&lt;&gt;"",D1727&lt;&gt;""),D1727-C1727,"")</f>
        <v>0</v>
      </c>
      <c r="F1727" s="4" t="s">
        <v>2457</v>
      </c>
      <c r="G1727" s="4" t="s">
        <v>287</v>
      </c>
      <c r="H1727" s="4"/>
      <c r="I1727" s="4" t="s">
        <v>56</v>
      </c>
      <c r="J1727" s="4">
        <v>12</v>
      </c>
      <c r="K1727" s="4">
        <v>0</v>
      </c>
      <c r="L1727" s="4">
        <f>J1727+K1727</f>
        <v>0</v>
      </c>
      <c r="M1727" s="4"/>
      <c r="N1727" s="4"/>
      <c r="O1727" s="4">
        <v>0</v>
      </c>
      <c r="P1727" s="4"/>
      <c r="Q1727" s="4"/>
      <c r="R1727" s="7">
        <v>0</v>
      </c>
      <c r="S1727" s="7">
        <v>0</v>
      </c>
      <c r="T1727" s="7">
        <f>R1727-S1727</f>
        <v>0</v>
      </c>
      <c r="U1727" s="7">
        <f>T1727*O1727</f>
        <v>0</v>
      </c>
    </row>
    <row r="1728" spans="1:21">
      <c r="A1728" s="4" t="s">
        <v>2456</v>
      </c>
      <c r="B1728" s="4" t="s">
        <v>48</v>
      </c>
      <c r="C1728" s="5">
        <v>45946.28873842592</v>
      </c>
      <c r="D1728" s="5">
        <v>45961</v>
      </c>
      <c r="E1728" s="6">
        <f>IF(AND(C1728&lt;&gt;"",D1728&lt;&gt;""),D1728-C1728,"")</f>
        <v>0</v>
      </c>
      <c r="F1728" s="4" t="s">
        <v>2458</v>
      </c>
      <c r="G1728" s="4" t="s">
        <v>287</v>
      </c>
      <c r="H1728" s="4"/>
      <c r="I1728" s="4" t="s">
        <v>56</v>
      </c>
      <c r="J1728" s="4">
        <v>5</v>
      </c>
      <c r="K1728" s="4">
        <v>0</v>
      </c>
      <c r="L1728" s="4">
        <f>J1728+K1728</f>
        <v>0</v>
      </c>
      <c r="M1728" s="4"/>
      <c r="N1728" s="4"/>
      <c r="O1728" s="4">
        <v>0</v>
      </c>
      <c r="P1728" s="4"/>
      <c r="Q1728" s="4"/>
      <c r="R1728" s="7">
        <v>0</v>
      </c>
      <c r="S1728" s="7">
        <v>0</v>
      </c>
      <c r="T1728" s="7">
        <f>R1728-S1728</f>
        <v>0</v>
      </c>
      <c r="U1728" s="7">
        <f>T1728*O1728</f>
        <v>0</v>
      </c>
    </row>
    <row r="1729" spans="1:21">
      <c r="A1729" s="4" t="s">
        <v>2459</v>
      </c>
      <c r="B1729" s="4" t="s">
        <v>48</v>
      </c>
      <c r="C1729" s="5">
        <v>45946.28873842592</v>
      </c>
      <c r="D1729" s="5">
        <v>45961</v>
      </c>
      <c r="E1729" s="6">
        <f>IF(AND(C1729&lt;&gt;"",D1729&lt;&gt;""),D1729-C1729,"")</f>
        <v>0</v>
      </c>
      <c r="F1729" s="4" t="s">
        <v>2457</v>
      </c>
      <c r="G1729" s="4" t="s">
        <v>287</v>
      </c>
      <c r="H1729" s="4"/>
      <c r="I1729" s="4" t="s">
        <v>56</v>
      </c>
      <c r="J1729" s="4">
        <v>3</v>
      </c>
      <c r="K1729" s="4">
        <v>0</v>
      </c>
      <c r="L1729" s="4">
        <f>J1729+K1729</f>
        <v>0</v>
      </c>
      <c r="M1729" s="4"/>
      <c r="N1729" s="4"/>
      <c r="O1729" s="4">
        <v>0</v>
      </c>
      <c r="P1729" s="4"/>
      <c r="Q1729" s="4"/>
      <c r="R1729" s="7">
        <v>0</v>
      </c>
      <c r="S1729" s="7">
        <v>0</v>
      </c>
      <c r="T1729" s="7">
        <f>R1729-S1729</f>
        <v>0</v>
      </c>
      <c r="U1729" s="7">
        <f>T1729*O1729</f>
        <v>0</v>
      </c>
    </row>
    <row r="1730" spans="1:21">
      <c r="A1730" s="4" t="s">
        <v>2456</v>
      </c>
      <c r="B1730" s="4" t="s">
        <v>48</v>
      </c>
      <c r="C1730" s="5">
        <v>45946.28875</v>
      </c>
      <c r="D1730" s="5">
        <v>45961</v>
      </c>
      <c r="E1730" s="6">
        <f>IF(AND(C1730&lt;&gt;"",D1730&lt;&gt;""),D1730-C1730,"")</f>
        <v>0</v>
      </c>
      <c r="F1730" s="4" t="s">
        <v>2460</v>
      </c>
      <c r="G1730" s="4" t="s">
        <v>287</v>
      </c>
      <c r="H1730" s="4"/>
      <c r="I1730" s="4" t="s">
        <v>56</v>
      </c>
      <c r="J1730" s="4">
        <v>3</v>
      </c>
      <c r="K1730" s="4">
        <v>0</v>
      </c>
      <c r="L1730" s="4">
        <f>J1730+K1730</f>
        <v>0</v>
      </c>
      <c r="M1730" s="4"/>
      <c r="N1730" s="4"/>
      <c r="O1730" s="4">
        <v>0</v>
      </c>
      <c r="P1730" s="4"/>
      <c r="Q1730" s="4"/>
      <c r="R1730" s="7">
        <v>0</v>
      </c>
      <c r="S1730" s="7">
        <v>0</v>
      </c>
      <c r="T1730" s="7">
        <f>R1730-S1730</f>
        <v>0</v>
      </c>
      <c r="U1730" s="7">
        <f>T1730*O1730</f>
        <v>0</v>
      </c>
    </row>
    <row r="1731" spans="1:21">
      <c r="A1731" s="4" t="s">
        <v>2456</v>
      </c>
      <c r="B1731" s="4" t="s">
        <v>48</v>
      </c>
      <c r="C1731" s="5">
        <v>45946.28875</v>
      </c>
      <c r="D1731" s="5">
        <v>45961</v>
      </c>
      <c r="E1731" s="6">
        <f>IF(AND(C1731&lt;&gt;"",D1731&lt;&gt;""),D1731-C1731,"")</f>
        <v>0</v>
      </c>
      <c r="F1731" s="4" t="s">
        <v>2461</v>
      </c>
      <c r="G1731" s="4" t="s">
        <v>287</v>
      </c>
      <c r="H1731" s="4"/>
      <c r="I1731" s="4" t="s">
        <v>56</v>
      </c>
      <c r="J1731" s="4">
        <v>3</v>
      </c>
      <c r="K1731" s="4">
        <v>2</v>
      </c>
      <c r="L1731" s="4">
        <f>J1731+K1731</f>
        <v>0</v>
      </c>
      <c r="M1731" s="4"/>
      <c r="N1731" s="4"/>
      <c r="O1731" s="4">
        <v>0</v>
      </c>
      <c r="P1731" s="4"/>
      <c r="Q1731" s="4"/>
      <c r="R1731" s="7">
        <v>0</v>
      </c>
      <c r="S1731" s="7">
        <v>0</v>
      </c>
      <c r="T1731" s="7">
        <f>R1731-S1731</f>
        <v>0</v>
      </c>
      <c r="U1731" s="7">
        <f>T1731*O1731</f>
        <v>0</v>
      </c>
    </row>
    <row r="1732" spans="1:21">
      <c r="A1732" s="4" t="s">
        <v>2462</v>
      </c>
      <c r="B1732" s="4" t="s">
        <v>48</v>
      </c>
      <c r="C1732" s="5">
        <v>45946.28875</v>
      </c>
      <c r="D1732" s="5">
        <v>45961</v>
      </c>
      <c r="E1732" s="6">
        <f>IF(AND(C1732&lt;&gt;"",D1732&lt;&gt;""),D1732-C1732,"")</f>
        <v>0</v>
      </c>
      <c r="F1732" s="4" t="s">
        <v>2463</v>
      </c>
      <c r="G1732" s="4" t="s">
        <v>287</v>
      </c>
      <c r="H1732" s="4"/>
      <c r="I1732" s="4" t="s">
        <v>56</v>
      </c>
      <c r="J1732" s="4">
        <v>2</v>
      </c>
      <c r="K1732" s="4">
        <v>0</v>
      </c>
      <c r="L1732" s="4">
        <f>J1732+K1732</f>
        <v>0</v>
      </c>
      <c r="M1732" s="4"/>
      <c r="N1732" s="4"/>
      <c r="O1732" s="4">
        <v>0</v>
      </c>
      <c r="P1732" s="4"/>
      <c r="Q1732" s="4"/>
      <c r="R1732" s="7">
        <v>0</v>
      </c>
      <c r="S1732" s="7">
        <v>0</v>
      </c>
      <c r="T1732" s="7">
        <f>R1732-S1732</f>
        <v>0</v>
      </c>
      <c r="U1732" s="7">
        <f>T1732*O1732</f>
        <v>0</v>
      </c>
    </row>
    <row r="1733" spans="1:21">
      <c r="A1733" s="4" t="s">
        <v>2462</v>
      </c>
      <c r="B1733" s="4" t="s">
        <v>48</v>
      </c>
      <c r="C1733" s="5">
        <v>45946.28875</v>
      </c>
      <c r="D1733" s="5">
        <v>45961</v>
      </c>
      <c r="E1733" s="6">
        <f>IF(AND(C1733&lt;&gt;"",D1733&lt;&gt;""),D1733-C1733,"")</f>
        <v>0</v>
      </c>
      <c r="F1733" s="4" t="s">
        <v>2464</v>
      </c>
      <c r="G1733" s="4" t="s">
        <v>287</v>
      </c>
      <c r="H1733" s="4"/>
      <c r="I1733" s="4" t="s">
        <v>56</v>
      </c>
      <c r="J1733" s="4">
        <v>3</v>
      </c>
      <c r="K1733" s="4">
        <v>0</v>
      </c>
      <c r="L1733" s="4">
        <f>J1733+K1733</f>
        <v>0</v>
      </c>
      <c r="M1733" s="4"/>
      <c r="N1733" s="4"/>
      <c r="O1733" s="4">
        <v>0</v>
      </c>
      <c r="P1733" s="4"/>
      <c r="Q1733" s="4"/>
      <c r="R1733" s="7">
        <v>0</v>
      </c>
      <c r="S1733" s="7">
        <v>0</v>
      </c>
      <c r="T1733" s="7">
        <f>R1733-S1733</f>
        <v>0</v>
      </c>
      <c r="U1733" s="7">
        <f>T1733*O1733</f>
        <v>0</v>
      </c>
    </row>
    <row r="1734" spans="1:21">
      <c r="A1734" s="4" t="s">
        <v>2462</v>
      </c>
      <c r="B1734" s="4" t="s">
        <v>48</v>
      </c>
      <c r="C1734" s="5">
        <v>45946.28875</v>
      </c>
      <c r="D1734" s="5">
        <v>45961</v>
      </c>
      <c r="E1734" s="6">
        <f>IF(AND(C1734&lt;&gt;"",D1734&lt;&gt;""),D1734-C1734,"")</f>
        <v>0</v>
      </c>
      <c r="F1734" s="4" t="s">
        <v>2465</v>
      </c>
      <c r="G1734" s="4" t="s">
        <v>287</v>
      </c>
      <c r="H1734" s="4"/>
      <c r="I1734" s="4" t="s">
        <v>56</v>
      </c>
      <c r="J1734" s="4">
        <v>9</v>
      </c>
      <c r="K1734" s="4">
        <v>6</v>
      </c>
      <c r="L1734" s="4">
        <f>J1734+K1734</f>
        <v>0</v>
      </c>
      <c r="M1734" s="4"/>
      <c r="N1734" s="4"/>
      <c r="O1734" s="4">
        <v>0</v>
      </c>
      <c r="P1734" s="4"/>
      <c r="Q1734" s="4"/>
      <c r="R1734" s="7">
        <v>0</v>
      </c>
      <c r="S1734" s="7">
        <v>0</v>
      </c>
      <c r="T1734" s="7">
        <f>R1734-S1734</f>
        <v>0</v>
      </c>
      <c r="U1734" s="7">
        <f>T1734*O1734</f>
        <v>0</v>
      </c>
    </row>
    <row r="1735" spans="1:21">
      <c r="A1735" s="4" t="s">
        <v>2466</v>
      </c>
      <c r="B1735" s="4" t="s">
        <v>48</v>
      </c>
      <c r="C1735" s="5">
        <v>45946.28875</v>
      </c>
      <c r="D1735" s="5">
        <v>45961</v>
      </c>
      <c r="E1735" s="6">
        <f>IF(AND(C1735&lt;&gt;"",D1735&lt;&gt;""),D1735-C1735,"")</f>
        <v>0</v>
      </c>
      <c r="F1735" s="4" t="s">
        <v>2467</v>
      </c>
      <c r="G1735" s="4" t="s">
        <v>287</v>
      </c>
      <c r="H1735" s="4"/>
      <c r="I1735" s="4" t="s">
        <v>56</v>
      </c>
      <c r="J1735" s="4">
        <v>3</v>
      </c>
      <c r="K1735" s="4">
        <v>0</v>
      </c>
      <c r="L1735" s="4">
        <f>J1735+K1735</f>
        <v>0</v>
      </c>
      <c r="M1735" s="4"/>
      <c r="N1735" s="4"/>
      <c r="O1735" s="4">
        <v>0</v>
      </c>
      <c r="P1735" s="4"/>
      <c r="Q1735" s="4"/>
      <c r="R1735" s="7">
        <v>0</v>
      </c>
      <c r="S1735" s="7">
        <v>0</v>
      </c>
      <c r="T1735" s="7">
        <f>R1735-S1735</f>
        <v>0</v>
      </c>
      <c r="U1735" s="7">
        <f>T1735*O1735</f>
        <v>0</v>
      </c>
    </row>
    <row r="1736" spans="1:21">
      <c r="A1736" s="4" t="s">
        <v>2466</v>
      </c>
      <c r="B1736" s="4" t="s">
        <v>48</v>
      </c>
      <c r="C1736" s="5">
        <v>45946.28875</v>
      </c>
      <c r="D1736" s="5">
        <v>45961</v>
      </c>
      <c r="E1736" s="6">
        <f>IF(AND(C1736&lt;&gt;"",D1736&lt;&gt;""),D1736-C1736,"")</f>
        <v>0</v>
      </c>
      <c r="F1736" s="4" t="s">
        <v>2468</v>
      </c>
      <c r="G1736" s="4" t="s">
        <v>287</v>
      </c>
      <c r="H1736" s="4"/>
      <c r="I1736" s="4" t="s">
        <v>56</v>
      </c>
      <c r="J1736" s="4">
        <v>3</v>
      </c>
      <c r="K1736" s="4">
        <v>0</v>
      </c>
      <c r="L1736" s="4">
        <f>J1736+K1736</f>
        <v>0</v>
      </c>
      <c r="M1736" s="4"/>
      <c r="N1736" s="4"/>
      <c r="O1736" s="4">
        <v>0</v>
      </c>
      <c r="P1736" s="4"/>
      <c r="Q1736" s="4"/>
      <c r="R1736" s="7">
        <v>0</v>
      </c>
      <c r="S1736" s="7">
        <v>0</v>
      </c>
      <c r="T1736" s="7">
        <f>R1736-S1736</f>
        <v>0</v>
      </c>
      <c r="U1736" s="7">
        <f>T1736*O1736</f>
        <v>0</v>
      </c>
    </row>
    <row r="1737" spans="1:21">
      <c r="A1737" s="4" t="s">
        <v>2466</v>
      </c>
      <c r="B1737" s="4" t="s">
        <v>48</v>
      </c>
      <c r="C1737" s="5">
        <v>45946.28875</v>
      </c>
      <c r="D1737" s="5">
        <v>45961</v>
      </c>
      <c r="E1737" s="6">
        <f>IF(AND(C1737&lt;&gt;"",D1737&lt;&gt;""),D1737-C1737,"")</f>
        <v>0</v>
      </c>
      <c r="F1737" s="4" t="s">
        <v>2469</v>
      </c>
      <c r="G1737" s="4" t="s">
        <v>287</v>
      </c>
      <c r="H1737" s="4"/>
      <c r="I1737" s="4" t="s">
        <v>56</v>
      </c>
      <c r="J1737" s="4">
        <v>4</v>
      </c>
      <c r="K1737" s="4">
        <v>0</v>
      </c>
      <c r="L1737" s="4">
        <f>J1737+K1737</f>
        <v>0</v>
      </c>
      <c r="M1737" s="4"/>
      <c r="N1737" s="4"/>
      <c r="O1737" s="4">
        <v>0</v>
      </c>
      <c r="P1737" s="4"/>
      <c r="Q1737" s="4"/>
      <c r="R1737" s="7">
        <v>0</v>
      </c>
      <c r="S1737" s="7">
        <v>0</v>
      </c>
      <c r="T1737" s="7">
        <f>R1737-S1737</f>
        <v>0</v>
      </c>
      <c r="U1737" s="7">
        <f>T1737*O1737</f>
        <v>0</v>
      </c>
    </row>
    <row r="1738" spans="1:21">
      <c r="A1738" s="4" t="s">
        <v>2470</v>
      </c>
      <c r="B1738" s="4" t="s">
        <v>48</v>
      </c>
      <c r="C1738" s="5">
        <v>45946.28875</v>
      </c>
      <c r="D1738" s="5">
        <v>45961</v>
      </c>
      <c r="E1738" s="6">
        <f>IF(AND(C1738&lt;&gt;"",D1738&lt;&gt;""),D1738-C1738,"")</f>
        <v>0</v>
      </c>
      <c r="F1738" s="4" t="s">
        <v>2471</v>
      </c>
      <c r="G1738" s="4" t="s">
        <v>287</v>
      </c>
      <c r="H1738" s="4"/>
      <c r="I1738" s="4" t="s">
        <v>56</v>
      </c>
      <c r="J1738" s="4">
        <v>4</v>
      </c>
      <c r="K1738" s="4">
        <v>0</v>
      </c>
      <c r="L1738" s="4">
        <f>J1738+K1738</f>
        <v>0</v>
      </c>
      <c r="M1738" s="4"/>
      <c r="N1738" s="4"/>
      <c r="O1738" s="4">
        <v>0</v>
      </c>
      <c r="P1738" s="4"/>
      <c r="Q1738" s="4"/>
      <c r="R1738" s="7">
        <v>0</v>
      </c>
      <c r="S1738" s="7">
        <v>0</v>
      </c>
      <c r="T1738" s="7">
        <f>R1738-S1738</f>
        <v>0</v>
      </c>
      <c r="U1738" s="7">
        <f>T1738*O1738</f>
        <v>0</v>
      </c>
    </row>
    <row r="1739" spans="1:21">
      <c r="A1739" s="4" t="s">
        <v>2472</v>
      </c>
      <c r="B1739" s="4" t="s">
        <v>48</v>
      </c>
      <c r="C1739" s="5">
        <v>45946.28875</v>
      </c>
      <c r="D1739" s="5">
        <v>45961</v>
      </c>
      <c r="E1739" s="6">
        <f>IF(AND(C1739&lt;&gt;"",D1739&lt;&gt;""),D1739-C1739,"")</f>
        <v>0</v>
      </c>
      <c r="F1739" s="4" t="s">
        <v>2452</v>
      </c>
      <c r="G1739" s="4" t="s">
        <v>287</v>
      </c>
      <c r="H1739" s="4"/>
      <c r="I1739" s="4" t="s">
        <v>56</v>
      </c>
      <c r="J1739" s="4">
        <v>4</v>
      </c>
      <c r="K1739" s="4">
        <v>0</v>
      </c>
      <c r="L1739" s="4">
        <f>J1739+K1739</f>
        <v>0</v>
      </c>
      <c r="M1739" s="4"/>
      <c r="N1739" s="4"/>
      <c r="O1739" s="4">
        <v>0</v>
      </c>
      <c r="P1739" s="4"/>
      <c r="Q1739" s="4"/>
      <c r="R1739" s="7">
        <v>0</v>
      </c>
      <c r="S1739" s="7">
        <v>0</v>
      </c>
      <c r="T1739" s="7">
        <f>R1739-S1739</f>
        <v>0</v>
      </c>
      <c r="U1739" s="7">
        <f>T1739*O1739</f>
        <v>0</v>
      </c>
    </row>
    <row r="1740" spans="1:21">
      <c r="A1740" s="4" t="s">
        <v>2472</v>
      </c>
      <c r="B1740" s="4" t="s">
        <v>48</v>
      </c>
      <c r="C1740" s="5">
        <v>45946.28875</v>
      </c>
      <c r="D1740" s="5">
        <v>45961</v>
      </c>
      <c r="E1740" s="6">
        <f>IF(AND(C1740&lt;&gt;"",D1740&lt;&gt;""),D1740-C1740,"")</f>
        <v>0</v>
      </c>
      <c r="F1740" s="4" t="s">
        <v>2452</v>
      </c>
      <c r="G1740" s="4" t="s">
        <v>287</v>
      </c>
      <c r="H1740" s="4"/>
      <c r="I1740" s="4" t="s">
        <v>56</v>
      </c>
      <c r="J1740" s="4">
        <v>4</v>
      </c>
      <c r="K1740" s="4">
        <v>0</v>
      </c>
      <c r="L1740" s="4">
        <f>J1740+K1740</f>
        <v>0</v>
      </c>
      <c r="M1740" s="4"/>
      <c r="N1740" s="4"/>
      <c r="O1740" s="4">
        <v>0</v>
      </c>
      <c r="P1740" s="4"/>
      <c r="Q1740" s="4"/>
      <c r="R1740" s="7">
        <v>0</v>
      </c>
      <c r="S1740" s="7">
        <v>0</v>
      </c>
      <c r="T1740" s="7">
        <f>R1740-S1740</f>
        <v>0</v>
      </c>
      <c r="U1740" s="7">
        <f>T1740*O1740</f>
        <v>0</v>
      </c>
    </row>
    <row r="1741" spans="1:21">
      <c r="A1741" s="4" t="s">
        <v>2472</v>
      </c>
      <c r="B1741" s="4" t="s">
        <v>48</v>
      </c>
      <c r="C1741" s="5">
        <v>45946.28876157408</v>
      </c>
      <c r="D1741" s="5">
        <v>45961</v>
      </c>
      <c r="E1741" s="6">
        <f>IF(AND(C1741&lt;&gt;"",D1741&lt;&gt;""),D1741-C1741,"")</f>
        <v>0</v>
      </c>
      <c r="F1741" s="4" t="s">
        <v>2029</v>
      </c>
      <c r="G1741" s="4" t="s">
        <v>287</v>
      </c>
      <c r="H1741" s="4"/>
      <c r="I1741" s="4" t="s">
        <v>56</v>
      </c>
      <c r="J1741" s="4">
        <v>16</v>
      </c>
      <c r="K1741" s="4">
        <v>0</v>
      </c>
      <c r="L1741" s="4">
        <f>J1741+K1741</f>
        <v>0</v>
      </c>
      <c r="M1741" s="4"/>
      <c r="N1741" s="4"/>
      <c r="O1741" s="4">
        <v>0</v>
      </c>
      <c r="P1741" s="4"/>
      <c r="Q1741" s="4"/>
      <c r="R1741" s="7">
        <v>0</v>
      </c>
      <c r="S1741" s="7">
        <v>0</v>
      </c>
      <c r="T1741" s="7">
        <f>R1741-S1741</f>
        <v>0</v>
      </c>
      <c r="U1741" s="7">
        <f>T1741*O1741</f>
        <v>0</v>
      </c>
    </row>
    <row r="1742" spans="1:21">
      <c r="A1742" s="4" t="s">
        <v>2473</v>
      </c>
      <c r="B1742" s="4" t="s">
        <v>48</v>
      </c>
      <c r="C1742" s="5">
        <v>45946.28876157408</v>
      </c>
      <c r="D1742" s="5">
        <v>45961</v>
      </c>
      <c r="E1742" s="6">
        <f>IF(AND(C1742&lt;&gt;"",D1742&lt;&gt;""),D1742-C1742,"")</f>
        <v>0</v>
      </c>
      <c r="F1742" s="4" t="s">
        <v>2474</v>
      </c>
      <c r="G1742" s="4" t="s">
        <v>287</v>
      </c>
      <c r="H1742" s="4"/>
      <c r="I1742" s="4" t="s">
        <v>56</v>
      </c>
      <c r="J1742" s="4">
        <v>5</v>
      </c>
      <c r="K1742" s="4">
        <v>0</v>
      </c>
      <c r="L1742" s="4">
        <f>J1742+K1742</f>
        <v>0</v>
      </c>
      <c r="M1742" s="4"/>
      <c r="N1742" s="4"/>
      <c r="O1742" s="4">
        <v>0</v>
      </c>
      <c r="P1742" s="4"/>
      <c r="Q1742" s="4"/>
      <c r="R1742" s="7">
        <v>0</v>
      </c>
      <c r="S1742" s="7">
        <v>0</v>
      </c>
      <c r="T1742" s="7">
        <f>R1742-S1742</f>
        <v>0</v>
      </c>
      <c r="U1742" s="7">
        <f>T1742*O1742</f>
        <v>0</v>
      </c>
    </row>
    <row r="1743" spans="1:21">
      <c r="A1743" s="4" t="s">
        <v>2473</v>
      </c>
      <c r="B1743" s="4" t="s">
        <v>48</v>
      </c>
      <c r="C1743" s="5">
        <v>45946.28876157408</v>
      </c>
      <c r="D1743" s="5">
        <v>45961</v>
      </c>
      <c r="E1743" s="6">
        <f>IF(AND(C1743&lt;&gt;"",D1743&lt;&gt;""),D1743-C1743,"")</f>
        <v>0</v>
      </c>
      <c r="F1743" s="4" t="s">
        <v>2475</v>
      </c>
      <c r="G1743" s="4" t="s">
        <v>287</v>
      </c>
      <c r="H1743" s="4"/>
      <c r="I1743" s="4" t="s">
        <v>56</v>
      </c>
      <c r="J1743" s="4">
        <v>3</v>
      </c>
      <c r="K1743" s="4">
        <v>2</v>
      </c>
      <c r="L1743" s="4">
        <f>J1743+K1743</f>
        <v>0</v>
      </c>
      <c r="M1743" s="4"/>
      <c r="N1743" s="4"/>
      <c r="O1743" s="4">
        <v>0</v>
      </c>
      <c r="P1743" s="4"/>
      <c r="Q1743" s="4"/>
      <c r="R1743" s="7">
        <v>0</v>
      </c>
      <c r="S1743" s="7">
        <v>0</v>
      </c>
      <c r="T1743" s="7">
        <f>R1743-S1743</f>
        <v>0</v>
      </c>
      <c r="U1743" s="7">
        <f>T1743*O1743</f>
        <v>0</v>
      </c>
    </row>
    <row r="1744" spans="1:21">
      <c r="A1744" s="4" t="s">
        <v>2476</v>
      </c>
      <c r="B1744" s="4" t="s">
        <v>48</v>
      </c>
      <c r="C1744" s="5">
        <v>45946.28876157408</v>
      </c>
      <c r="D1744" s="5">
        <v>45961</v>
      </c>
      <c r="E1744" s="6">
        <f>IF(AND(C1744&lt;&gt;"",D1744&lt;&gt;""),D1744-C1744,"")</f>
        <v>0</v>
      </c>
      <c r="F1744" s="4" t="s">
        <v>2477</v>
      </c>
      <c r="G1744" s="4" t="s">
        <v>287</v>
      </c>
      <c r="H1744" s="4"/>
      <c r="I1744" s="4" t="s">
        <v>56</v>
      </c>
      <c r="J1744" s="4">
        <v>6</v>
      </c>
      <c r="K1744" s="4">
        <v>0</v>
      </c>
      <c r="L1744" s="4">
        <f>J1744+K1744</f>
        <v>0</v>
      </c>
      <c r="M1744" s="4"/>
      <c r="N1744" s="4"/>
      <c r="O1744" s="4">
        <v>0</v>
      </c>
      <c r="P1744" s="4"/>
      <c r="Q1744" s="4"/>
      <c r="R1744" s="7">
        <v>0</v>
      </c>
      <c r="S1744" s="7">
        <v>0</v>
      </c>
      <c r="T1744" s="7">
        <f>R1744-S1744</f>
        <v>0</v>
      </c>
      <c r="U1744" s="7">
        <f>T1744*O1744</f>
        <v>0</v>
      </c>
    </row>
    <row r="1745" spans="1:21">
      <c r="A1745" s="4" t="s">
        <v>2476</v>
      </c>
      <c r="B1745" s="4" t="s">
        <v>48</v>
      </c>
      <c r="C1745" s="5">
        <v>45946.28876157408</v>
      </c>
      <c r="D1745" s="5">
        <v>45961</v>
      </c>
      <c r="E1745" s="6">
        <f>IF(AND(C1745&lt;&gt;"",D1745&lt;&gt;""),D1745-C1745,"")</f>
        <v>0</v>
      </c>
      <c r="F1745" s="4" t="s">
        <v>2478</v>
      </c>
      <c r="G1745" s="4" t="s">
        <v>287</v>
      </c>
      <c r="H1745" s="4"/>
      <c r="I1745" s="4" t="s">
        <v>56</v>
      </c>
      <c r="J1745" s="4">
        <v>5</v>
      </c>
      <c r="K1745" s="4">
        <v>0</v>
      </c>
      <c r="L1745" s="4">
        <f>J1745+K1745</f>
        <v>0</v>
      </c>
      <c r="M1745" s="4"/>
      <c r="N1745" s="4"/>
      <c r="O1745" s="4">
        <v>0</v>
      </c>
      <c r="P1745" s="4"/>
      <c r="Q1745" s="4"/>
      <c r="R1745" s="7">
        <v>0</v>
      </c>
      <c r="S1745" s="7">
        <v>0</v>
      </c>
      <c r="T1745" s="7">
        <f>R1745-S1745</f>
        <v>0</v>
      </c>
      <c r="U1745" s="7">
        <f>T1745*O1745</f>
        <v>0</v>
      </c>
    </row>
    <row r="1746" spans="1:21">
      <c r="A1746" s="4" t="s">
        <v>2476</v>
      </c>
      <c r="B1746" s="4" t="s">
        <v>48</v>
      </c>
      <c r="C1746" s="5">
        <v>45946.28877314815</v>
      </c>
      <c r="D1746" s="5">
        <v>45961</v>
      </c>
      <c r="E1746" s="6">
        <f>IF(AND(C1746&lt;&gt;"",D1746&lt;&gt;""),D1746-C1746,"")</f>
        <v>0</v>
      </c>
      <c r="F1746" s="4" t="s">
        <v>2479</v>
      </c>
      <c r="G1746" s="4" t="s">
        <v>287</v>
      </c>
      <c r="H1746" s="4"/>
      <c r="I1746" s="4" t="s">
        <v>56</v>
      </c>
      <c r="J1746" s="4">
        <v>5</v>
      </c>
      <c r="K1746" s="4">
        <v>0</v>
      </c>
      <c r="L1746" s="4">
        <f>J1746+K1746</f>
        <v>0</v>
      </c>
      <c r="M1746" s="4"/>
      <c r="N1746" s="4"/>
      <c r="O1746" s="4">
        <v>0</v>
      </c>
      <c r="P1746" s="4"/>
      <c r="Q1746" s="4"/>
      <c r="R1746" s="7">
        <v>0</v>
      </c>
      <c r="S1746" s="7">
        <v>0</v>
      </c>
      <c r="T1746" s="7">
        <f>R1746-S1746</f>
        <v>0</v>
      </c>
      <c r="U1746" s="7">
        <f>T1746*O1746</f>
        <v>0</v>
      </c>
    </row>
    <row r="1747" spans="1:21">
      <c r="A1747" s="4" t="s">
        <v>2476</v>
      </c>
      <c r="B1747" s="4" t="s">
        <v>48</v>
      </c>
      <c r="C1747" s="5">
        <v>45946.28877314815</v>
      </c>
      <c r="D1747" s="5">
        <v>45961</v>
      </c>
      <c r="E1747" s="6">
        <f>IF(AND(C1747&lt;&gt;"",D1747&lt;&gt;""),D1747-C1747,"")</f>
        <v>0</v>
      </c>
      <c r="F1747" s="4" t="s">
        <v>2041</v>
      </c>
      <c r="G1747" s="4" t="s">
        <v>287</v>
      </c>
      <c r="H1747" s="4"/>
      <c r="I1747" s="4" t="s">
        <v>56</v>
      </c>
      <c r="J1747" s="4">
        <v>3</v>
      </c>
      <c r="K1747" s="4">
        <v>2</v>
      </c>
      <c r="L1747" s="4">
        <f>J1747+K1747</f>
        <v>0</v>
      </c>
      <c r="M1747" s="4"/>
      <c r="N1747" s="4"/>
      <c r="O1747" s="4">
        <v>0</v>
      </c>
      <c r="P1747" s="4"/>
      <c r="Q1747" s="4"/>
      <c r="R1747" s="7">
        <v>0</v>
      </c>
      <c r="S1747" s="7">
        <v>0</v>
      </c>
      <c r="T1747" s="7">
        <f>R1747-S1747</f>
        <v>0</v>
      </c>
      <c r="U1747" s="7">
        <f>T1747*O1747</f>
        <v>0</v>
      </c>
    </row>
    <row r="1748" spans="1:21">
      <c r="A1748" s="4" t="s">
        <v>2476</v>
      </c>
      <c r="B1748" s="4" t="s">
        <v>48</v>
      </c>
      <c r="C1748" s="5">
        <v>45946.28877314815</v>
      </c>
      <c r="D1748" s="5">
        <v>45961</v>
      </c>
      <c r="E1748" s="6">
        <f>IF(AND(C1748&lt;&gt;"",D1748&lt;&gt;""),D1748-C1748,"")</f>
        <v>0</v>
      </c>
      <c r="F1748" s="4" t="s">
        <v>2480</v>
      </c>
      <c r="G1748" s="4" t="s">
        <v>287</v>
      </c>
      <c r="H1748" s="4"/>
      <c r="I1748" s="4" t="s">
        <v>56</v>
      </c>
      <c r="J1748" s="4">
        <v>3</v>
      </c>
      <c r="K1748" s="4">
        <v>0</v>
      </c>
      <c r="L1748" s="4">
        <f>J1748+K1748</f>
        <v>0</v>
      </c>
      <c r="M1748" s="4"/>
      <c r="N1748" s="4"/>
      <c r="O1748" s="4">
        <v>0</v>
      </c>
      <c r="P1748" s="4"/>
      <c r="Q1748" s="4"/>
      <c r="R1748" s="7">
        <v>0</v>
      </c>
      <c r="S1748" s="7">
        <v>0</v>
      </c>
      <c r="T1748" s="7">
        <f>R1748-S1748</f>
        <v>0</v>
      </c>
      <c r="U1748" s="7">
        <f>T1748*O1748</f>
        <v>0</v>
      </c>
    </row>
    <row r="1749" spans="1:21">
      <c r="A1749" s="4" t="s">
        <v>2481</v>
      </c>
      <c r="B1749" s="4" t="s">
        <v>48</v>
      </c>
      <c r="C1749" s="5">
        <v>45946.28877314815</v>
      </c>
      <c r="D1749" s="5">
        <v>45961</v>
      </c>
      <c r="E1749" s="6">
        <f>IF(AND(C1749&lt;&gt;"",D1749&lt;&gt;""),D1749-C1749,"")</f>
        <v>0</v>
      </c>
      <c r="F1749" s="4" t="s">
        <v>2482</v>
      </c>
      <c r="G1749" s="4" t="s">
        <v>287</v>
      </c>
      <c r="H1749" s="4"/>
      <c r="I1749" s="4" t="s">
        <v>56</v>
      </c>
      <c r="J1749" s="4">
        <v>5</v>
      </c>
      <c r="K1749" s="4">
        <v>0</v>
      </c>
      <c r="L1749" s="4">
        <f>J1749+K1749</f>
        <v>0</v>
      </c>
      <c r="M1749" s="4"/>
      <c r="N1749" s="4"/>
      <c r="O1749" s="4">
        <v>0</v>
      </c>
      <c r="P1749" s="4"/>
      <c r="Q1749" s="4"/>
      <c r="R1749" s="7">
        <v>0</v>
      </c>
      <c r="S1749" s="7">
        <v>0</v>
      </c>
      <c r="T1749" s="7">
        <f>R1749-S1749</f>
        <v>0</v>
      </c>
      <c r="U1749" s="7">
        <f>T1749*O1749</f>
        <v>0</v>
      </c>
    </row>
    <row r="1750" spans="1:21">
      <c r="A1750" s="4" t="s">
        <v>2481</v>
      </c>
      <c r="B1750" s="4" t="s">
        <v>48</v>
      </c>
      <c r="C1750" s="5">
        <v>45946.28877314815</v>
      </c>
      <c r="D1750" s="5">
        <v>45961</v>
      </c>
      <c r="E1750" s="6">
        <f>IF(AND(C1750&lt;&gt;"",D1750&lt;&gt;""),D1750-C1750,"")</f>
        <v>0</v>
      </c>
      <c r="F1750" s="4" t="s">
        <v>2483</v>
      </c>
      <c r="G1750" s="4" t="s">
        <v>287</v>
      </c>
      <c r="H1750" s="4"/>
      <c r="I1750" s="4" t="s">
        <v>56</v>
      </c>
      <c r="J1750" s="4">
        <v>3</v>
      </c>
      <c r="K1750" s="4">
        <v>0</v>
      </c>
      <c r="L1750" s="4">
        <f>J1750+K1750</f>
        <v>0</v>
      </c>
      <c r="M1750" s="4"/>
      <c r="N1750" s="4"/>
      <c r="O1750" s="4">
        <v>0</v>
      </c>
      <c r="P1750" s="4"/>
      <c r="Q1750" s="4"/>
      <c r="R1750" s="7">
        <v>0</v>
      </c>
      <c r="S1750" s="7">
        <v>0</v>
      </c>
      <c r="T1750" s="7">
        <f>R1750-S1750</f>
        <v>0</v>
      </c>
      <c r="U1750" s="7">
        <f>T1750*O1750</f>
        <v>0</v>
      </c>
    </row>
    <row r="1751" spans="1:21">
      <c r="A1751" s="4" t="s">
        <v>2484</v>
      </c>
      <c r="B1751" s="4" t="s">
        <v>48</v>
      </c>
      <c r="C1751" s="5">
        <v>45946.32872685185</v>
      </c>
      <c r="D1751" s="5">
        <v>45961</v>
      </c>
      <c r="E1751" s="6">
        <f>IF(AND(C1751&lt;&gt;"",D1751&lt;&gt;""),D1751-C1751,"")</f>
        <v>0</v>
      </c>
      <c r="F1751" s="4" t="s">
        <v>372</v>
      </c>
      <c r="G1751" s="4" t="s">
        <v>373</v>
      </c>
      <c r="H1751" s="4" t="s">
        <v>32</v>
      </c>
      <c r="I1751" s="4" t="s">
        <v>33</v>
      </c>
      <c r="J1751" s="4">
        <v>17</v>
      </c>
      <c r="K1751" s="4">
        <v>3</v>
      </c>
      <c r="L1751" s="4">
        <f>J1751+K1751</f>
        <v>0</v>
      </c>
      <c r="M1751" s="4"/>
      <c r="N1751" s="4"/>
      <c r="O1751" s="4">
        <v>0</v>
      </c>
      <c r="P1751" s="4"/>
      <c r="Q1751" s="4"/>
      <c r="R1751" s="7">
        <v>0</v>
      </c>
      <c r="S1751" s="7">
        <v>0</v>
      </c>
      <c r="T1751" s="7">
        <f>R1751-S1751</f>
        <v>0</v>
      </c>
      <c r="U1751" s="7">
        <f>T1751*O1751</f>
        <v>0</v>
      </c>
    </row>
    <row r="1752" spans="1:21">
      <c r="A1752" s="4" t="s">
        <v>2485</v>
      </c>
      <c r="B1752" s="4" t="s">
        <v>48</v>
      </c>
      <c r="C1752" s="5">
        <v>45946.34712962963</v>
      </c>
      <c r="D1752" s="5">
        <v>45961</v>
      </c>
      <c r="E1752" s="6">
        <f>IF(AND(C1752&lt;&gt;"",D1752&lt;&gt;""),D1752-C1752,"")</f>
        <v>0</v>
      </c>
      <c r="F1752" s="4" t="s">
        <v>372</v>
      </c>
      <c r="G1752" s="4" t="s">
        <v>373</v>
      </c>
      <c r="H1752" s="4" t="s">
        <v>32</v>
      </c>
      <c r="I1752" s="4" t="s">
        <v>33</v>
      </c>
      <c r="J1752" s="4">
        <v>5</v>
      </c>
      <c r="K1752" s="4">
        <v>0</v>
      </c>
      <c r="L1752" s="4">
        <f>J1752+K1752</f>
        <v>0</v>
      </c>
      <c r="M1752" s="4"/>
      <c r="N1752" s="4"/>
      <c r="O1752" s="4">
        <v>0</v>
      </c>
      <c r="P1752" s="4"/>
      <c r="Q1752" s="4"/>
      <c r="R1752" s="7">
        <v>0</v>
      </c>
      <c r="S1752" s="7">
        <v>0</v>
      </c>
      <c r="T1752" s="7">
        <f>R1752-S1752</f>
        <v>0</v>
      </c>
      <c r="U1752" s="7">
        <f>T1752*O1752</f>
        <v>0</v>
      </c>
    </row>
    <row r="1753" spans="1:21">
      <c r="A1753" s="4" t="s">
        <v>2486</v>
      </c>
      <c r="B1753" s="4" t="s">
        <v>48</v>
      </c>
      <c r="C1753" s="5">
        <v>45946.35921296296</v>
      </c>
      <c r="D1753" s="5">
        <v>45961</v>
      </c>
      <c r="E1753" s="6">
        <f>IF(AND(C1753&lt;&gt;"",D1753&lt;&gt;""),D1753-C1753,"")</f>
        <v>0</v>
      </c>
      <c r="F1753" s="4" t="s">
        <v>2385</v>
      </c>
      <c r="G1753" s="4" t="s">
        <v>2487</v>
      </c>
      <c r="H1753" s="4"/>
      <c r="I1753" s="4" t="s">
        <v>56</v>
      </c>
      <c r="J1753" s="4">
        <v>1</v>
      </c>
      <c r="K1753" s="4">
        <v>0</v>
      </c>
      <c r="L1753" s="4">
        <f>J1753+K1753</f>
        <v>0</v>
      </c>
      <c r="M1753" s="4"/>
      <c r="N1753" s="4"/>
      <c r="O1753" s="4">
        <v>0</v>
      </c>
      <c r="P1753" s="4"/>
      <c r="Q1753" s="4"/>
      <c r="R1753" s="7">
        <v>0</v>
      </c>
      <c r="S1753" s="7">
        <v>0</v>
      </c>
      <c r="T1753" s="7">
        <f>R1753-S1753</f>
        <v>0</v>
      </c>
      <c r="U1753" s="7">
        <f>T1753*O1753</f>
        <v>0</v>
      </c>
    </row>
    <row r="1754" spans="1:21">
      <c r="A1754" s="4" t="s">
        <v>2488</v>
      </c>
      <c r="B1754" s="4" t="s">
        <v>39</v>
      </c>
      <c r="C1754" s="5">
        <v>45946.3683912037</v>
      </c>
      <c r="D1754" s="5">
        <v>45946</v>
      </c>
      <c r="E1754" s="6">
        <f>IF(AND(C1754&lt;&gt;"",D1754&lt;&gt;""),D1754-C1754,"")</f>
        <v>0</v>
      </c>
      <c r="F1754" s="4" t="s">
        <v>2489</v>
      </c>
      <c r="G1754" s="4" t="s">
        <v>2490</v>
      </c>
      <c r="H1754" s="4" t="s">
        <v>32</v>
      </c>
      <c r="I1754" s="4" t="s">
        <v>33</v>
      </c>
      <c r="J1754" s="4">
        <v>1</v>
      </c>
      <c r="K1754" s="4">
        <v>0</v>
      </c>
      <c r="L1754" s="4">
        <f>J1754+K1754</f>
        <v>0</v>
      </c>
      <c r="M1754" s="4" t="s">
        <v>80</v>
      </c>
      <c r="N1754" s="4"/>
      <c r="O1754" s="4">
        <v>1</v>
      </c>
      <c r="P1754" s="4" t="s">
        <v>135</v>
      </c>
      <c r="Q1754" s="4" t="s">
        <v>44</v>
      </c>
      <c r="R1754" s="7">
        <v>610000</v>
      </c>
      <c r="S1754" s="7">
        <v>0</v>
      </c>
      <c r="T1754" s="7">
        <f>R1754-S1754</f>
        <v>0</v>
      </c>
      <c r="U1754" s="7">
        <f>T1754*O1754</f>
        <v>0</v>
      </c>
    </row>
    <row r="1755" spans="1:21">
      <c r="A1755" s="4" t="s">
        <v>2488</v>
      </c>
      <c r="B1755" s="4" t="s">
        <v>39</v>
      </c>
      <c r="C1755" s="5">
        <v>45946.3683912037</v>
      </c>
      <c r="D1755" s="5">
        <v>45946</v>
      </c>
      <c r="E1755" s="6">
        <f>IF(AND(C1755&lt;&gt;"",D1755&lt;&gt;""),D1755-C1755,"")</f>
        <v>0</v>
      </c>
      <c r="F1755" s="4" t="s">
        <v>2489</v>
      </c>
      <c r="G1755" s="4" t="s">
        <v>2490</v>
      </c>
      <c r="H1755" s="4" t="s">
        <v>32</v>
      </c>
      <c r="I1755" s="4" t="s">
        <v>33</v>
      </c>
      <c r="J1755" s="4">
        <v>1</v>
      </c>
      <c r="K1755" s="4">
        <v>0</v>
      </c>
      <c r="L1755" s="4">
        <f>J1755+K1755</f>
        <v>0</v>
      </c>
      <c r="M1755" s="4" t="s">
        <v>42</v>
      </c>
      <c r="N1755" s="4"/>
      <c r="O1755" s="4">
        <v>1</v>
      </c>
      <c r="P1755" s="4" t="s">
        <v>135</v>
      </c>
      <c r="Q1755" s="4" t="s">
        <v>44</v>
      </c>
      <c r="R1755" s="7">
        <v>370000</v>
      </c>
      <c r="S1755" s="7">
        <v>0</v>
      </c>
      <c r="T1755" s="7">
        <f>R1755-S1755</f>
        <v>0</v>
      </c>
      <c r="U1755" s="7">
        <f>T1755*O1755</f>
        <v>0</v>
      </c>
    </row>
    <row r="1756" spans="1:21">
      <c r="A1756" s="4" t="s">
        <v>2488</v>
      </c>
      <c r="B1756" s="4" t="s">
        <v>39</v>
      </c>
      <c r="C1756" s="5">
        <v>45946.3683912037</v>
      </c>
      <c r="D1756" s="5">
        <v>45946</v>
      </c>
      <c r="E1756" s="6">
        <f>IF(AND(C1756&lt;&gt;"",D1756&lt;&gt;""),D1756-C1756,"")</f>
        <v>0</v>
      </c>
      <c r="F1756" s="4" t="s">
        <v>2489</v>
      </c>
      <c r="G1756" s="4" t="s">
        <v>2490</v>
      </c>
      <c r="H1756" s="4" t="s">
        <v>32</v>
      </c>
      <c r="I1756" s="4" t="s">
        <v>33</v>
      </c>
      <c r="J1756" s="4">
        <v>1</v>
      </c>
      <c r="K1756" s="4">
        <v>0</v>
      </c>
      <c r="L1756" s="4">
        <f>J1756+K1756</f>
        <v>0</v>
      </c>
      <c r="M1756" s="4" t="s">
        <v>80</v>
      </c>
      <c r="N1756" s="4"/>
      <c r="O1756" s="4">
        <v>1</v>
      </c>
      <c r="P1756" s="4" t="s">
        <v>135</v>
      </c>
      <c r="Q1756" s="4" t="s">
        <v>44</v>
      </c>
      <c r="R1756" s="7">
        <v>610000</v>
      </c>
      <c r="S1756" s="7">
        <v>0</v>
      </c>
      <c r="T1756" s="7">
        <f>R1756-S1756</f>
        <v>0</v>
      </c>
      <c r="U1756" s="7">
        <f>T1756*O1756</f>
        <v>0</v>
      </c>
    </row>
    <row r="1757" spans="1:21">
      <c r="A1757" s="4" t="s">
        <v>2491</v>
      </c>
      <c r="B1757" s="4" t="s">
        <v>39</v>
      </c>
      <c r="C1757" s="5">
        <v>45946.36883101852</v>
      </c>
      <c r="D1757" s="5">
        <v>45946</v>
      </c>
      <c r="E1757" s="6">
        <f>IF(AND(C1757&lt;&gt;"",D1757&lt;&gt;""),D1757-C1757,"")</f>
        <v>0</v>
      </c>
      <c r="F1757" s="4" t="s">
        <v>2489</v>
      </c>
      <c r="G1757" s="4" t="s">
        <v>2490</v>
      </c>
      <c r="H1757" s="4" t="s">
        <v>32</v>
      </c>
      <c r="I1757" s="4" t="s">
        <v>33</v>
      </c>
      <c r="J1757" s="4">
        <v>1</v>
      </c>
      <c r="K1757" s="4">
        <v>0</v>
      </c>
      <c r="L1757" s="4">
        <f>J1757+K1757</f>
        <v>0</v>
      </c>
      <c r="M1757" s="4" t="s">
        <v>42</v>
      </c>
      <c r="N1757" s="4"/>
      <c r="O1757" s="4">
        <v>1</v>
      </c>
      <c r="P1757" s="4" t="s">
        <v>135</v>
      </c>
      <c r="Q1757" s="4" t="s">
        <v>44</v>
      </c>
      <c r="R1757" s="7">
        <v>370000</v>
      </c>
      <c r="S1757" s="7">
        <v>0</v>
      </c>
      <c r="T1757" s="7">
        <f>R1757-S1757</f>
        <v>0</v>
      </c>
      <c r="U1757" s="7">
        <f>T1757*O1757</f>
        <v>0</v>
      </c>
    </row>
    <row r="1758" spans="1:21">
      <c r="A1758" s="4" t="s">
        <v>2491</v>
      </c>
      <c r="B1758" s="4" t="s">
        <v>39</v>
      </c>
      <c r="C1758" s="5">
        <v>45946.36883101852</v>
      </c>
      <c r="D1758" s="5">
        <v>45946</v>
      </c>
      <c r="E1758" s="6">
        <f>IF(AND(C1758&lt;&gt;"",D1758&lt;&gt;""),D1758-C1758,"")</f>
        <v>0</v>
      </c>
      <c r="F1758" s="4" t="s">
        <v>2489</v>
      </c>
      <c r="G1758" s="4" t="s">
        <v>2490</v>
      </c>
      <c r="H1758" s="4" t="s">
        <v>32</v>
      </c>
      <c r="I1758" s="4" t="s">
        <v>33</v>
      </c>
      <c r="J1758" s="4">
        <v>1</v>
      </c>
      <c r="K1758" s="4">
        <v>0</v>
      </c>
      <c r="L1758" s="4">
        <f>J1758+K1758</f>
        <v>0</v>
      </c>
      <c r="M1758" s="4" t="s">
        <v>80</v>
      </c>
      <c r="N1758" s="4"/>
      <c r="O1758" s="4">
        <v>1</v>
      </c>
      <c r="P1758" s="4" t="s">
        <v>135</v>
      </c>
      <c r="Q1758" s="4" t="s">
        <v>44</v>
      </c>
      <c r="R1758" s="7">
        <v>610000</v>
      </c>
      <c r="S1758" s="7">
        <v>0</v>
      </c>
      <c r="T1758" s="7">
        <f>R1758-S1758</f>
        <v>0</v>
      </c>
      <c r="U1758" s="7">
        <f>T1758*O1758</f>
        <v>0</v>
      </c>
    </row>
    <row r="1759" spans="1:21">
      <c r="A1759" s="4" t="s">
        <v>2491</v>
      </c>
      <c r="B1759" s="4" t="s">
        <v>39</v>
      </c>
      <c r="C1759" s="5">
        <v>45946.36883101852</v>
      </c>
      <c r="D1759" s="5">
        <v>45946</v>
      </c>
      <c r="E1759" s="6">
        <f>IF(AND(C1759&lt;&gt;"",D1759&lt;&gt;""),D1759-C1759,"")</f>
        <v>0</v>
      </c>
      <c r="F1759" s="4" t="s">
        <v>2489</v>
      </c>
      <c r="G1759" s="4" t="s">
        <v>2490</v>
      </c>
      <c r="H1759" s="4" t="s">
        <v>32</v>
      </c>
      <c r="I1759" s="4" t="s">
        <v>33</v>
      </c>
      <c r="J1759" s="4">
        <v>0</v>
      </c>
      <c r="K1759" s="4">
        <v>1</v>
      </c>
      <c r="L1759" s="4">
        <f>J1759+K1759</f>
        <v>0</v>
      </c>
      <c r="M1759" s="4" t="s">
        <v>81</v>
      </c>
      <c r="N1759" s="4"/>
      <c r="O1759" s="4">
        <v>1</v>
      </c>
      <c r="P1759" s="4" t="s">
        <v>135</v>
      </c>
      <c r="Q1759" s="4" t="s">
        <v>44</v>
      </c>
      <c r="R1759" s="7">
        <v>495000</v>
      </c>
      <c r="S1759" s="7">
        <v>0</v>
      </c>
      <c r="T1759" s="7">
        <f>R1759-S1759</f>
        <v>0</v>
      </c>
      <c r="U1759" s="7">
        <f>T1759*O1759</f>
        <v>0</v>
      </c>
    </row>
    <row r="1760" spans="1:21">
      <c r="A1760" s="4" t="s">
        <v>2492</v>
      </c>
      <c r="B1760" s="4" t="s">
        <v>48</v>
      </c>
      <c r="C1760" s="5">
        <v>45946.37740740741</v>
      </c>
      <c r="D1760" s="5">
        <v>45961</v>
      </c>
      <c r="E1760" s="6">
        <f>IF(AND(C1760&lt;&gt;"",D1760&lt;&gt;""),D1760-C1760,"")</f>
        <v>0</v>
      </c>
      <c r="F1760" s="4" t="s">
        <v>2408</v>
      </c>
      <c r="G1760" s="4" t="s">
        <v>2404</v>
      </c>
      <c r="H1760" s="4" t="s">
        <v>32</v>
      </c>
      <c r="I1760" s="4" t="s">
        <v>33</v>
      </c>
      <c r="J1760" s="4">
        <v>2</v>
      </c>
      <c r="K1760" s="4">
        <v>0</v>
      </c>
      <c r="L1760" s="4">
        <f>J1760+K1760</f>
        <v>0</v>
      </c>
      <c r="M1760" s="4"/>
      <c r="N1760" s="4"/>
      <c r="O1760" s="4">
        <v>0</v>
      </c>
      <c r="P1760" s="4"/>
      <c r="Q1760" s="4"/>
      <c r="R1760" s="7">
        <v>0</v>
      </c>
      <c r="S1760" s="7">
        <v>0</v>
      </c>
      <c r="T1760" s="7">
        <f>R1760-S1760</f>
        <v>0</v>
      </c>
      <c r="U1760" s="7">
        <f>T1760*O1760</f>
        <v>0</v>
      </c>
    </row>
    <row r="1761" spans="1:21">
      <c r="A1761" s="4" t="s">
        <v>2493</v>
      </c>
      <c r="B1761" s="4" t="s">
        <v>48</v>
      </c>
      <c r="C1761" s="5">
        <v>45946.37983796297</v>
      </c>
      <c r="D1761" s="5">
        <v>45961</v>
      </c>
      <c r="E1761" s="6">
        <f>IF(AND(C1761&lt;&gt;"",D1761&lt;&gt;""),D1761-C1761,"")</f>
        <v>0</v>
      </c>
      <c r="F1761" s="4" t="s">
        <v>2494</v>
      </c>
      <c r="G1761" s="4" t="s">
        <v>2495</v>
      </c>
      <c r="H1761" s="4"/>
      <c r="I1761" s="4" t="s">
        <v>56</v>
      </c>
      <c r="J1761" s="4">
        <v>3</v>
      </c>
      <c r="K1761" s="4">
        <v>0</v>
      </c>
      <c r="L1761" s="4">
        <f>J1761+K1761</f>
        <v>0</v>
      </c>
      <c r="M1761" s="4"/>
      <c r="N1761" s="4"/>
      <c r="O1761" s="4">
        <v>0</v>
      </c>
      <c r="P1761" s="4"/>
      <c r="Q1761" s="4"/>
      <c r="R1761" s="7">
        <v>0</v>
      </c>
      <c r="S1761" s="7">
        <v>0</v>
      </c>
      <c r="T1761" s="7">
        <f>R1761-S1761</f>
        <v>0</v>
      </c>
      <c r="U1761" s="7">
        <f>T1761*O1761</f>
        <v>0</v>
      </c>
    </row>
    <row r="1762" spans="1:21">
      <c r="A1762" s="4" t="s">
        <v>2496</v>
      </c>
      <c r="B1762" s="4" t="s">
        <v>48</v>
      </c>
      <c r="C1762" s="5">
        <v>45946.3809375</v>
      </c>
      <c r="D1762" s="5">
        <v>45961</v>
      </c>
      <c r="E1762" s="6">
        <f>IF(AND(C1762&lt;&gt;"",D1762&lt;&gt;""),D1762-C1762,"")</f>
        <v>0</v>
      </c>
      <c r="F1762" s="4" t="s">
        <v>2408</v>
      </c>
      <c r="G1762" s="4" t="s">
        <v>2404</v>
      </c>
      <c r="H1762" s="4" t="s">
        <v>32</v>
      </c>
      <c r="I1762" s="4" t="s">
        <v>33</v>
      </c>
      <c r="J1762" s="4">
        <v>2</v>
      </c>
      <c r="K1762" s="4">
        <v>0</v>
      </c>
      <c r="L1762" s="4">
        <f>J1762+K1762</f>
        <v>0</v>
      </c>
      <c r="M1762" s="4"/>
      <c r="N1762" s="4"/>
      <c r="O1762" s="4">
        <v>0</v>
      </c>
      <c r="P1762" s="4"/>
      <c r="Q1762" s="4"/>
      <c r="R1762" s="7">
        <v>0</v>
      </c>
      <c r="S1762" s="7">
        <v>0</v>
      </c>
      <c r="T1762" s="7">
        <f>R1762-S1762</f>
        <v>0</v>
      </c>
      <c r="U1762" s="7">
        <f>T1762*O1762</f>
        <v>0</v>
      </c>
    </row>
    <row r="1763" spans="1:21">
      <c r="A1763" s="4" t="s">
        <v>2497</v>
      </c>
      <c r="B1763" s="4" t="s">
        <v>48</v>
      </c>
      <c r="C1763" s="5">
        <v>45946.38340277778</v>
      </c>
      <c r="D1763" s="5">
        <v>45961</v>
      </c>
      <c r="E1763" s="6">
        <f>IF(AND(C1763&lt;&gt;"",D1763&lt;&gt;""),D1763-C1763,"")</f>
        <v>0</v>
      </c>
      <c r="F1763" s="4" t="s">
        <v>372</v>
      </c>
      <c r="G1763" s="4" t="s">
        <v>373</v>
      </c>
      <c r="H1763" s="4" t="s">
        <v>32</v>
      </c>
      <c r="I1763" s="4" t="s">
        <v>33</v>
      </c>
      <c r="J1763" s="4">
        <v>5</v>
      </c>
      <c r="K1763" s="4">
        <v>0</v>
      </c>
      <c r="L1763" s="4">
        <f>J1763+K1763</f>
        <v>0</v>
      </c>
      <c r="M1763" s="4"/>
      <c r="N1763" s="4"/>
      <c r="O1763" s="4">
        <v>0</v>
      </c>
      <c r="P1763" s="4"/>
      <c r="Q1763" s="4"/>
      <c r="R1763" s="7">
        <v>0</v>
      </c>
      <c r="S1763" s="7">
        <v>0</v>
      </c>
      <c r="T1763" s="7">
        <f>R1763-S1763</f>
        <v>0</v>
      </c>
      <c r="U1763" s="7">
        <f>T1763*O1763</f>
        <v>0</v>
      </c>
    </row>
    <row r="1764" spans="1:21">
      <c r="A1764" s="4" t="s">
        <v>2498</v>
      </c>
      <c r="B1764" s="4" t="s">
        <v>48</v>
      </c>
      <c r="C1764" s="5">
        <v>45946.38381944445</v>
      </c>
      <c r="D1764" s="5">
        <v>45961</v>
      </c>
      <c r="E1764" s="6">
        <f>IF(AND(C1764&lt;&gt;"",D1764&lt;&gt;""),D1764-C1764,"")</f>
        <v>0</v>
      </c>
      <c r="F1764" s="4" t="s">
        <v>1399</v>
      </c>
      <c r="G1764" s="4" t="s">
        <v>202</v>
      </c>
      <c r="H1764" s="4" t="s">
        <v>32</v>
      </c>
      <c r="I1764" s="4" t="s">
        <v>33</v>
      </c>
      <c r="J1764" s="4">
        <v>3</v>
      </c>
      <c r="K1764" s="4">
        <v>0</v>
      </c>
      <c r="L1764" s="4">
        <f>J1764+K1764</f>
        <v>0</v>
      </c>
      <c r="M1764" s="4"/>
      <c r="N1764" s="4"/>
      <c r="O1764" s="4">
        <v>0</v>
      </c>
      <c r="P1764" s="4"/>
      <c r="Q1764" s="4"/>
      <c r="R1764" s="7">
        <v>0</v>
      </c>
      <c r="S1764" s="7">
        <v>0</v>
      </c>
      <c r="T1764" s="7">
        <f>R1764-S1764</f>
        <v>0</v>
      </c>
      <c r="U1764" s="7">
        <f>T1764*O1764</f>
        <v>0</v>
      </c>
    </row>
    <row r="1765" spans="1:21">
      <c r="A1765" s="4" t="s">
        <v>2499</v>
      </c>
      <c r="B1765" s="4" t="s">
        <v>48</v>
      </c>
      <c r="C1765" s="5">
        <v>45946.3874537037</v>
      </c>
      <c r="D1765" s="5">
        <v>45961</v>
      </c>
      <c r="E1765" s="6">
        <f>IF(AND(C1765&lt;&gt;"",D1765&lt;&gt;""),D1765-C1765,"")</f>
        <v>0</v>
      </c>
      <c r="F1765" s="4" t="s">
        <v>201</v>
      </c>
      <c r="G1765" s="4" t="s">
        <v>202</v>
      </c>
      <c r="H1765" s="4" t="s">
        <v>32</v>
      </c>
      <c r="I1765" s="4" t="s">
        <v>33</v>
      </c>
      <c r="J1765" s="4">
        <v>3</v>
      </c>
      <c r="K1765" s="4">
        <v>0</v>
      </c>
      <c r="L1765" s="4">
        <f>J1765+K1765</f>
        <v>0</v>
      </c>
      <c r="M1765" s="4"/>
      <c r="N1765" s="4"/>
      <c r="O1765" s="4">
        <v>0</v>
      </c>
      <c r="P1765" s="4"/>
      <c r="Q1765" s="4"/>
      <c r="R1765" s="7">
        <v>0</v>
      </c>
      <c r="S1765" s="7">
        <v>0</v>
      </c>
      <c r="T1765" s="7">
        <f>R1765-S1765</f>
        <v>0</v>
      </c>
      <c r="U1765" s="7">
        <f>T1765*O1765</f>
        <v>0</v>
      </c>
    </row>
    <row r="1766" spans="1:21">
      <c r="A1766" s="4" t="s">
        <v>2500</v>
      </c>
      <c r="B1766" s="4" t="s">
        <v>48</v>
      </c>
      <c r="C1766" s="5">
        <v>45946.39517361111</v>
      </c>
      <c r="D1766" s="5">
        <v>45961</v>
      </c>
      <c r="E1766" s="6">
        <f>IF(AND(C1766&lt;&gt;"",D1766&lt;&gt;""),D1766-C1766,"")</f>
        <v>0</v>
      </c>
      <c r="F1766" s="4" t="s">
        <v>201</v>
      </c>
      <c r="G1766" s="4" t="s">
        <v>202</v>
      </c>
      <c r="H1766" s="4" t="s">
        <v>32</v>
      </c>
      <c r="I1766" s="4" t="s">
        <v>33</v>
      </c>
      <c r="J1766" s="4">
        <v>2</v>
      </c>
      <c r="K1766" s="4">
        <v>0</v>
      </c>
      <c r="L1766" s="4">
        <f>J1766+K1766</f>
        <v>0</v>
      </c>
      <c r="M1766" s="4"/>
      <c r="N1766" s="4"/>
      <c r="O1766" s="4">
        <v>0</v>
      </c>
      <c r="P1766" s="4"/>
      <c r="Q1766" s="4"/>
      <c r="R1766" s="7">
        <v>0</v>
      </c>
      <c r="S1766" s="7">
        <v>0</v>
      </c>
      <c r="T1766" s="7">
        <f>R1766-S1766</f>
        <v>0</v>
      </c>
      <c r="U1766" s="7">
        <f>T1766*O1766</f>
        <v>0</v>
      </c>
    </row>
    <row r="1767" spans="1:21">
      <c r="A1767" s="4" t="s">
        <v>2501</v>
      </c>
      <c r="B1767" s="4" t="s">
        <v>48</v>
      </c>
      <c r="C1767" s="5">
        <v>45946.40366898148</v>
      </c>
      <c r="D1767" s="5">
        <v>45961</v>
      </c>
      <c r="E1767" s="6">
        <f>IF(AND(C1767&lt;&gt;"",D1767&lt;&gt;""),D1767-C1767,"")</f>
        <v>0</v>
      </c>
      <c r="F1767" s="4" t="s">
        <v>2502</v>
      </c>
      <c r="G1767" s="4" t="s">
        <v>2503</v>
      </c>
      <c r="H1767" s="4" t="s">
        <v>32</v>
      </c>
      <c r="I1767" s="4" t="s">
        <v>33</v>
      </c>
      <c r="J1767" s="4">
        <v>1</v>
      </c>
      <c r="K1767" s="4">
        <v>0</v>
      </c>
      <c r="L1767" s="4">
        <f>J1767+K1767</f>
        <v>0</v>
      </c>
      <c r="M1767" s="4"/>
      <c r="N1767" s="4"/>
      <c r="O1767" s="4">
        <v>0</v>
      </c>
      <c r="P1767" s="4"/>
      <c r="Q1767" s="4"/>
      <c r="R1767" s="7">
        <v>0</v>
      </c>
      <c r="S1767" s="7">
        <v>0</v>
      </c>
      <c r="T1767" s="7">
        <f>R1767-S1767</f>
        <v>0</v>
      </c>
      <c r="U1767" s="7">
        <f>T1767*O1767</f>
        <v>0</v>
      </c>
    </row>
    <row r="1768" spans="1:21">
      <c r="A1768" s="4" t="s">
        <v>2504</v>
      </c>
      <c r="B1768" s="4" t="s">
        <v>48</v>
      </c>
      <c r="C1768" s="5">
        <v>45946.40861111111</v>
      </c>
      <c r="D1768" s="5">
        <v>45961</v>
      </c>
      <c r="E1768" s="6">
        <f>IF(AND(C1768&lt;&gt;"",D1768&lt;&gt;""),D1768-C1768,"")</f>
        <v>0</v>
      </c>
      <c r="F1768" s="4" t="s">
        <v>2408</v>
      </c>
      <c r="G1768" s="4" t="s">
        <v>2505</v>
      </c>
      <c r="H1768" s="4" t="s">
        <v>32</v>
      </c>
      <c r="I1768" s="4" t="s">
        <v>33</v>
      </c>
      <c r="J1768" s="4">
        <v>5</v>
      </c>
      <c r="K1768" s="4">
        <v>0</v>
      </c>
      <c r="L1768" s="4">
        <f>J1768+K1768</f>
        <v>0</v>
      </c>
      <c r="M1768" s="4"/>
      <c r="N1768" s="4"/>
      <c r="O1768" s="4">
        <v>0</v>
      </c>
      <c r="P1768" s="4"/>
      <c r="Q1768" s="4"/>
      <c r="R1768" s="7">
        <v>0</v>
      </c>
      <c r="S1768" s="7">
        <v>0</v>
      </c>
      <c r="T1768" s="7">
        <f>R1768-S1768</f>
        <v>0</v>
      </c>
      <c r="U1768" s="7">
        <f>T1768*O1768</f>
        <v>0</v>
      </c>
    </row>
    <row r="1769" spans="1:21">
      <c r="A1769" s="4" t="s">
        <v>2506</v>
      </c>
      <c r="B1769" s="4" t="s">
        <v>48</v>
      </c>
      <c r="C1769" s="5">
        <v>45946.41946759259</v>
      </c>
      <c r="D1769" s="5">
        <v>45961</v>
      </c>
      <c r="E1769" s="6">
        <f>IF(AND(C1769&lt;&gt;"",D1769&lt;&gt;""),D1769-C1769,"")</f>
        <v>0</v>
      </c>
      <c r="F1769" s="4" t="s">
        <v>201</v>
      </c>
      <c r="G1769" s="4" t="s">
        <v>202</v>
      </c>
      <c r="H1769" s="4" t="s">
        <v>32</v>
      </c>
      <c r="I1769" s="4" t="s">
        <v>33</v>
      </c>
      <c r="J1769" s="4">
        <v>8</v>
      </c>
      <c r="K1769" s="4">
        <v>0</v>
      </c>
      <c r="L1769" s="4">
        <f>J1769+K1769</f>
        <v>0</v>
      </c>
      <c r="M1769" s="4"/>
      <c r="N1769" s="4"/>
      <c r="O1769" s="4">
        <v>0</v>
      </c>
      <c r="P1769" s="4"/>
      <c r="Q1769" s="4"/>
      <c r="R1769" s="7">
        <v>0</v>
      </c>
      <c r="S1769" s="7">
        <v>0</v>
      </c>
      <c r="T1769" s="7">
        <f>R1769-S1769</f>
        <v>0</v>
      </c>
      <c r="U1769" s="7">
        <f>T1769*O1769</f>
        <v>0</v>
      </c>
    </row>
    <row r="1770" spans="1:21">
      <c r="A1770" s="4" t="s">
        <v>2507</v>
      </c>
      <c r="B1770" s="4" t="s">
        <v>39</v>
      </c>
      <c r="C1770" s="5">
        <v>45946.43466435185</v>
      </c>
      <c r="D1770" s="5">
        <v>45946</v>
      </c>
      <c r="E1770" s="6">
        <f>IF(AND(C1770&lt;&gt;"",D1770&lt;&gt;""),D1770-C1770,"")</f>
        <v>0</v>
      </c>
      <c r="F1770" s="4" t="s">
        <v>2508</v>
      </c>
      <c r="G1770" s="4" t="s">
        <v>2509</v>
      </c>
      <c r="H1770" s="4" t="s">
        <v>32</v>
      </c>
      <c r="I1770" s="4" t="s">
        <v>33</v>
      </c>
      <c r="J1770" s="4">
        <v>0</v>
      </c>
      <c r="K1770" s="4">
        <v>0</v>
      </c>
      <c r="L1770" s="4">
        <f>J1770+K1770</f>
        <v>0</v>
      </c>
      <c r="M1770" s="4" t="s">
        <v>370</v>
      </c>
      <c r="N1770" s="4"/>
      <c r="O1770" s="4">
        <v>1</v>
      </c>
      <c r="P1770" s="4" t="s">
        <v>135</v>
      </c>
      <c r="Q1770" s="4"/>
      <c r="R1770" s="7">
        <v>5000000</v>
      </c>
      <c r="S1770" s="7">
        <v>0</v>
      </c>
      <c r="T1770" s="7">
        <f>R1770-S1770</f>
        <v>0</v>
      </c>
      <c r="U1770" s="7">
        <f>T1770*O1770</f>
        <v>0</v>
      </c>
    </row>
    <row r="1771" spans="1:21">
      <c r="A1771" s="4" t="s">
        <v>2507</v>
      </c>
      <c r="B1771" s="4" t="s">
        <v>39</v>
      </c>
      <c r="C1771" s="5">
        <v>45946.43466435185</v>
      </c>
      <c r="D1771" s="5">
        <v>45946</v>
      </c>
      <c r="E1771" s="6">
        <f>IF(AND(C1771&lt;&gt;"",D1771&lt;&gt;""),D1771-C1771,"")</f>
        <v>0</v>
      </c>
      <c r="F1771" s="4" t="s">
        <v>2508</v>
      </c>
      <c r="G1771" s="4" t="s">
        <v>2509</v>
      </c>
      <c r="H1771" s="4" t="s">
        <v>32</v>
      </c>
      <c r="I1771" s="4" t="s">
        <v>33</v>
      </c>
      <c r="J1771" s="4">
        <v>1</v>
      </c>
      <c r="K1771" s="4">
        <v>0</v>
      </c>
      <c r="L1771" s="4">
        <f>J1771+K1771</f>
        <v>0</v>
      </c>
      <c r="M1771" s="4" t="s">
        <v>80</v>
      </c>
      <c r="N1771" s="4"/>
      <c r="O1771" s="4">
        <v>1</v>
      </c>
      <c r="P1771" s="4" t="s">
        <v>135</v>
      </c>
      <c r="Q1771" s="4"/>
      <c r="R1771" s="7">
        <v>610000</v>
      </c>
      <c r="S1771" s="7">
        <v>0</v>
      </c>
      <c r="T1771" s="7">
        <f>R1771-S1771</f>
        <v>0</v>
      </c>
      <c r="U1771" s="7">
        <f>T1771*O1771</f>
        <v>0</v>
      </c>
    </row>
    <row r="1772" spans="1:21">
      <c r="A1772" s="4" t="s">
        <v>2510</v>
      </c>
      <c r="B1772" s="4" t="s">
        <v>48</v>
      </c>
      <c r="C1772" s="5">
        <v>45946.44993055556</v>
      </c>
      <c r="D1772" s="5">
        <v>45961</v>
      </c>
      <c r="E1772" s="6">
        <f>IF(AND(C1772&lt;&gt;"",D1772&lt;&gt;""),D1772-C1772,"")</f>
        <v>0</v>
      </c>
      <c r="F1772" s="4" t="s">
        <v>2511</v>
      </c>
      <c r="G1772" s="4" t="s">
        <v>2512</v>
      </c>
      <c r="H1772" s="4" t="s">
        <v>32</v>
      </c>
      <c r="I1772" s="4" t="s">
        <v>33</v>
      </c>
      <c r="J1772" s="4">
        <v>3</v>
      </c>
      <c r="K1772" s="4">
        <v>0</v>
      </c>
      <c r="L1772" s="4">
        <f>J1772+K1772</f>
        <v>0</v>
      </c>
      <c r="M1772" s="4"/>
      <c r="N1772" s="4"/>
      <c r="O1772" s="4">
        <v>0</v>
      </c>
      <c r="P1772" s="4"/>
      <c r="Q1772" s="4"/>
      <c r="R1772" s="7">
        <v>0</v>
      </c>
      <c r="S1772" s="7">
        <v>0</v>
      </c>
      <c r="T1772" s="7">
        <f>R1772-S1772</f>
        <v>0</v>
      </c>
      <c r="U1772" s="7">
        <f>T1772*O1772</f>
        <v>0</v>
      </c>
    </row>
    <row r="1773" spans="1:21">
      <c r="A1773" s="4" t="s">
        <v>2513</v>
      </c>
      <c r="B1773" s="4" t="s">
        <v>48</v>
      </c>
      <c r="C1773" s="5">
        <v>45946.46596064815</v>
      </c>
      <c r="D1773" s="5">
        <v>45961</v>
      </c>
      <c r="E1773" s="6">
        <f>IF(AND(C1773&lt;&gt;"",D1773&lt;&gt;""),D1773-C1773,"")</f>
        <v>0</v>
      </c>
      <c r="F1773" s="4" t="s">
        <v>64</v>
      </c>
      <c r="G1773" s="4" t="s">
        <v>2514</v>
      </c>
      <c r="H1773" s="4" t="s">
        <v>32</v>
      </c>
      <c r="I1773" s="4" t="s">
        <v>33</v>
      </c>
      <c r="J1773" s="4">
        <v>3</v>
      </c>
      <c r="K1773" s="4">
        <v>0</v>
      </c>
      <c r="L1773" s="4">
        <f>J1773+K1773</f>
        <v>0</v>
      </c>
      <c r="M1773" s="4"/>
      <c r="N1773" s="4"/>
      <c r="O1773" s="4">
        <v>0</v>
      </c>
      <c r="P1773" s="4"/>
      <c r="Q1773" s="4"/>
      <c r="R1773" s="7">
        <v>0</v>
      </c>
      <c r="S1773" s="7">
        <v>0</v>
      </c>
      <c r="T1773" s="7">
        <f>R1773-S1773</f>
        <v>0</v>
      </c>
      <c r="U1773" s="7">
        <f>T1773*O1773</f>
        <v>0</v>
      </c>
    </row>
    <row r="1774" spans="1:21">
      <c r="A1774" s="4" t="s">
        <v>2515</v>
      </c>
      <c r="B1774" s="4" t="s">
        <v>39</v>
      </c>
      <c r="C1774" s="5">
        <v>45946.48178240741</v>
      </c>
      <c r="D1774" s="5">
        <v>45946</v>
      </c>
      <c r="E1774" s="6">
        <f>IF(AND(C1774&lt;&gt;"",D1774&lt;&gt;""),D1774-C1774,"")</f>
        <v>0</v>
      </c>
      <c r="F1774" s="4" t="s">
        <v>2516</v>
      </c>
      <c r="G1774" s="4" t="s">
        <v>2517</v>
      </c>
      <c r="H1774" s="4" t="s">
        <v>32</v>
      </c>
      <c r="I1774" s="4" t="s">
        <v>33</v>
      </c>
      <c r="J1774" s="4">
        <v>1</v>
      </c>
      <c r="K1774" s="4">
        <v>0</v>
      </c>
      <c r="L1774" s="4">
        <f>J1774+K1774</f>
        <v>0</v>
      </c>
      <c r="M1774" s="4" t="s">
        <v>80</v>
      </c>
      <c r="N1774" s="4"/>
      <c r="O1774" s="4">
        <v>1</v>
      </c>
      <c r="P1774" s="4" t="s">
        <v>135</v>
      </c>
      <c r="Q1774" s="4"/>
      <c r="R1774" s="7">
        <v>610000</v>
      </c>
      <c r="S1774" s="7">
        <v>0</v>
      </c>
      <c r="T1774" s="7">
        <f>R1774-S1774</f>
        <v>0</v>
      </c>
      <c r="U1774" s="7">
        <f>T1774*O1774</f>
        <v>0</v>
      </c>
    </row>
    <row r="1775" spans="1:21">
      <c r="A1775" s="4" t="s">
        <v>2515</v>
      </c>
      <c r="B1775" s="4" t="s">
        <v>39</v>
      </c>
      <c r="C1775" s="5">
        <v>45946.48178240741</v>
      </c>
      <c r="D1775" s="5">
        <v>45946</v>
      </c>
      <c r="E1775" s="6">
        <f>IF(AND(C1775&lt;&gt;"",D1775&lt;&gt;""),D1775-C1775,"")</f>
        <v>0</v>
      </c>
      <c r="F1775" s="4" t="s">
        <v>2516</v>
      </c>
      <c r="G1775" s="4" t="s">
        <v>2517</v>
      </c>
      <c r="H1775" s="4" t="s">
        <v>32</v>
      </c>
      <c r="I1775" s="4" t="s">
        <v>33</v>
      </c>
      <c r="J1775" s="4">
        <v>0</v>
      </c>
      <c r="K1775" s="4">
        <v>0</v>
      </c>
      <c r="L1775" s="4">
        <f>J1775+K1775</f>
        <v>0</v>
      </c>
      <c r="M1775" s="4" t="s">
        <v>370</v>
      </c>
      <c r="N1775" s="4"/>
      <c r="O1775" s="4">
        <v>1</v>
      </c>
      <c r="P1775" s="4" t="s">
        <v>135</v>
      </c>
      <c r="Q1775" s="4"/>
      <c r="R1775" s="7">
        <v>5000000</v>
      </c>
      <c r="S1775" s="7">
        <v>0</v>
      </c>
      <c r="T1775" s="7">
        <f>R1775-S1775</f>
        <v>0</v>
      </c>
      <c r="U1775" s="7">
        <f>T1775*O1775</f>
        <v>0</v>
      </c>
    </row>
    <row r="1776" spans="1:21">
      <c r="A1776" s="4" t="s">
        <v>2518</v>
      </c>
      <c r="B1776" s="4" t="s">
        <v>39</v>
      </c>
      <c r="C1776" s="5">
        <v>45946.48458333333</v>
      </c>
      <c r="D1776" s="5">
        <v>45946</v>
      </c>
      <c r="E1776" s="6">
        <f>IF(AND(C1776&lt;&gt;"",D1776&lt;&gt;""),D1776-C1776,"")</f>
        <v>0</v>
      </c>
      <c r="F1776" s="4" t="s">
        <v>2519</v>
      </c>
      <c r="G1776" s="4" t="s">
        <v>2520</v>
      </c>
      <c r="H1776" s="4" t="s">
        <v>32</v>
      </c>
      <c r="I1776" s="4" t="s">
        <v>33</v>
      </c>
      <c r="J1776" s="4">
        <v>0</v>
      </c>
      <c r="K1776" s="4">
        <v>0</v>
      </c>
      <c r="L1776" s="4">
        <f>J1776+K1776</f>
        <v>0</v>
      </c>
      <c r="M1776" s="4" t="s">
        <v>609</v>
      </c>
      <c r="N1776" s="4"/>
      <c r="O1776" s="4">
        <v>1</v>
      </c>
      <c r="P1776" s="4" t="s">
        <v>135</v>
      </c>
      <c r="Q1776" s="4"/>
      <c r="R1776" s="7">
        <v>30000</v>
      </c>
      <c r="S1776" s="7">
        <v>0</v>
      </c>
      <c r="T1776" s="7">
        <f>R1776-S1776</f>
        <v>0</v>
      </c>
      <c r="U1776" s="7">
        <f>T1776*O1776</f>
        <v>0</v>
      </c>
    </row>
    <row r="1777" spans="1:21">
      <c r="A1777" s="4" t="s">
        <v>2518</v>
      </c>
      <c r="B1777" s="4" t="s">
        <v>39</v>
      </c>
      <c r="C1777" s="5">
        <v>45946.48458333333</v>
      </c>
      <c r="D1777" s="5">
        <v>45946</v>
      </c>
      <c r="E1777" s="6">
        <f>IF(AND(C1777&lt;&gt;"",D1777&lt;&gt;""),D1777-C1777,"")</f>
        <v>0</v>
      </c>
      <c r="F1777" s="4" t="s">
        <v>2519</v>
      </c>
      <c r="G1777" s="4" t="s">
        <v>2520</v>
      </c>
      <c r="H1777" s="4" t="s">
        <v>32</v>
      </c>
      <c r="I1777" s="4" t="s">
        <v>33</v>
      </c>
      <c r="J1777" s="4">
        <v>1</v>
      </c>
      <c r="K1777" s="4">
        <v>0</v>
      </c>
      <c r="L1777" s="4">
        <f>J1777+K1777</f>
        <v>0</v>
      </c>
      <c r="M1777" s="4" t="s">
        <v>80</v>
      </c>
      <c r="N1777" s="4"/>
      <c r="O1777" s="4">
        <v>1</v>
      </c>
      <c r="P1777" s="4" t="s">
        <v>135</v>
      </c>
      <c r="Q1777" s="4"/>
      <c r="R1777" s="7">
        <v>610000</v>
      </c>
      <c r="S1777" s="7">
        <v>0</v>
      </c>
      <c r="T1777" s="7">
        <f>R1777-S1777</f>
        <v>0</v>
      </c>
      <c r="U1777" s="7">
        <f>T1777*O1777</f>
        <v>0</v>
      </c>
    </row>
    <row r="1778" spans="1:21">
      <c r="A1778" s="4" t="s">
        <v>2518</v>
      </c>
      <c r="B1778" s="4" t="s">
        <v>39</v>
      </c>
      <c r="C1778" s="5">
        <v>45946.48458333333</v>
      </c>
      <c r="D1778" s="5">
        <v>45946</v>
      </c>
      <c r="E1778" s="6">
        <f>IF(AND(C1778&lt;&gt;"",D1778&lt;&gt;""),D1778-C1778,"")</f>
        <v>0</v>
      </c>
      <c r="F1778" s="4" t="s">
        <v>2519</v>
      </c>
      <c r="G1778" s="4" t="s">
        <v>2520</v>
      </c>
      <c r="H1778" s="4" t="s">
        <v>32</v>
      </c>
      <c r="I1778" s="4" t="s">
        <v>33</v>
      </c>
      <c r="J1778" s="4">
        <v>0</v>
      </c>
      <c r="K1778" s="4">
        <v>0</v>
      </c>
      <c r="L1778" s="4">
        <f>J1778+K1778</f>
        <v>0</v>
      </c>
      <c r="M1778" s="4" t="s">
        <v>370</v>
      </c>
      <c r="N1778" s="4"/>
      <c r="O1778" s="4">
        <v>1</v>
      </c>
      <c r="P1778" s="4" t="s">
        <v>135</v>
      </c>
      <c r="Q1778" s="4"/>
      <c r="R1778" s="7">
        <v>500000</v>
      </c>
      <c r="S1778" s="7">
        <v>0</v>
      </c>
      <c r="T1778" s="7">
        <f>R1778-S1778</f>
        <v>0</v>
      </c>
      <c r="U1778" s="7">
        <f>T1778*O1778</f>
        <v>0</v>
      </c>
    </row>
    <row r="1779" spans="1:21">
      <c r="A1779" s="4" t="s">
        <v>2521</v>
      </c>
      <c r="B1779" s="4" t="s">
        <v>48</v>
      </c>
      <c r="C1779" s="5">
        <v>45946.52356481482</v>
      </c>
      <c r="D1779" s="5">
        <v>45961</v>
      </c>
      <c r="E1779" s="6">
        <f>IF(AND(C1779&lt;&gt;"",D1779&lt;&gt;""),D1779-C1779,"")</f>
        <v>0</v>
      </c>
      <c r="F1779" s="4" t="s">
        <v>201</v>
      </c>
      <c r="G1779" s="4" t="s">
        <v>202</v>
      </c>
      <c r="H1779" s="4" t="s">
        <v>32</v>
      </c>
      <c r="I1779" s="4" t="s">
        <v>33</v>
      </c>
      <c r="J1779" s="4">
        <v>3</v>
      </c>
      <c r="K1779" s="4">
        <v>0</v>
      </c>
      <c r="L1779" s="4">
        <f>J1779+K1779</f>
        <v>0</v>
      </c>
      <c r="M1779" s="4"/>
      <c r="N1779" s="4"/>
      <c r="O1779" s="4">
        <v>0</v>
      </c>
      <c r="P1779" s="4"/>
      <c r="Q1779" s="4"/>
      <c r="R1779" s="7">
        <v>0</v>
      </c>
      <c r="S1779" s="7">
        <v>0</v>
      </c>
      <c r="T1779" s="7">
        <f>R1779-S1779</f>
        <v>0</v>
      </c>
      <c r="U1779" s="7">
        <f>T1779*O1779</f>
        <v>0</v>
      </c>
    </row>
    <row r="1780" spans="1:21">
      <c r="A1780" s="4" t="s">
        <v>2522</v>
      </c>
      <c r="B1780" s="4" t="s">
        <v>29</v>
      </c>
      <c r="C1780" s="5">
        <v>45946.54868055556</v>
      </c>
      <c r="D1780" s="5">
        <v>45961</v>
      </c>
      <c r="E1780" s="6">
        <f>IF(AND(C1780&lt;&gt;"",D1780&lt;&gt;""),D1780-C1780,"")</f>
        <v>0</v>
      </c>
      <c r="F1780" s="4" t="s">
        <v>307</v>
      </c>
      <c r="G1780" s="4" t="s">
        <v>308</v>
      </c>
      <c r="H1780" s="4" t="s">
        <v>190</v>
      </c>
      <c r="I1780" s="4" t="s">
        <v>56</v>
      </c>
      <c r="J1780" s="4">
        <v>1</v>
      </c>
      <c r="K1780" s="4">
        <v>0</v>
      </c>
      <c r="L1780" s="4">
        <f>J1780+K1780</f>
        <v>0</v>
      </c>
      <c r="M1780" s="4"/>
      <c r="N1780" s="4"/>
      <c r="O1780" s="4">
        <v>0</v>
      </c>
      <c r="P1780" s="4"/>
      <c r="Q1780" s="4"/>
      <c r="R1780" s="7">
        <v>0</v>
      </c>
      <c r="S1780" s="7">
        <v>0</v>
      </c>
      <c r="T1780" s="7">
        <f>R1780-S1780</f>
        <v>0</v>
      </c>
      <c r="U1780" s="7">
        <f>T1780*O1780</f>
        <v>0</v>
      </c>
    </row>
    <row r="1781" spans="1:21">
      <c r="A1781" s="4" t="s">
        <v>2523</v>
      </c>
      <c r="B1781" s="4" t="s">
        <v>29</v>
      </c>
      <c r="C1781" s="5">
        <v>45946.54905092593</v>
      </c>
      <c r="D1781" s="5">
        <v>45961</v>
      </c>
      <c r="E1781" s="6">
        <f>IF(AND(C1781&lt;&gt;"",D1781&lt;&gt;""),D1781-C1781,"")</f>
        <v>0</v>
      </c>
      <c r="F1781" s="4" t="s">
        <v>307</v>
      </c>
      <c r="G1781" s="4" t="s">
        <v>308</v>
      </c>
      <c r="H1781" s="4" t="s">
        <v>190</v>
      </c>
      <c r="I1781" s="4" t="s">
        <v>56</v>
      </c>
      <c r="J1781" s="4">
        <v>1</v>
      </c>
      <c r="K1781" s="4">
        <v>0</v>
      </c>
      <c r="L1781" s="4">
        <f>J1781+K1781</f>
        <v>0</v>
      </c>
      <c r="M1781" s="4"/>
      <c r="N1781" s="4"/>
      <c r="O1781" s="4">
        <v>0</v>
      </c>
      <c r="P1781" s="4"/>
      <c r="Q1781" s="4"/>
      <c r="R1781" s="7">
        <v>0</v>
      </c>
      <c r="S1781" s="7">
        <v>0</v>
      </c>
      <c r="T1781" s="7">
        <f>R1781-S1781</f>
        <v>0</v>
      </c>
      <c r="U1781" s="7">
        <f>T1781*O1781</f>
        <v>0</v>
      </c>
    </row>
    <row r="1782" spans="1:21">
      <c r="A1782" s="4" t="s">
        <v>2524</v>
      </c>
      <c r="B1782" s="4"/>
      <c r="C1782" s="5">
        <v>45947</v>
      </c>
      <c r="D1782" s="5">
        <v>45947</v>
      </c>
      <c r="E1782" s="6">
        <f>IF(AND(C1782&lt;&gt;"",D1782&lt;&gt;""),D1782-C1782,"")</f>
        <v>0</v>
      </c>
      <c r="F1782" s="4"/>
      <c r="G1782" s="4"/>
      <c r="H1782" s="4"/>
      <c r="I1782" s="4" t="s">
        <v>56</v>
      </c>
      <c r="J1782" s="4">
        <v>0</v>
      </c>
      <c r="K1782" s="4">
        <v>0</v>
      </c>
      <c r="L1782" s="4">
        <f>J1782+K1782</f>
        <v>0</v>
      </c>
      <c r="M1782" s="4"/>
      <c r="N1782" s="4"/>
      <c r="O1782" s="4">
        <v>0</v>
      </c>
      <c r="P1782" s="4" t="s">
        <v>703</v>
      </c>
      <c r="Q1782" s="4"/>
      <c r="R1782" s="7">
        <v>0</v>
      </c>
      <c r="S1782" s="7">
        <v>0</v>
      </c>
      <c r="T1782" s="7">
        <f>R1782-S1782</f>
        <v>0</v>
      </c>
      <c r="U1782" s="7">
        <f>T1782*O1782</f>
        <v>0</v>
      </c>
    </row>
    <row r="1783" spans="1:21">
      <c r="A1783" s="4" t="s">
        <v>2525</v>
      </c>
      <c r="B1783" s="4"/>
      <c r="C1783" s="5">
        <v>45947</v>
      </c>
      <c r="D1783" s="5">
        <v>45947</v>
      </c>
      <c r="E1783" s="6">
        <f>IF(AND(C1783&lt;&gt;"",D1783&lt;&gt;""),D1783-C1783,"")</f>
        <v>0</v>
      </c>
      <c r="F1783" s="4"/>
      <c r="G1783" s="4"/>
      <c r="H1783" s="4"/>
      <c r="I1783" s="4" t="s">
        <v>56</v>
      </c>
      <c r="J1783" s="4">
        <v>0</v>
      </c>
      <c r="K1783" s="4">
        <v>0</v>
      </c>
      <c r="L1783" s="4">
        <f>J1783+K1783</f>
        <v>0</v>
      </c>
      <c r="M1783" s="4"/>
      <c r="N1783" s="4"/>
      <c r="O1783" s="4">
        <v>0</v>
      </c>
      <c r="P1783" s="4" t="s">
        <v>703</v>
      </c>
      <c r="Q1783" s="4"/>
      <c r="R1783" s="7">
        <v>0</v>
      </c>
      <c r="S1783" s="7">
        <v>0</v>
      </c>
      <c r="T1783" s="7">
        <f>R1783-S1783</f>
        <v>0</v>
      </c>
      <c r="U1783" s="7">
        <f>T1783*O1783</f>
        <v>0</v>
      </c>
    </row>
    <row r="1784" spans="1:21">
      <c r="A1784" s="4" t="s">
        <v>2526</v>
      </c>
      <c r="B1784" s="4" t="s">
        <v>103</v>
      </c>
      <c r="C1784" s="5">
        <v>45947.11508101852</v>
      </c>
      <c r="D1784" s="5">
        <v>45961</v>
      </c>
      <c r="E1784" s="6">
        <f>IF(AND(C1784&lt;&gt;"",D1784&lt;&gt;""),D1784-C1784,"")</f>
        <v>0</v>
      </c>
      <c r="F1784" s="4" t="s">
        <v>1343</v>
      </c>
      <c r="G1784" s="4" t="s">
        <v>627</v>
      </c>
      <c r="H1784" s="4" t="s">
        <v>190</v>
      </c>
      <c r="I1784" s="4" t="s">
        <v>56</v>
      </c>
      <c r="J1784" s="4">
        <v>2</v>
      </c>
      <c r="K1784" s="4">
        <v>1</v>
      </c>
      <c r="L1784" s="4">
        <f>J1784+K1784</f>
        <v>0</v>
      </c>
      <c r="M1784" s="4"/>
      <c r="N1784" s="4"/>
      <c r="O1784" s="4">
        <v>0</v>
      </c>
      <c r="P1784" s="4"/>
      <c r="Q1784" s="4"/>
      <c r="R1784" s="7">
        <v>0</v>
      </c>
      <c r="S1784" s="7">
        <v>0</v>
      </c>
      <c r="T1784" s="7">
        <f>R1784-S1784</f>
        <v>0</v>
      </c>
      <c r="U1784" s="7">
        <f>T1784*O1784</f>
        <v>0</v>
      </c>
    </row>
    <row r="1785" spans="1:21">
      <c r="A1785" s="4" t="s">
        <v>2527</v>
      </c>
      <c r="B1785" s="4" t="s">
        <v>103</v>
      </c>
      <c r="C1785" s="5">
        <v>45947.11587962963</v>
      </c>
      <c r="D1785" s="5">
        <v>45961</v>
      </c>
      <c r="E1785" s="6">
        <f>IF(AND(C1785&lt;&gt;"",D1785&lt;&gt;""),D1785-C1785,"")</f>
        <v>0</v>
      </c>
      <c r="F1785" s="4" t="s">
        <v>2528</v>
      </c>
      <c r="G1785" s="4" t="s">
        <v>627</v>
      </c>
      <c r="H1785" s="4" t="s">
        <v>2529</v>
      </c>
      <c r="I1785" s="4" t="s">
        <v>56</v>
      </c>
      <c r="J1785" s="4">
        <v>5</v>
      </c>
      <c r="K1785" s="4">
        <v>2</v>
      </c>
      <c r="L1785" s="4">
        <f>J1785+K1785</f>
        <v>0</v>
      </c>
      <c r="M1785" s="4"/>
      <c r="N1785" s="4"/>
      <c r="O1785" s="4">
        <v>0</v>
      </c>
      <c r="P1785" s="4"/>
      <c r="Q1785" s="4"/>
      <c r="R1785" s="7">
        <v>0</v>
      </c>
      <c r="S1785" s="7">
        <v>0</v>
      </c>
      <c r="T1785" s="7">
        <f>R1785-S1785</f>
        <v>0</v>
      </c>
      <c r="U1785" s="7">
        <f>T1785*O1785</f>
        <v>0</v>
      </c>
    </row>
    <row r="1786" spans="1:21">
      <c r="A1786" s="4" t="s">
        <v>2530</v>
      </c>
      <c r="B1786" s="4" t="s">
        <v>103</v>
      </c>
      <c r="C1786" s="5">
        <v>45947.11782407408</v>
      </c>
      <c r="D1786" s="5">
        <v>45961</v>
      </c>
      <c r="E1786" s="6">
        <f>IF(AND(C1786&lt;&gt;"",D1786&lt;&gt;""),D1786-C1786,"")</f>
        <v>0</v>
      </c>
      <c r="F1786" s="4" t="s">
        <v>2531</v>
      </c>
      <c r="G1786" s="4" t="s">
        <v>2532</v>
      </c>
      <c r="H1786" s="4" t="s">
        <v>190</v>
      </c>
      <c r="I1786" s="4" t="s">
        <v>56</v>
      </c>
      <c r="J1786" s="4">
        <v>1</v>
      </c>
      <c r="K1786" s="4">
        <v>0</v>
      </c>
      <c r="L1786" s="4">
        <f>J1786+K1786</f>
        <v>0</v>
      </c>
      <c r="M1786" s="4"/>
      <c r="N1786" s="4"/>
      <c r="O1786" s="4">
        <v>0</v>
      </c>
      <c r="P1786" s="4"/>
      <c r="Q1786" s="4"/>
      <c r="R1786" s="7">
        <v>0</v>
      </c>
      <c r="S1786" s="7">
        <v>0</v>
      </c>
      <c r="T1786" s="7">
        <f>R1786-S1786</f>
        <v>0</v>
      </c>
      <c r="U1786" s="7">
        <f>T1786*O1786</f>
        <v>0</v>
      </c>
    </row>
    <row r="1787" spans="1:21">
      <c r="A1787" s="4" t="s">
        <v>2533</v>
      </c>
      <c r="B1787" s="4" t="s">
        <v>103</v>
      </c>
      <c r="C1787" s="5">
        <v>45947.13475694445</v>
      </c>
      <c r="D1787" s="5">
        <v>45961</v>
      </c>
      <c r="E1787" s="6">
        <f>IF(AND(C1787&lt;&gt;"",D1787&lt;&gt;""),D1787-C1787,"")</f>
        <v>0</v>
      </c>
      <c r="F1787" s="4" t="s">
        <v>2534</v>
      </c>
      <c r="G1787" s="4"/>
      <c r="H1787" s="4"/>
      <c r="I1787" s="4" t="s">
        <v>56</v>
      </c>
      <c r="J1787" s="4">
        <v>2</v>
      </c>
      <c r="K1787" s="4">
        <v>2</v>
      </c>
      <c r="L1787" s="4">
        <f>J1787+K1787</f>
        <v>0</v>
      </c>
      <c r="M1787" s="4"/>
      <c r="N1787" s="4"/>
      <c r="O1787" s="4">
        <v>0</v>
      </c>
      <c r="P1787" s="4"/>
      <c r="Q1787" s="4"/>
      <c r="R1787" s="7">
        <v>0</v>
      </c>
      <c r="S1787" s="7">
        <v>0</v>
      </c>
      <c r="T1787" s="7">
        <f>R1787-S1787</f>
        <v>0</v>
      </c>
      <c r="U1787" s="7">
        <f>T1787*O1787</f>
        <v>0</v>
      </c>
    </row>
    <row r="1788" spans="1:21">
      <c r="A1788" s="4" t="s">
        <v>2535</v>
      </c>
      <c r="B1788" s="4" t="s">
        <v>39</v>
      </c>
      <c r="C1788" s="5">
        <v>45947.15972222222</v>
      </c>
      <c r="D1788" s="5">
        <v>45947</v>
      </c>
      <c r="E1788" s="6">
        <f>IF(AND(C1788&lt;&gt;"",D1788&lt;&gt;""),D1788-C1788,"")</f>
        <v>0</v>
      </c>
      <c r="F1788" s="4" t="s">
        <v>2536</v>
      </c>
      <c r="G1788" s="4" t="s">
        <v>2537</v>
      </c>
      <c r="H1788" s="4" t="s">
        <v>2538</v>
      </c>
      <c r="I1788" s="4" t="s">
        <v>56</v>
      </c>
      <c r="J1788" s="4">
        <v>3</v>
      </c>
      <c r="K1788" s="4">
        <v>0</v>
      </c>
      <c r="L1788" s="4">
        <f>J1788+K1788</f>
        <v>0</v>
      </c>
      <c r="M1788" s="4" t="s">
        <v>80</v>
      </c>
      <c r="N1788" s="4"/>
      <c r="O1788" s="4">
        <v>3</v>
      </c>
      <c r="P1788" s="4" t="s">
        <v>135</v>
      </c>
      <c r="Q1788" s="4" t="s">
        <v>44</v>
      </c>
      <c r="R1788" s="7">
        <v>610000</v>
      </c>
      <c r="S1788" s="7">
        <v>0</v>
      </c>
      <c r="T1788" s="7">
        <f>R1788-S1788</f>
        <v>0</v>
      </c>
      <c r="U1788" s="7">
        <f>T1788*O1788</f>
        <v>0</v>
      </c>
    </row>
    <row r="1789" spans="1:21">
      <c r="A1789" s="4" t="s">
        <v>2539</v>
      </c>
      <c r="B1789" s="4" t="s">
        <v>39</v>
      </c>
      <c r="C1789" s="5">
        <v>45947.16271990741</v>
      </c>
      <c r="D1789" s="5">
        <v>45947</v>
      </c>
      <c r="E1789" s="6">
        <f>IF(AND(C1789&lt;&gt;"",D1789&lt;&gt;""),D1789-C1789,"")</f>
        <v>0</v>
      </c>
      <c r="F1789" s="4" t="s">
        <v>2540</v>
      </c>
      <c r="G1789" s="4" t="s">
        <v>2541</v>
      </c>
      <c r="H1789" s="4" t="s">
        <v>32</v>
      </c>
      <c r="I1789" s="4" t="s">
        <v>33</v>
      </c>
      <c r="J1789" s="4">
        <v>2</v>
      </c>
      <c r="K1789" s="4">
        <v>0</v>
      </c>
      <c r="L1789" s="4">
        <f>J1789+K1789</f>
        <v>0</v>
      </c>
      <c r="M1789" s="4" t="s">
        <v>80</v>
      </c>
      <c r="N1789" s="4"/>
      <c r="O1789" s="4">
        <v>2</v>
      </c>
      <c r="P1789" s="4" t="s">
        <v>135</v>
      </c>
      <c r="Q1789" s="4" t="s">
        <v>44</v>
      </c>
      <c r="R1789" s="7">
        <v>610000</v>
      </c>
      <c r="S1789" s="7">
        <v>0</v>
      </c>
      <c r="T1789" s="7">
        <f>R1789-S1789</f>
        <v>0</v>
      </c>
      <c r="U1789" s="7">
        <f>T1789*O1789</f>
        <v>0</v>
      </c>
    </row>
    <row r="1790" spans="1:21">
      <c r="A1790" s="4" t="s">
        <v>2542</v>
      </c>
      <c r="B1790" s="4" t="s">
        <v>103</v>
      </c>
      <c r="C1790" s="5">
        <v>45947.16674768519</v>
      </c>
      <c r="D1790" s="5">
        <v>45961</v>
      </c>
      <c r="E1790" s="6">
        <f>IF(AND(C1790&lt;&gt;"",D1790&lt;&gt;""),D1790-C1790,"")</f>
        <v>0</v>
      </c>
      <c r="F1790" s="4" t="s">
        <v>2543</v>
      </c>
      <c r="G1790" s="4" t="s">
        <v>2544</v>
      </c>
      <c r="H1790" s="4" t="s">
        <v>190</v>
      </c>
      <c r="I1790" s="4" t="s">
        <v>56</v>
      </c>
      <c r="J1790" s="4">
        <v>3</v>
      </c>
      <c r="K1790" s="4">
        <v>0</v>
      </c>
      <c r="L1790" s="4">
        <f>J1790+K1790</f>
        <v>0</v>
      </c>
      <c r="M1790" s="4"/>
      <c r="N1790" s="4"/>
      <c r="O1790" s="4">
        <v>0</v>
      </c>
      <c r="P1790" s="4"/>
      <c r="Q1790" s="4"/>
      <c r="R1790" s="7">
        <v>0</v>
      </c>
      <c r="S1790" s="7">
        <v>0</v>
      </c>
      <c r="T1790" s="7">
        <f>R1790-S1790</f>
        <v>0</v>
      </c>
      <c r="U1790" s="7">
        <f>T1790*O1790</f>
        <v>0</v>
      </c>
    </row>
    <row r="1791" spans="1:21">
      <c r="A1791" s="4" t="s">
        <v>2545</v>
      </c>
      <c r="B1791" s="4" t="s">
        <v>39</v>
      </c>
      <c r="C1791" s="5">
        <v>45947.18417824074</v>
      </c>
      <c r="D1791" s="5">
        <v>45947</v>
      </c>
      <c r="E1791" s="6">
        <f>IF(AND(C1791&lt;&gt;"",D1791&lt;&gt;""),D1791-C1791,"")</f>
        <v>0</v>
      </c>
      <c r="F1791" s="4" t="s">
        <v>2546</v>
      </c>
      <c r="G1791" s="4" t="s">
        <v>2547</v>
      </c>
      <c r="H1791" s="4" t="s">
        <v>190</v>
      </c>
      <c r="I1791" s="4" t="s">
        <v>56</v>
      </c>
      <c r="J1791" s="4">
        <v>2</v>
      </c>
      <c r="K1791" s="4">
        <v>0</v>
      </c>
      <c r="L1791" s="4">
        <f>J1791+K1791</f>
        <v>0</v>
      </c>
      <c r="M1791" s="4" t="s">
        <v>80</v>
      </c>
      <c r="N1791" s="4"/>
      <c r="O1791" s="4">
        <v>2</v>
      </c>
      <c r="P1791" s="4" t="s">
        <v>135</v>
      </c>
      <c r="Q1791" s="4" t="s">
        <v>44</v>
      </c>
      <c r="R1791" s="7">
        <v>610000</v>
      </c>
      <c r="S1791" s="7">
        <v>0</v>
      </c>
      <c r="T1791" s="7">
        <f>R1791-S1791</f>
        <v>0</v>
      </c>
      <c r="U1791" s="7">
        <f>T1791*O1791</f>
        <v>0</v>
      </c>
    </row>
    <row r="1792" spans="1:21">
      <c r="A1792" s="4" t="s">
        <v>2545</v>
      </c>
      <c r="B1792" s="4" t="s">
        <v>39</v>
      </c>
      <c r="C1792" s="5">
        <v>45947.18417824074</v>
      </c>
      <c r="D1792" s="5">
        <v>45947</v>
      </c>
      <c r="E1792" s="6">
        <f>IF(AND(C1792&lt;&gt;"",D1792&lt;&gt;""),D1792-C1792,"")</f>
        <v>0</v>
      </c>
      <c r="F1792" s="4" t="s">
        <v>2546</v>
      </c>
      <c r="G1792" s="4" t="s">
        <v>2547</v>
      </c>
      <c r="H1792" s="4" t="s">
        <v>190</v>
      </c>
      <c r="I1792" s="4" t="s">
        <v>56</v>
      </c>
      <c r="J1792" s="4">
        <v>0</v>
      </c>
      <c r="K1792" s="4">
        <v>0</v>
      </c>
      <c r="L1792" s="4">
        <f>J1792+K1792</f>
        <v>0</v>
      </c>
      <c r="M1792" s="4" t="s">
        <v>370</v>
      </c>
      <c r="N1792" s="4"/>
      <c r="O1792" s="4">
        <v>1</v>
      </c>
      <c r="P1792" s="4" t="s">
        <v>135</v>
      </c>
      <c r="Q1792" s="4" t="s">
        <v>44</v>
      </c>
      <c r="R1792" s="7">
        <v>500000</v>
      </c>
      <c r="S1792" s="7">
        <v>0</v>
      </c>
      <c r="T1792" s="7">
        <f>R1792-S1792</f>
        <v>0</v>
      </c>
      <c r="U1792" s="7">
        <f>T1792*O1792</f>
        <v>0</v>
      </c>
    </row>
    <row r="1793" spans="1:21">
      <c r="A1793" s="4" t="s">
        <v>2548</v>
      </c>
      <c r="B1793" s="4" t="s">
        <v>48</v>
      </c>
      <c r="C1793" s="5">
        <v>45947.19390046296</v>
      </c>
      <c r="D1793" s="5">
        <v>45961</v>
      </c>
      <c r="E1793" s="6">
        <f>IF(AND(C1793&lt;&gt;"",D1793&lt;&gt;""),D1793-C1793,"")</f>
        <v>0</v>
      </c>
      <c r="F1793" s="4" t="s">
        <v>64</v>
      </c>
      <c r="G1793" s="4" t="s">
        <v>2549</v>
      </c>
      <c r="H1793" s="4" t="s">
        <v>32</v>
      </c>
      <c r="I1793" s="4" t="s">
        <v>33</v>
      </c>
      <c r="J1793" s="4">
        <v>2</v>
      </c>
      <c r="K1793" s="4">
        <v>0</v>
      </c>
      <c r="L1793" s="4">
        <f>J1793+K1793</f>
        <v>0</v>
      </c>
      <c r="M1793" s="4"/>
      <c r="N1793" s="4"/>
      <c r="O1793" s="4">
        <v>0</v>
      </c>
      <c r="P1793" s="4"/>
      <c r="Q1793" s="4"/>
      <c r="R1793" s="7">
        <v>0</v>
      </c>
      <c r="S1793" s="7">
        <v>0</v>
      </c>
      <c r="T1793" s="7">
        <f>R1793-S1793</f>
        <v>0</v>
      </c>
      <c r="U1793" s="7">
        <f>T1793*O1793</f>
        <v>0</v>
      </c>
    </row>
    <row r="1794" spans="1:21">
      <c r="A1794" s="4" t="s">
        <v>2550</v>
      </c>
      <c r="B1794" s="4" t="s">
        <v>48</v>
      </c>
      <c r="C1794" s="5">
        <v>45947.19891203703</v>
      </c>
      <c r="D1794" s="5">
        <v>45961</v>
      </c>
      <c r="E1794" s="6">
        <f>IF(AND(C1794&lt;&gt;"",D1794&lt;&gt;""),D1794-C1794,"")</f>
        <v>0</v>
      </c>
      <c r="F1794" s="4" t="s">
        <v>2551</v>
      </c>
      <c r="G1794" s="4" t="s">
        <v>2552</v>
      </c>
      <c r="H1794" s="4" t="s">
        <v>32</v>
      </c>
      <c r="I1794" s="4" t="s">
        <v>33</v>
      </c>
      <c r="J1794" s="4">
        <v>2</v>
      </c>
      <c r="K1794" s="4">
        <v>0</v>
      </c>
      <c r="L1794" s="4">
        <f>J1794+K1794</f>
        <v>0</v>
      </c>
      <c r="M1794" s="4"/>
      <c r="N1794" s="4"/>
      <c r="O1794" s="4">
        <v>0</v>
      </c>
      <c r="P1794" s="4"/>
      <c r="Q1794" s="4"/>
      <c r="R1794" s="7">
        <v>0</v>
      </c>
      <c r="S1794" s="7">
        <v>0</v>
      </c>
      <c r="T1794" s="7">
        <f>R1794-S1794</f>
        <v>0</v>
      </c>
      <c r="U1794" s="7">
        <f>T1794*O1794</f>
        <v>0</v>
      </c>
    </row>
    <row r="1795" spans="1:21">
      <c r="A1795" s="4" t="s">
        <v>2553</v>
      </c>
      <c r="B1795" s="4" t="s">
        <v>39</v>
      </c>
      <c r="C1795" s="5">
        <v>45947.20265046296</v>
      </c>
      <c r="D1795" s="5">
        <v>45947</v>
      </c>
      <c r="E1795" s="6">
        <f>IF(AND(C1795&lt;&gt;"",D1795&lt;&gt;""),D1795-C1795,"")</f>
        <v>0</v>
      </c>
      <c r="F1795" s="4" t="s">
        <v>2554</v>
      </c>
      <c r="G1795" s="4" t="s">
        <v>2555</v>
      </c>
      <c r="H1795" s="4" t="s">
        <v>32</v>
      </c>
      <c r="I1795" s="4" t="s">
        <v>33</v>
      </c>
      <c r="J1795" s="4">
        <v>0</v>
      </c>
      <c r="K1795" s="4">
        <v>0</v>
      </c>
      <c r="L1795" s="4">
        <f>J1795+K1795</f>
        <v>0</v>
      </c>
      <c r="M1795" s="4" t="s">
        <v>370</v>
      </c>
      <c r="N1795" s="4"/>
      <c r="O1795" s="4">
        <v>1</v>
      </c>
      <c r="P1795" s="4" t="s">
        <v>135</v>
      </c>
      <c r="Q1795" s="4"/>
      <c r="R1795" s="7">
        <v>50000000</v>
      </c>
      <c r="S1795" s="7">
        <v>0</v>
      </c>
      <c r="T1795" s="7">
        <f>R1795-S1795</f>
        <v>0</v>
      </c>
      <c r="U1795" s="7">
        <f>T1795*O1795</f>
        <v>0</v>
      </c>
    </row>
    <row r="1796" spans="1:21">
      <c r="A1796" s="4" t="s">
        <v>2553</v>
      </c>
      <c r="B1796" s="4" t="s">
        <v>39</v>
      </c>
      <c r="C1796" s="5">
        <v>45947.20265046296</v>
      </c>
      <c r="D1796" s="5">
        <v>45947</v>
      </c>
      <c r="E1796" s="6">
        <f>IF(AND(C1796&lt;&gt;"",D1796&lt;&gt;""),D1796-C1796,"")</f>
        <v>0</v>
      </c>
      <c r="F1796" s="4" t="s">
        <v>2554</v>
      </c>
      <c r="G1796" s="4" t="s">
        <v>2555</v>
      </c>
      <c r="H1796" s="4" t="s">
        <v>32</v>
      </c>
      <c r="I1796" s="4" t="s">
        <v>33</v>
      </c>
      <c r="J1796" s="4">
        <v>1</v>
      </c>
      <c r="K1796" s="4">
        <v>0</v>
      </c>
      <c r="L1796" s="4">
        <f>J1796+K1796</f>
        <v>0</v>
      </c>
      <c r="M1796" s="4" t="s">
        <v>42</v>
      </c>
      <c r="N1796" s="4"/>
      <c r="O1796" s="4">
        <v>1</v>
      </c>
      <c r="P1796" s="4" t="s">
        <v>135</v>
      </c>
      <c r="Q1796" s="4"/>
      <c r="R1796" s="7">
        <v>370000</v>
      </c>
      <c r="S1796" s="7">
        <v>0</v>
      </c>
      <c r="T1796" s="7">
        <f>R1796-S1796</f>
        <v>0</v>
      </c>
      <c r="U1796" s="7">
        <f>T1796*O1796</f>
        <v>0</v>
      </c>
    </row>
    <row r="1797" spans="1:21">
      <c r="A1797" s="4" t="s">
        <v>2553</v>
      </c>
      <c r="B1797" s="4" t="s">
        <v>39</v>
      </c>
      <c r="C1797" s="5">
        <v>45947.20265046296</v>
      </c>
      <c r="D1797" s="5">
        <v>45947</v>
      </c>
      <c r="E1797" s="6">
        <f>IF(AND(C1797&lt;&gt;"",D1797&lt;&gt;""),D1797-C1797,"")</f>
        <v>0</v>
      </c>
      <c r="F1797" s="4" t="s">
        <v>2554</v>
      </c>
      <c r="G1797" s="4" t="s">
        <v>2555</v>
      </c>
      <c r="H1797" s="4" t="s">
        <v>32</v>
      </c>
      <c r="I1797" s="4" t="s">
        <v>33</v>
      </c>
      <c r="J1797" s="4">
        <v>1</v>
      </c>
      <c r="K1797" s="4">
        <v>0</v>
      </c>
      <c r="L1797" s="4">
        <f>J1797+K1797</f>
        <v>0</v>
      </c>
      <c r="M1797" s="4" t="s">
        <v>42</v>
      </c>
      <c r="N1797" s="4"/>
      <c r="O1797" s="4">
        <v>1</v>
      </c>
      <c r="P1797" s="4" t="s">
        <v>135</v>
      </c>
      <c r="Q1797" s="4"/>
      <c r="R1797" s="7">
        <v>370000</v>
      </c>
      <c r="S1797" s="7">
        <v>0</v>
      </c>
      <c r="T1797" s="7">
        <f>R1797-S1797</f>
        <v>0</v>
      </c>
      <c r="U1797" s="7">
        <f>T1797*O1797</f>
        <v>0</v>
      </c>
    </row>
    <row r="1798" spans="1:21">
      <c r="A1798" s="4" t="s">
        <v>2556</v>
      </c>
      <c r="B1798" s="4" t="s">
        <v>39</v>
      </c>
      <c r="C1798" s="5">
        <v>45947.20377314815</v>
      </c>
      <c r="D1798" s="5">
        <v>45947</v>
      </c>
      <c r="E1798" s="6">
        <f>IF(AND(C1798&lt;&gt;"",D1798&lt;&gt;""),D1798-C1798,"")</f>
        <v>0</v>
      </c>
      <c r="F1798" s="4" t="s">
        <v>2557</v>
      </c>
      <c r="G1798" s="4" t="s">
        <v>2558</v>
      </c>
      <c r="H1798" s="4" t="s">
        <v>2310</v>
      </c>
      <c r="I1798" s="4" t="s">
        <v>56</v>
      </c>
      <c r="J1798" s="4">
        <v>2</v>
      </c>
      <c r="K1798" s="4">
        <v>0</v>
      </c>
      <c r="L1798" s="4">
        <f>J1798+K1798</f>
        <v>0</v>
      </c>
      <c r="M1798" s="4" t="s">
        <v>80</v>
      </c>
      <c r="N1798" s="4"/>
      <c r="O1798" s="4">
        <v>2</v>
      </c>
      <c r="P1798" s="4" t="s">
        <v>135</v>
      </c>
      <c r="Q1798" s="4"/>
      <c r="R1798" s="7">
        <v>610000</v>
      </c>
      <c r="S1798" s="7">
        <v>0</v>
      </c>
      <c r="T1798" s="7">
        <f>R1798-S1798</f>
        <v>0</v>
      </c>
      <c r="U1798" s="7">
        <f>T1798*O1798</f>
        <v>0</v>
      </c>
    </row>
    <row r="1799" spans="1:21">
      <c r="A1799" s="4" t="s">
        <v>2556</v>
      </c>
      <c r="B1799" s="4" t="s">
        <v>39</v>
      </c>
      <c r="C1799" s="5">
        <v>45947.20377314815</v>
      </c>
      <c r="D1799" s="5">
        <v>45947</v>
      </c>
      <c r="E1799" s="6">
        <f>IF(AND(C1799&lt;&gt;"",D1799&lt;&gt;""),D1799-C1799,"")</f>
        <v>0</v>
      </c>
      <c r="F1799" s="4" t="s">
        <v>2557</v>
      </c>
      <c r="G1799" s="4" t="s">
        <v>2558</v>
      </c>
      <c r="H1799" s="4" t="s">
        <v>2310</v>
      </c>
      <c r="I1799" s="4" t="s">
        <v>56</v>
      </c>
      <c r="J1799" s="4">
        <v>0</v>
      </c>
      <c r="K1799" s="4">
        <v>1</v>
      </c>
      <c r="L1799" s="4">
        <f>J1799+K1799</f>
        <v>0</v>
      </c>
      <c r="M1799" s="4" t="s">
        <v>81</v>
      </c>
      <c r="N1799" s="4"/>
      <c r="O1799" s="4">
        <v>1</v>
      </c>
      <c r="P1799" s="4" t="s">
        <v>135</v>
      </c>
      <c r="Q1799" s="4"/>
      <c r="R1799" s="7">
        <v>495000</v>
      </c>
      <c r="S1799" s="7">
        <v>0</v>
      </c>
      <c r="T1799" s="7">
        <f>R1799-S1799</f>
        <v>0</v>
      </c>
      <c r="U1799" s="7">
        <f>T1799*O1799</f>
        <v>0</v>
      </c>
    </row>
    <row r="1800" spans="1:21">
      <c r="A1800" s="4" t="s">
        <v>2556</v>
      </c>
      <c r="B1800" s="4" t="s">
        <v>39</v>
      </c>
      <c r="C1800" s="5">
        <v>45947.20377314815</v>
      </c>
      <c r="D1800" s="5">
        <v>45947</v>
      </c>
      <c r="E1800" s="6">
        <f>IF(AND(C1800&lt;&gt;"",D1800&lt;&gt;""),D1800-C1800,"")</f>
        <v>0</v>
      </c>
      <c r="F1800" s="4" t="s">
        <v>2557</v>
      </c>
      <c r="G1800" s="4" t="s">
        <v>2558</v>
      </c>
      <c r="H1800" s="4" t="s">
        <v>2310</v>
      </c>
      <c r="I1800" s="4" t="s">
        <v>56</v>
      </c>
      <c r="J1800" s="4">
        <v>0</v>
      </c>
      <c r="K1800" s="4">
        <v>0</v>
      </c>
      <c r="L1800" s="4">
        <f>J1800+K1800</f>
        <v>0</v>
      </c>
      <c r="M1800" s="4" t="s">
        <v>370</v>
      </c>
      <c r="N1800" s="4"/>
      <c r="O1800" s="4">
        <v>1</v>
      </c>
      <c r="P1800" s="4" t="s">
        <v>135</v>
      </c>
      <c r="Q1800" s="4"/>
      <c r="R1800" s="7">
        <v>1000000</v>
      </c>
      <c r="S1800" s="7">
        <v>0</v>
      </c>
      <c r="T1800" s="7">
        <f>R1800-S1800</f>
        <v>0</v>
      </c>
      <c r="U1800" s="7">
        <f>T1800*O1800</f>
        <v>0</v>
      </c>
    </row>
    <row r="1801" spans="1:21">
      <c r="A1801" s="4" t="s">
        <v>2559</v>
      </c>
      <c r="B1801" s="4" t="s">
        <v>39</v>
      </c>
      <c r="C1801" s="5">
        <v>45947.22030092592</v>
      </c>
      <c r="D1801" s="5">
        <v>45947</v>
      </c>
      <c r="E1801" s="6">
        <f>IF(AND(C1801&lt;&gt;"",D1801&lt;&gt;""),D1801-C1801,"")</f>
        <v>0</v>
      </c>
      <c r="F1801" s="4" t="s">
        <v>2098</v>
      </c>
      <c r="G1801" s="4" t="s">
        <v>2099</v>
      </c>
      <c r="H1801" s="4" t="s">
        <v>32</v>
      </c>
      <c r="I1801" s="4" t="s">
        <v>33</v>
      </c>
      <c r="J1801" s="4">
        <v>1</v>
      </c>
      <c r="K1801" s="4">
        <v>0</v>
      </c>
      <c r="L1801" s="4">
        <f>J1801+K1801</f>
        <v>0</v>
      </c>
      <c r="M1801" s="4" t="s">
        <v>42</v>
      </c>
      <c r="N1801" s="4"/>
      <c r="O1801" s="4">
        <v>1</v>
      </c>
      <c r="P1801" s="4" t="s">
        <v>135</v>
      </c>
      <c r="Q1801" s="4" t="s">
        <v>44</v>
      </c>
      <c r="R1801" s="7">
        <v>-370000</v>
      </c>
      <c r="S1801" s="7">
        <v>0</v>
      </c>
      <c r="T1801" s="7">
        <f>R1801-S1801</f>
        <v>0</v>
      </c>
      <c r="U1801" s="7">
        <f>T1801*O1801</f>
        <v>0</v>
      </c>
    </row>
    <row r="1802" spans="1:21">
      <c r="A1802" s="4" t="s">
        <v>2559</v>
      </c>
      <c r="B1802" s="4" t="s">
        <v>39</v>
      </c>
      <c r="C1802" s="5">
        <v>45947.22030092592</v>
      </c>
      <c r="D1802" s="5">
        <v>45947</v>
      </c>
      <c r="E1802" s="6">
        <f>IF(AND(C1802&lt;&gt;"",D1802&lt;&gt;""),D1802-C1802,"")</f>
        <v>0</v>
      </c>
      <c r="F1802" s="4" t="s">
        <v>2098</v>
      </c>
      <c r="G1802" s="4" t="s">
        <v>2099</v>
      </c>
      <c r="H1802" s="4" t="s">
        <v>32</v>
      </c>
      <c r="I1802" s="4" t="s">
        <v>33</v>
      </c>
      <c r="J1802" s="4">
        <v>0</v>
      </c>
      <c r="K1802" s="4">
        <v>0</v>
      </c>
      <c r="L1802" s="4">
        <f>J1802+K1802</f>
        <v>0</v>
      </c>
      <c r="M1802" s="4" t="s">
        <v>2560</v>
      </c>
      <c r="N1802" s="4"/>
      <c r="O1802" s="4">
        <v>1</v>
      </c>
      <c r="P1802" s="4" t="s">
        <v>135</v>
      </c>
      <c r="Q1802" s="4" t="s">
        <v>44</v>
      </c>
      <c r="R1802" s="7">
        <v>0</v>
      </c>
      <c r="S1802" s="7">
        <v>0</v>
      </c>
      <c r="T1802" s="7">
        <f>R1802-S1802</f>
        <v>0</v>
      </c>
      <c r="U1802" s="7">
        <f>T1802*O1802</f>
        <v>0</v>
      </c>
    </row>
    <row r="1803" spans="1:21">
      <c r="A1803" s="4" t="s">
        <v>2561</v>
      </c>
      <c r="B1803" s="4" t="s">
        <v>39</v>
      </c>
      <c r="C1803" s="5">
        <v>45947.27902777777</v>
      </c>
      <c r="D1803" s="5">
        <v>45947</v>
      </c>
      <c r="E1803" s="6">
        <f>IF(AND(C1803&lt;&gt;"",D1803&lt;&gt;""),D1803-C1803,"")</f>
        <v>0</v>
      </c>
      <c r="F1803" s="4" t="s">
        <v>399</v>
      </c>
      <c r="G1803" s="4" t="s">
        <v>400</v>
      </c>
      <c r="H1803" s="4" t="s">
        <v>32</v>
      </c>
      <c r="I1803" s="4" t="s">
        <v>33</v>
      </c>
      <c r="J1803" s="4">
        <v>0</v>
      </c>
      <c r="K1803" s="4">
        <v>0</v>
      </c>
      <c r="L1803" s="4">
        <f>J1803+K1803</f>
        <v>0</v>
      </c>
      <c r="M1803" s="4" t="s">
        <v>2560</v>
      </c>
      <c r="N1803" s="4"/>
      <c r="O1803" s="4">
        <v>1</v>
      </c>
      <c r="P1803" s="4" t="s">
        <v>135</v>
      </c>
      <c r="Q1803" s="4" t="s">
        <v>44</v>
      </c>
      <c r="R1803" s="7">
        <v>0</v>
      </c>
      <c r="S1803" s="7">
        <v>0</v>
      </c>
      <c r="T1803" s="7">
        <f>R1803-S1803</f>
        <v>0</v>
      </c>
      <c r="U1803" s="7">
        <f>T1803*O1803</f>
        <v>0</v>
      </c>
    </row>
    <row r="1804" spans="1:21">
      <c r="A1804" s="4" t="s">
        <v>2561</v>
      </c>
      <c r="B1804" s="4" t="s">
        <v>39</v>
      </c>
      <c r="C1804" s="5">
        <v>45947.27902777777</v>
      </c>
      <c r="D1804" s="5">
        <v>45947</v>
      </c>
      <c r="E1804" s="6">
        <f>IF(AND(C1804&lt;&gt;"",D1804&lt;&gt;""),D1804-C1804,"")</f>
        <v>0</v>
      </c>
      <c r="F1804" s="4" t="s">
        <v>399</v>
      </c>
      <c r="G1804" s="4" t="s">
        <v>400</v>
      </c>
      <c r="H1804" s="4" t="s">
        <v>32</v>
      </c>
      <c r="I1804" s="4" t="s">
        <v>33</v>
      </c>
      <c r="J1804" s="4">
        <v>1</v>
      </c>
      <c r="K1804" s="4">
        <v>0</v>
      </c>
      <c r="L1804" s="4">
        <f>J1804+K1804</f>
        <v>0</v>
      </c>
      <c r="M1804" s="4" t="s">
        <v>80</v>
      </c>
      <c r="N1804" s="4"/>
      <c r="O1804" s="4">
        <v>1</v>
      </c>
      <c r="P1804" s="4" t="s">
        <v>135</v>
      </c>
      <c r="Q1804" s="4" t="s">
        <v>44</v>
      </c>
      <c r="R1804" s="7">
        <v>-610000</v>
      </c>
      <c r="S1804" s="7">
        <v>0</v>
      </c>
      <c r="T1804" s="7">
        <f>R1804-S1804</f>
        <v>0</v>
      </c>
      <c r="U1804" s="7">
        <f>T1804*O1804</f>
        <v>0</v>
      </c>
    </row>
    <row r="1805" spans="1:21">
      <c r="A1805" s="4" t="s">
        <v>2562</v>
      </c>
      <c r="B1805" s="4" t="s">
        <v>39</v>
      </c>
      <c r="C1805" s="5">
        <v>45947.28103009259</v>
      </c>
      <c r="D1805" s="5">
        <v>45947</v>
      </c>
      <c r="E1805" s="6">
        <f>IF(AND(C1805&lt;&gt;"",D1805&lt;&gt;""),D1805-C1805,"")</f>
        <v>0</v>
      </c>
      <c r="F1805" s="4" t="s">
        <v>2563</v>
      </c>
      <c r="G1805" s="4" t="s">
        <v>2564</v>
      </c>
      <c r="H1805" s="4" t="s">
        <v>32</v>
      </c>
      <c r="I1805" s="4" t="s">
        <v>33</v>
      </c>
      <c r="J1805" s="4">
        <v>0</v>
      </c>
      <c r="K1805" s="4">
        <v>0</v>
      </c>
      <c r="L1805" s="4">
        <f>J1805+K1805</f>
        <v>0</v>
      </c>
      <c r="M1805" s="4" t="s">
        <v>370</v>
      </c>
      <c r="N1805" s="4"/>
      <c r="O1805" s="4">
        <v>1</v>
      </c>
      <c r="P1805" s="4" t="s">
        <v>135</v>
      </c>
      <c r="Q1805" s="4" t="s">
        <v>44</v>
      </c>
      <c r="R1805" s="7">
        <v>2000000</v>
      </c>
      <c r="S1805" s="7">
        <v>0</v>
      </c>
      <c r="T1805" s="7">
        <f>R1805-S1805</f>
        <v>0</v>
      </c>
      <c r="U1805" s="7">
        <f>T1805*O1805</f>
        <v>0</v>
      </c>
    </row>
    <row r="1806" spans="1:21">
      <c r="A1806" s="4" t="s">
        <v>2565</v>
      </c>
      <c r="B1806" s="4" t="s">
        <v>39</v>
      </c>
      <c r="C1806" s="5">
        <v>45947.30246527777</v>
      </c>
      <c r="D1806" s="5">
        <v>45947</v>
      </c>
      <c r="E1806" s="6">
        <f>IF(AND(C1806&lt;&gt;"",D1806&lt;&gt;""),D1806-C1806,"")</f>
        <v>0</v>
      </c>
      <c r="F1806" s="4" t="s">
        <v>2566</v>
      </c>
      <c r="G1806" s="4" t="s">
        <v>2567</v>
      </c>
      <c r="H1806" s="4" t="s">
        <v>32</v>
      </c>
      <c r="I1806" s="4" t="s">
        <v>33</v>
      </c>
      <c r="J1806" s="4">
        <v>0</v>
      </c>
      <c r="K1806" s="4">
        <v>0</v>
      </c>
      <c r="L1806" s="4">
        <f>J1806+K1806</f>
        <v>0</v>
      </c>
      <c r="M1806" s="4" t="s">
        <v>370</v>
      </c>
      <c r="N1806" s="4"/>
      <c r="O1806" s="4">
        <v>1</v>
      </c>
      <c r="P1806" s="4" t="s">
        <v>135</v>
      </c>
      <c r="Q1806" s="4"/>
      <c r="R1806" s="7">
        <v>5000000</v>
      </c>
      <c r="S1806" s="7">
        <v>0</v>
      </c>
      <c r="T1806" s="7">
        <f>R1806-S1806</f>
        <v>0</v>
      </c>
      <c r="U1806" s="7">
        <f>T1806*O1806</f>
        <v>0</v>
      </c>
    </row>
    <row r="1807" spans="1:21">
      <c r="A1807" s="4" t="s">
        <v>2568</v>
      </c>
      <c r="B1807" s="4" t="s">
        <v>39</v>
      </c>
      <c r="C1807" s="5">
        <v>45947.30809027778</v>
      </c>
      <c r="D1807" s="5">
        <v>45947</v>
      </c>
      <c r="E1807" s="6">
        <f>IF(AND(C1807&lt;&gt;"",D1807&lt;&gt;""),D1807-C1807,"")</f>
        <v>0</v>
      </c>
      <c r="F1807" s="4" t="s">
        <v>2569</v>
      </c>
      <c r="G1807" s="4" t="s">
        <v>2570</v>
      </c>
      <c r="H1807" s="4" t="s">
        <v>32</v>
      </c>
      <c r="I1807" s="4" t="s">
        <v>33</v>
      </c>
      <c r="J1807" s="4">
        <v>0</v>
      </c>
      <c r="K1807" s="4">
        <v>0</v>
      </c>
      <c r="L1807" s="4">
        <f>J1807+K1807</f>
        <v>0</v>
      </c>
      <c r="M1807" s="4" t="s">
        <v>609</v>
      </c>
      <c r="N1807" s="4"/>
      <c r="O1807" s="4">
        <v>1</v>
      </c>
      <c r="P1807" s="4" t="s">
        <v>135</v>
      </c>
      <c r="Q1807" s="4"/>
      <c r="R1807" s="7">
        <v>30000</v>
      </c>
      <c r="S1807" s="7">
        <v>0</v>
      </c>
      <c r="T1807" s="7">
        <f>R1807-S1807</f>
        <v>0</v>
      </c>
      <c r="U1807" s="7">
        <f>T1807*O1807</f>
        <v>0</v>
      </c>
    </row>
    <row r="1808" spans="1:21">
      <c r="A1808" s="4" t="s">
        <v>2568</v>
      </c>
      <c r="B1808" s="4" t="s">
        <v>39</v>
      </c>
      <c r="C1808" s="5">
        <v>45947.30809027778</v>
      </c>
      <c r="D1808" s="5">
        <v>45947</v>
      </c>
      <c r="E1808" s="6">
        <f>IF(AND(C1808&lt;&gt;"",D1808&lt;&gt;""),D1808-C1808,"")</f>
        <v>0</v>
      </c>
      <c r="F1808" s="4" t="s">
        <v>2569</v>
      </c>
      <c r="G1808" s="4" t="s">
        <v>2570</v>
      </c>
      <c r="H1808" s="4" t="s">
        <v>32</v>
      </c>
      <c r="I1808" s="4" t="s">
        <v>33</v>
      </c>
      <c r="J1808" s="4">
        <v>0</v>
      </c>
      <c r="K1808" s="4">
        <v>0</v>
      </c>
      <c r="L1808" s="4">
        <f>J1808+K1808</f>
        <v>0</v>
      </c>
      <c r="M1808" s="4" t="s">
        <v>609</v>
      </c>
      <c r="N1808" s="4"/>
      <c r="O1808" s="4">
        <v>1</v>
      </c>
      <c r="P1808" s="4" t="s">
        <v>135</v>
      </c>
      <c r="Q1808" s="4"/>
      <c r="R1808" s="7">
        <v>30000</v>
      </c>
      <c r="S1808" s="7">
        <v>0</v>
      </c>
      <c r="T1808" s="7">
        <f>R1808-S1808</f>
        <v>0</v>
      </c>
      <c r="U1808" s="7">
        <f>T1808*O1808</f>
        <v>0</v>
      </c>
    </row>
    <row r="1809" spans="1:21">
      <c r="A1809" s="4" t="s">
        <v>2568</v>
      </c>
      <c r="B1809" s="4" t="s">
        <v>39</v>
      </c>
      <c r="C1809" s="5">
        <v>45947.30809027778</v>
      </c>
      <c r="D1809" s="5">
        <v>45947</v>
      </c>
      <c r="E1809" s="6">
        <f>IF(AND(C1809&lt;&gt;"",D1809&lt;&gt;""),D1809-C1809,"")</f>
        <v>0</v>
      </c>
      <c r="F1809" s="4" t="s">
        <v>2569</v>
      </c>
      <c r="G1809" s="4" t="s">
        <v>2570</v>
      </c>
      <c r="H1809" s="4" t="s">
        <v>32</v>
      </c>
      <c r="I1809" s="4" t="s">
        <v>33</v>
      </c>
      <c r="J1809" s="4">
        <v>0</v>
      </c>
      <c r="K1809" s="4">
        <v>0</v>
      </c>
      <c r="L1809" s="4">
        <f>J1809+K1809</f>
        <v>0</v>
      </c>
      <c r="M1809" s="4" t="s">
        <v>370</v>
      </c>
      <c r="N1809" s="4"/>
      <c r="O1809" s="4">
        <v>1</v>
      </c>
      <c r="P1809" s="4" t="s">
        <v>135</v>
      </c>
      <c r="Q1809" s="4"/>
      <c r="R1809" s="7">
        <v>5000000</v>
      </c>
      <c r="S1809" s="7">
        <v>0</v>
      </c>
      <c r="T1809" s="7">
        <f>R1809-S1809</f>
        <v>0</v>
      </c>
      <c r="U1809" s="7">
        <f>T1809*O1809</f>
        <v>0</v>
      </c>
    </row>
    <row r="1810" spans="1:21">
      <c r="A1810" s="4" t="s">
        <v>2571</v>
      </c>
      <c r="B1810" s="4" t="s">
        <v>39</v>
      </c>
      <c r="C1810" s="5">
        <v>45947.30824074074</v>
      </c>
      <c r="D1810" s="5">
        <v>45947</v>
      </c>
      <c r="E1810" s="6">
        <f>IF(AND(C1810&lt;&gt;"",D1810&lt;&gt;""),D1810-C1810,"")</f>
        <v>0</v>
      </c>
      <c r="F1810" s="4" t="s">
        <v>2572</v>
      </c>
      <c r="G1810" s="4" t="s">
        <v>2573</v>
      </c>
      <c r="H1810" s="4" t="s">
        <v>32</v>
      </c>
      <c r="I1810" s="4" t="s">
        <v>33</v>
      </c>
      <c r="J1810" s="4">
        <v>0</v>
      </c>
      <c r="K1810" s="4">
        <v>0</v>
      </c>
      <c r="L1810" s="4">
        <f>J1810+K1810</f>
        <v>0</v>
      </c>
      <c r="M1810" s="4" t="s">
        <v>370</v>
      </c>
      <c r="N1810" s="4"/>
      <c r="O1810" s="4">
        <v>1</v>
      </c>
      <c r="P1810" s="4" t="s">
        <v>135</v>
      </c>
      <c r="Q1810" s="4"/>
      <c r="R1810" s="7">
        <v>500000</v>
      </c>
      <c r="S1810" s="7">
        <v>0</v>
      </c>
      <c r="T1810" s="7">
        <f>R1810-S1810</f>
        <v>0</v>
      </c>
      <c r="U1810" s="7">
        <f>T1810*O1810</f>
        <v>0</v>
      </c>
    </row>
    <row r="1811" spans="1:21">
      <c r="A1811" s="4" t="s">
        <v>2574</v>
      </c>
      <c r="B1811" s="4" t="s">
        <v>39</v>
      </c>
      <c r="C1811" s="5">
        <v>45947.31636574074</v>
      </c>
      <c r="D1811" s="5">
        <v>45947</v>
      </c>
      <c r="E1811" s="6">
        <f>IF(AND(C1811&lt;&gt;"",D1811&lt;&gt;""),D1811-C1811,"")</f>
        <v>0</v>
      </c>
      <c r="F1811" s="4" t="s">
        <v>2575</v>
      </c>
      <c r="G1811" s="4" t="s">
        <v>2576</v>
      </c>
      <c r="H1811" s="4" t="s">
        <v>32</v>
      </c>
      <c r="I1811" s="4" t="s">
        <v>33</v>
      </c>
      <c r="J1811" s="4">
        <v>0</v>
      </c>
      <c r="K1811" s="4">
        <v>0</v>
      </c>
      <c r="L1811" s="4">
        <f>J1811+K1811</f>
        <v>0</v>
      </c>
      <c r="M1811" s="4" t="s">
        <v>609</v>
      </c>
      <c r="N1811" s="4"/>
      <c r="O1811" s="4">
        <v>1</v>
      </c>
      <c r="P1811" s="4" t="s">
        <v>135</v>
      </c>
      <c r="Q1811" s="4"/>
      <c r="R1811" s="7">
        <v>30000</v>
      </c>
      <c r="S1811" s="7">
        <v>0</v>
      </c>
      <c r="T1811" s="7">
        <f>R1811-S1811</f>
        <v>0</v>
      </c>
      <c r="U1811" s="7">
        <f>T1811*O1811</f>
        <v>0</v>
      </c>
    </row>
    <row r="1812" spans="1:21">
      <c r="A1812" s="4" t="s">
        <v>2574</v>
      </c>
      <c r="B1812" s="4" t="s">
        <v>39</v>
      </c>
      <c r="C1812" s="5">
        <v>45947.31636574074</v>
      </c>
      <c r="D1812" s="5">
        <v>45947</v>
      </c>
      <c r="E1812" s="6">
        <f>IF(AND(C1812&lt;&gt;"",D1812&lt;&gt;""),D1812-C1812,"")</f>
        <v>0</v>
      </c>
      <c r="F1812" s="4" t="s">
        <v>2575</v>
      </c>
      <c r="G1812" s="4" t="s">
        <v>2576</v>
      </c>
      <c r="H1812" s="4" t="s">
        <v>32</v>
      </c>
      <c r="I1812" s="4" t="s">
        <v>33</v>
      </c>
      <c r="J1812" s="4">
        <v>0</v>
      </c>
      <c r="K1812" s="4">
        <v>0</v>
      </c>
      <c r="L1812" s="4">
        <f>J1812+K1812</f>
        <v>0</v>
      </c>
      <c r="M1812" s="4" t="s">
        <v>609</v>
      </c>
      <c r="N1812" s="4"/>
      <c r="O1812" s="4">
        <v>1</v>
      </c>
      <c r="P1812" s="4" t="s">
        <v>135</v>
      </c>
      <c r="Q1812" s="4"/>
      <c r="R1812" s="7">
        <v>30000</v>
      </c>
      <c r="S1812" s="7">
        <v>0</v>
      </c>
      <c r="T1812" s="7">
        <f>R1812-S1812</f>
        <v>0</v>
      </c>
      <c r="U1812" s="7">
        <f>T1812*O1812</f>
        <v>0</v>
      </c>
    </row>
    <row r="1813" spans="1:21">
      <c r="A1813" s="4" t="s">
        <v>2574</v>
      </c>
      <c r="B1813" s="4" t="s">
        <v>39</v>
      </c>
      <c r="C1813" s="5">
        <v>45947.31636574074</v>
      </c>
      <c r="D1813" s="5">
        <v>45947</v>
      </c>
      <c r="E1813" s="6">
        <f>IF(AND(C1813&lt;&gt;"",D1813&lt;&gt;""),D1813-C1813,"")</f>
        <v>0</v>
      </c>
      <c r="F1813" s="4" t="s">
        <v>2575</v>
      </c>
      <c r="G1813" s="4" t="s">
        <v>2576</v>
      </c>
      <c r="H1813" s="4" t="s">
        <v>32</v>
      </c>
      <c r="I1813" s="4" t="s">
        <v>33</v>
      </c>
      <c r="J1813" s="4">
        <v>0</v>
      </c>
      <c r="K1813" s="4">
        <v>0</v>
      </c>
      <c r="L1813" s="4">
        <f>J1813+K1813</f>
        <v>0</v>
      </c>
      <c r="M1813" s="4" t="s">
        <v>370</v>
      </c>
      <c r="N1813" s="4"/>
      <c r="O1813" s="4">
        <v>1</v>
      </c>
      <c r="P1813" s="4" t="s">
        <v>135</v>
      </c>
      <c r="Q1813" s="4"/>
      <c r="R1813" s="7">
        <v>5500000</v>
      </c>
      <c r="S1813" s="7">
        <v>0</v>
      </c>
      <c r="T1813" s="7">
        <f>R1813-S1813</f>
        <v>0</v>
      </c>
      <c r="U1813" s="7">
        <f>T1813*O1813</f>
        <v>0</v>
      </c>
    </row>
    <row r="1814" spans="1:21">
      <c r="A1814" s="4" t="s">
        <v>2577</v>
      </c>
      <c r="B1814" s="4" t="s">
        <v>48</v>
      </c>
      <c r="C1814" s="5">
        <v>45947.3167824074</v>
      </c>
      <c r="D1814" s="5">
        <v>45961</v>
      </c>
      <c r="E1814" s="6">
        <f>IF(AND(C1814&lt;&gt;"",D1814&lt;&gt;""),D1814-C1814,"")</f>
        <v>0</v>
      </c>
      <c r="F1814" s="4" t="s">
        <v>718</v>
      </c>
      <c r="G1814" s="4" t="s">
        <v>716</v>
      </c>
      <c r="H1814" s="4" t="s">
        <v>190</v>
      </c>
      <c r="I1814" s="4" t="s">
        <v>56</v>
      </c>
      <c r="J1814" s="4">
        <v>3</v>
      </c>
      <c r="K1814" s="4">
        <v>3</v>
      </c>
      <c r="L1814" s="4">
        <f>J1814+K1814</f>
        <v>0</v>
      </c>
      <c r="M1814" s="4"/>
      <c r="N1814" s="4"/>
      <c r="O1814" s="4">
        <v>0</v>
      </c>
      <c r="P1814" s="4"/>
      <c r="Q1814" s="4"/>
      <c r="R1814" s="7">
        <v>0</v>
      </c>
      <c r="S1814" s="7">
        <v>0</v>
      </c>
      <c r="T1814" s="7">
        <f>R1814-S1814</f>
        <v>0</v>
      </c>
      <c r="U1814" s="7">
        <f>T1814*O1814</f>
        <v>0</v>
      </c>
    </row>
    <row r="1815" spans="1:21">
      <c r="A1815" s="4" t="s">
        <v>2578</v>
      </c>
      <c r="B1815" s="4" t="s">
        <v>39</v>
      </c>
      <c r="C1815" s="5">
        <v>45947.32034722222</v>
      </c>
      <c r="D1815" s="5">
        <v>45947</v>
      </c>
      <c r="E1815" s="6">
        <f>IF(AND(C1815&lt;&gt;"",D1815&lt;&gt;""),D1815-C1815,"")</f>
        <v>0</v>
      </c>
      <c r="F1815" s="4" t="s">
        <v>2579</v>
      </c>
      <c r="G1815" s="4" t="s">
        <v>2580</v>
      </c>
      <c r="H1815" s="4" t="s">
        <v>2581</v>
      </c>
      <c r="I1815" s="4" t="s">
        <v>56</v>
      </c>
      <c r="J1815" s="4">
        <v>0</v>
      </c>
      <c r="K1815" s="4">
        <v>1</v>
      </c>
      <c r="L1815" s="4">
        <f>J1815+K1815</f>
        <v>0</v>
      </c>
      <c r="M1815" s="4" t="s">
        <v>81</v>
      </c>
      <c r="N1815" s="4"/>
      <c r="O1815" s="4">
        <v>1</v>
      </c>
      <c r="P1815" s="4" t="s">
        <v>135</v>
      </c>
      <c r="Q1815" s="4" t="s">
        <v>44</v>
      </c>
      <c r="R1815" s="7">
        <v>495000</v>
      </c>
      <c r="S1815" s="7">
        <v>0</v>
      </c>
      <c r="T1815" s="7">
        <f>R1815-S1815</f>
        <v>0</v>
      </c>
      <c r="U1815" s="7">
        <f>T1815*O1815</f>
        <v>0</v>
      </c>
    </row>
    <row r="1816" spans="1:21">
      <c r="A1816" s="4" t="s">
        <v>2578</v>
      </c>
      <c r="B1816" s="4" t="s">
        <v>39</v>
      </c>
      <c r="C1816" s="5">
        <v>45947.32034722222</v>
      </c>
      <c r="D1816" s="5">
        <v>45947</v>
      </c>
      <c r="E1816" s="6">
        <f>IF(AND(C1816&lt;&gt;"",D1816&lt;&gt;""),D1816-C1816,"")</f>
        <v>0</v>
      </c>
      <c r="F1816" s="4" t="s">
        <v>2579</v>
      </c>
      <c r="G1816" s="4" t="s">
        <v>2580</v>
      </c>
      <c r="H1816" s="4" t="s">
        <v>2581</v>
      </c>
      <c r="I1816" s="4" t="s">
        <v>56</v>
      </c>
      <c r="J1816" s="4">
        <v>0</v>
      </c>
      <c r="K1816" s="4">
        <v>0</v>
      </c>
      <c r="L1816" s="4">
        <f>J1816+K1816</f>
        <v>0</v>
      </c>
      <c r="M1816" s="4" t="s">
        <v>370</v>
      </c>
      <c r="N1816" s="4"/>
      <c r="O1816" s="4">
        <v>1</v>
      </c>
      <c r="P1816" s="4" t="s">
        <v>135</v>
      </c>
      <c r="Q1816" s="4" t="s">
        <v>44</v>
      </c>
      <c r="R1816" s="7">
        <v>1000000</v>
      </c>
      <c r="S1816" s="7">
        <v>0</v>
      </c>
      <c r="T1816" s="7">
        <f>R1816-S1816</f>
        <v>0</v>
      </c>
      <c r="U1816" s="7">
        <f>T1816*O1816</f>
        <v>0</v>
      </c>
    </row>
    <row r="1817" spans="1:21">
      <c r="A1817" s="4" t="s">
        <v>2578</v>
      </c>
      <c r="B1817" s="4" t="s">
        <v>39</v>
      </c>
      <c r="C1817" s="5">
        <v>45947.32034722222</v>
      </c>
      <c r="D1817" s="5">
        <v>45947</v>
      </c>
      <c r="E1817" s="6">
        <f>IF(AND(C1817&lt;&gt;"",D1817&lt;&gt;""),D1817-C1817,"")</f>
        <v>0</v>
      </c>
      <c r="F1817" s="4" t="s">
        <v>2579</v>
      </c>
      <c r="G1817" s="4" t="s">
        <v>2580</v>
      </c>
      <c r="H1817" s="4" t="s">
        <v>2581</v>
      </c>
      <c r="I1817" s="4" t="s">
        <v>56</v>
      </c>
      <c r="J1817" s="4">
        <v>2</v>
      </c>
      <c r="K1817" s="4">
        <v>0</v>
      </c>
      <c r="L1817" s="4">
        <f>J1817+K1817</f>
        <v>0</v>
      </c>
      <c r="M1817" s="4" t="s">
        <v>80</v>
      </c>
      <c r="N1817" s="4"/>
      <c r="O1817" s="4">
        <v>2</v>
      </c>
      <c r="P1817" s="4" t="s">
        <v>135</v>
      </c>
      <c r="Q1817" s="4" t="s">
        <v>44</v>
      </c>
      <c r="R1817" s="7">
        <v>610000</v>
      </c>
      <c r="S1817" s="7">
        <v>0</v>
      </c>
      <c r="T1817" s="7">
        <f>R1817-S1817</f>
        <v>0</v>
      </c>
      <c r="U1817" s="7">
        <f>T1817*O1817</f>
        <v>0</v>
      </c>
    </row>
    <row r="1818" spans="1:21">
      <c r="A1818" s="4" t="s">
        <v>2582</v>
      </c>
      <c r="B1818" s="4" t="s">
        <v>39</v>
      </c>
      <c r="C1818" s="5">
        <v>45947.32310185185</v>
      </c>
      <c r="D1818" s="5">
        <v>45947</v>
      </c>
      <c r="E1818" s="6">
        <f>IF(AND(C1818&lt;&gt;"",D1818&lt;&gt;""),D1818-C1818,"")</f>
        <v>0</v>
      </c>
      <c r="F1818" s="4" t="s">
        <v>2583</v>
      </c>
      <c r="G1818" s="4" t="s">
        <v>2584</v>
      </c>
      <c r="H1818" s="4" t="s">
        <v>32</v>
      </c>
      <c r="I1818" s="4" t="s">
        <v>33</v>
      </c>
      <c r="J1818" s="4">
        <v>3</v>
      </c>
      <c r="K1818" s="4">
        <v>0</v>
      </c>
      <c r="L1818" s="4">
        <f>J1818+K1818</f>
        <v>0</v>
      </c>
      <c r="M1818" s="4" t="s">
        <v>80</v>
      </c>
      <c r="N1818" s="4"/>
      <c r="O1818" s="4">
        <v>3</v>
      </c>
      <c r="P1818" s="4" t="s">
        <v>135</v>
      </c>
      <c r="Q1818" s="4"/>
      <c r="R1818" s="7">
        <v>610000</v>
      </c>
      <c r="S1818" s="7">
        <v>0</v>
      </c>
      <c r="T1818" s="7">
        <f>R1818-S1818</f>
        <v>0</v>
      </c>
      <c r="U1818" s="7">
        <f>T1818*O1818</f>
        <v>0</v>
      </c>
    </row>
    <row r="1819" spans="1:21">
      <c r="A1819" s="4" t="s">
        <v>2585</v>
      </c>
      <c r="B1819" s="4" t="s">
        <v>39</v>
      </c>
      <c r="C1819" s="5">
        <v>45947.3241550926</v>
      </c>
      <c r="D1819" s="5">
        <v>45947</v>
      </c>
      <c r="E1819" s="6">
        <f>IF(AND(C1819&lt;&gt;"",D1819&lt;&gt;""),D1819-C1819,"")</f>
        <v>0</v>
      </c>
      <c r="F1819" s="4" t="s">
        <v>2586</v>
      </c>
      <c r="G1819" s="4" t="s">
        <v>2587</v>
      </c>
      <c r="H1819" s="4" t="s">
        <v>32</v>
      </c>
      <c r="I1819" s="4" t="s">
        <v>33</v>
      </c>
      <c r="J1819" s="4">
        <v>5</v>
      </c>
      <c r="K1819" s="4">
        <v>0</v>
      </c>
      <c r="L1819" s="4">
        <f>J1819+K1819</f>
        <v>0</v>
      </c>
      <c r="M1819" s="4" t="s">
        <v>80</v>
      </c>
      <c r="N1819" s="4"/>
      <c r="O1819" s="4">
        <v>5</v>
      </c>
      <c r="P1819" s="4" t="s">
        <v>135</v>
      </c>
      <c r="Q1819" s="4"/>
      <c r="R1819" s="7">
        <v>610000</v>
      </c>
      <c r="S1819" s="7">
        <v>0</v>
      </c>
      <c r="T1819" s="7">
        <f>R1819-S1819</f>
        <v>0</v>
      </c>
      <c r="U1819" s="7">
        <f>T1819*O1819</f>
        <v>0</v>
      </c>
    </row>
    <row r="1820" spans="1:21">
      <c r="A1820" s="4" t="s">
        <v>2588</v>
      </c>
      <c r="B1820" s="4" t="s">
        <v>39</v>
      </c>
      <c r="C1820" s="5">
        <v>45947.32814814815</v>
      </c>
      <c r="D1820" s="5">
        <v>45947</v>
      </c>
      <c r="E1820" s="6">
        <f>IF(AND(C1820&lt;&gt;"",D1820&lt;&gt;""),D1820-C1820,"")</f>
        <v>0</v>
      </c>
      <c r="F1820" s="4" t="s">
        <v>2589</v>
      </c>
      <c r="G1820" s="4" t="s">
        <v>2590</v>
      </c>
      <c r="H1820" s="4" t="s">
        <v>32</v>
      </c>
      <c r="I1820" s="4" t="s">
        <v>33</v>
      </c>
      <c r="J1820" s="4">
        <v>10</v>
      </c>
      <c r="K1820" s="4">
        <v>0</v>
      </c>
      <c r="L1820" s="4">
        <f>J1820+K1820</f>
        <v>0</v>
      </c>
      <c r="M1820" s="4" t="s">
        <v>80</v>
      </c>
      <c r="N1820" s="4"/>
      <c r="O1820" s="4">
        <v>10</v>
      </c>
      <c r="P1820" s="4" t="s">
        <v>135</v>
      </c>
      <c r="Q1820" s="4"/>
      <c r="R1820" s="7">
        <v>610000</v>
      </c>
      <c r="S1820" s="7">
        <v>0</v>
      </c>
      <c r="T1820" s="7">
        <f>R1820-S1820</f>
        <v>0</v>
      </c>
      <c r="U1820" s="7">
        <f>T1820*O1820</f>
        <v>0</v>
      </c>
    </row>
    <row r="1821" spans="1:21">
      <c r="A1821" s="4" t="s">
        <v>2591</v>
      </c>
      <c r="B1821" s="4" t="s">
        <v>39</v>
      </c>
      <c r="C1821" s="5">
        <v>45947.33394675926</v>
      </c>
      <c r="D1821" s="5">
        <v>45947</v>
      </c>
      <c r="E1821" s="6">
        <f>IF(AND(C1821&lt;&gt;"",D1821&lt;&gt;""),D1821-C1821,"")</f>
        <v>0</v>
      </c>
      <c r="F1821" s="4" t="s">
        <v>2592</v>
      </c>
      <c r="G1821" s="4" t="s">
        <v>2593</v>
      </c>
      <c r="H1821" s="4" t="s">
        <v>32</v>
      </c>
      <c r="I1821" s="4" t="s">
        <v>33</v>
      </c>
      <c r="J1821" s="4">
        <v>7</v>
      </c>
      <c r="K1821" s="4">
        <v>0</v>
      </c>
      <c r="L1821" s="4">
        <f>J1821+K1821</f>
        <v>0</v>
      </c>
      <c r="M1821" s="4" t="s">
        <v>80</v>
      </c>
      <c r="N1821" s="4"/>
      <c r="O1821" s="4">
        <v>7</v>
      </c>
      <c r="P1821" s="4" t="s">
        <v>135</v>
      </c>
      <c r="Q1821" s="4"/>
      <c r="R1821" s="7">
        <v>610000</v>
      </c>
      <c r="S1821" s="7">
        <v>0</v>
      </c>
      <c r="T1821" s="7">
        <f>R1821-S1821</f>
        <v>0</v>
      </c>
      <c r="U1821" s="7">
        <f>T1821*O1821</f>
        <v>0</v>
      </c>
    </row>
    <row r="1822" spans="1:21">
      <c r="A1822" s="4" t="s">
        <v>2594</v>
      </c>
      <c r="B1822" s="4" t="s">
        <v>39</v>
      </c>
      <c r="C1822" s="5">
        <v>45947.34965277778</v>
      </c>
      <c r="D1822" s="5">
        <v>45947</v>
      </c>
      <c r="E1822" s="6">
        <f>IF(AND(C1822&lt;&gt;"",D1822&lt;&gt;""),D1822-C1822,"")</f>
        <v>0</v>
      </c>
      <c r="F1822" s="4" t="s">
        <v>2595</v>
      </c>
      <c r="G1822" s="4" t="s">
        <v>2596</v>
      </c>
      <c r="H1822" s="4" t="s">
        <v>32</v>
      </c>
      <c r="I1822" s="4" t="s">
        <v>33</v>
      </c>
      <c r="J1822" s="4">
        <v>0</v>
      </c>
      <c r="K1822" s="4">
        <v>0</v>
      </c>
      <c r="L1822" s="4">
        <f>J1822+K1822</f>
        <v>0</v>
      </c>
      <c r="M1822" s="4" t="s">
        <v>370</v>
      </c>
      <c r="N1822" s="4"/>
      <c r="O1822" s="4">
        <v>1</v>
      </c>
      <c r="P1822" s="4" t="s">
        <v>135</v>
      </c>
      <c r="Q1822" s="4"/>
      <c r="R1822" s="7">
        <v>5000000</v>
      </c>
      <c r="S1822" s="7">
        <v>0</v>
      </c>
      <c r="T1822" s="7">
        <f>R1822-S1822</f>
        <v>0</v>
      </c>
      <c r="U1822" s="7">
        <f>T1822*O1822</f>
        <v>0</v>
      </c>
    </row>
    <row r="1823" spans="1:21">
      <c r="A1823" s="4" t="s">
        <v>2594</v>
      </c>
      <c r="B1823" s="4" t="s">
        <v>39</v>
      </c>
      <c r="C1823" s="5">
        <v>45947.34965277778</v>
      </c>
      <c r="D1823" s="5">
        <v>45947</v>
      </c>
      <c r="E1823" s="6">
        <f>IF(AND(C1823&lt;&gt;"",D1823&lt;&gt;""),D1823-C1823,"")</f>
        <v>0</v>
      </c>
      <c r="F1823" s="4" t="s">
        <v>2595</v>
      </c>
      <c r="G1823" s="4" t="s">
        <v>2596</v>
      </c>
      <c r="H1823" s="4" t="s">
        <v>32</v>
      </c>
      <c r="I1823" s="4" t="s">
        <v>33</v>
      </c>
      <c r="J1823" s="4">
        <v>0</v>
      </c>
      <c r="K1823" s="4">
        <v>0</v>
      </c>
      <c r="L1823" s="4">
        <f>J1823+K1823</f>
        <v>0</v>
      </c>
      <c r="M1823" s="4" t="s">
        <v>609</v>
      </c>
      <c r="N1823" s="4"/>
      <c r="O1823" s="4">
        <v>5</v>
      </c>
      <c r="P1823" s="4" t="s">
        <v>135</v>
      </c>
      <c r="Q1823" s="4"/>
      <c r="R1823" s="7">
        <v>30000</v>
      </c>
      <c r="S1823" s="7">
        <v>0</v>
      </c>
      <c r="T1823" s="7">
        <f>R1823-S1823</f>
        <v>0</v>
      </c>
      <c r="U1823" s="7">
        <f>T1823*O1823</f>
        <v>0</v>
      </c>
    </row>
    <row r="1824" spans="1:21">
      <c r="A1824" s="4" t="s">
        <v>2597</v>
      </c>
      <c r="B1824" s="4" t="s">
        <v>48</v>
      </c>
      <c r="C1824" s="5">
        <v>45947.35398148148</v>
      </c>
      <c r="D1824" s="5">
        <v>45961</v>
      </c>
      <c r="E1824" s="6">
        <f>IF(AND(C1824&lt;&gt;"",D1824&lt;&gt;""),D1824-C1824,"")</f>
        <v>0</v>
      </c>
      <c r="F1824" s="4" t="s">
        <v>2598</v>
      </c>
      <c r="G1824" s="4" t="s">
        <v>2599</v>
      </c>
      <c r="H1824" s="4" t="s">
        <v>32</v>
      </c>
      <c r="I1824" s="4" t="s">
        <v>33</v>
      </c>
      <c r="J1824" s="4">
        <v>6</v>
      </c>
      <c r="K1824" s="4">
        <v>0</v>
      </c>
      <c r="L1824" s="4">
        <f>J1824+K1824</f>
        <v>0</v>
      </c>
      <c r="M1824" s="4"/>
      <c r="N1824" s="4"/>
      <c r="O1824" s="4">
        <v>0</v>
      </c>
      <c r="P1824" s="4"/>
      <c r="Q1824" s="4"/>
      <c r="R1824" s="7">
        <v>0</v>
      </c>
      <c r="S1824" s="7">
        <v>0</v>
      </c>
      <c r="T1824" s="7">
        <f>R1824-S1824</f>
        <v>0</v>
      </c>
      <c r="U1824" s="7">
        <f>T1824*O1824</f>
        <v>0</v>
      </c>
    </row>
    <row r="1825" spans="1:21">
      <c r="A1825" s="4" t="s">
        <v>2600</v>
      </c>
      <c r="B1825" s="4" t="s">
        <v>39</v>
      </c>
      <c r="C1825" s="5">
        <v>45947.3559837963</v>
      </c>
      <c r="D1825" s="5">
        <v>45947</v>
      </c>
      <c r="E1825" s="6">
        <f>IF(AND(C1825&lt;&gt;"",D1825&lt;&gt;""),D1825-C1825,"")</f>
        <v>0</v>
      </c>
      <c r="F1825" s="4" t="s">
        <v>2601</v>
      </c>
      <c r="G1825" s="4" t="s">
        <v>2602</v>
      </c>
      <c r="H1825" s="4" t="s">
        <v>32</v>
      </c>
      <c r="I1825" s="4" t="s">
        <v>33</v>
      </c>
      <c r="J1825" s="4">
        <v>0</v>
      </c>
      <c r="K1825" s="4">
        <v>0</v>
      </c>
      <c r="L1825" s="4">
        <f>J1825+K1825</f>
        <v>0</v>
      </c>
      <c r="M1825" s="4" t="s">
        <v>609</v>
      </c>
      <c r="N1825" s="4"/>
      <c r="O1825" s="4">
        <v>2</v>
      </c>
      <c r="P1825" s="4" t="s">
        <v>135</v>
      </c>
      <c r="Q1825" s="4"/>
      <c r="R1825" s="7">
        <v>30000</v>
      </c>
      <c r="S1825" s="7">
        <v>0</v>
      </c>
      <c r="T1825" s="7">
        <f>R1825-S1825</f>
        <v>0</v>
      </c>
      <c r="U1825" s="7">
        <f>T1825*O1825</f>
        <v>0</v>
      </c>
    </row>
    <row r="1826" spans="1:21">
      <c r="A1826" s="4" t="s">
        <v>2600</v>
      </c>
      <c r="B1826" s="4" t="s">
        <v>39</v>
      </c>
      <c r="C1826" s="5">
        <v>45947.3559837963</v>
      </c>
      <c r="D1826" s="5">
        <v>45947</v>
      </c>
      <c r="E1826" s="6">
        <f>IF(AND(C1826&lt;&gt;"",D1826&lt;&gt;""),D1826-C1826,"")</f>
        <v>0</v>
      </c>
      <c r="F1826" s="4" t="s">
        <v>2601</v>
      </c>
      <c r="G1826" s="4" t="s">
        <v>2602</v>
      </c>
      <c r="H1826" s="4" t="s">
        <v>32</v>
      </c>
      <c r="I1826" s="4" t="s">
        <v>33</v>
      </c>
      <c r="J1826" s="4">
        <v>0</v>
      </c>
      <c r="K1826" s="4">
        <v>0</v>
      </c>
      <c r="L1826" s="4">
        <f>J1826+K1826</f>
        <v>0</v>
      </c>
      <c r="M1826" s="4" t="s">
        <v>370</v>
      </c>
      <c r="N1826" s="4"/>
      <c r="O1826" s="4">
        <v>1</v>
      </c>
      <c r="P1826" s="4" t="s">
        <v>135</v>
      </c>
      <c r="Q1826" s="4"/>
      <c r="R1826" s="7">
        <v>600000</v>
      </c>
      <c r="S1826" s="7">
        <v>0</v>
      </c>
      <c r="T1826" s="7">
        <f>R1826-S1826</f>
        <v>0</v>
      </c>
      <c r="U1826" s="7">
        <f>T1826*O1826</f>
        <v>0</v>
      </c>
    </row>
    <row r="1827" spans="1:21">
      <c r="A1827" s="4" t="s">
        <v>2603</v>
      </c>
      <c r="B1827" s="4" t="s">
        <v>39</v>
      </c>
      <c r="C1827" s="5">
        <v>45947.36149305556</v>
      </c>
      <c r="D1827" s="5">
        <v>45947</v>
      </c>
      <c r="E1827" s="6">
        <f>IF(AND(C1827&lt;&gt;"",D1827&lt;&gt;""),D1827-C1827,"")</f>
        <v>0</v>
      </c>
      <c r="F1827" s="4" t="s">
        <v>2604</v>
      </c>
      <c r="G1827" s="4" t="s">
        <v>2605</v>
      </c>
      <c r="H1827" s="4" t="s">
        <v>32</v>
      </c>
      <c r="I1827" s="4" t="s">
        <v>33</v>
      </c>
      <c r="J1827" s="4">
        <v>0</v>
      </c>
      <c r="K1827" s="4">
        <v>0</v>
      </c>
      <c r="L1827" s="4">
        <f>J1827+K1827</f>
        <v>0</v>
      </c>
      <c r="M1827" s="4" t="s">
        <v>370</v>
      </c>
      <c r="N1827" s="4"/>
      <c r="O1827" s="4">
        <v>1</v>
      </c>
      <c r="P1827" s="4" t="s">
        <v>135</v>
      </c>
      <c r="Q1827" s="4"/>
      <c r="R1827" s="7">
        <v>5000000</v>
      </c>
      <c r="S1827" s="7">
        <v>0</v>
      </c>
      <c r="T1827" s="7">
        <f>R1827-S1827</f>
        <v>0</v>
      </c>
      <c r="U1827" s="7">
        <f>T1827*O1827</f>
        <v>0</v>
      </c>
    </row>
    <row r="1828" spans="1:21">
      <c r="A1828" s="4" t="s">
        <v>2606</v>
      </c>
      <c r="B1828" s="4" t="s">
        <v>39</v>
      </c>
      <c r="C1828" s="5">
        <v>45947.36701388889</v>
      </c>
      <c r="D1828" s="5">
        <v>45947</v>
      </c>
      <c r="E1828" s="6">
        <f>IF(AND(C1828&lt;&gt;"",D1828&lt;&gt;""),D1828-C1828,"")</f>
        <v>0</v>
      </c>
      <c r="F1828" s="4" t="s">
        <v>2607</v>
      </c>
      <c r="G1828" s="4" t="s">
        <v>2608</v>
      </c>
      <c r="H1828" s="4" t="s">
        <v>32</v>
      </c>
      <c r="I1828" s="4" t="s">
        <v>33</v>
      </c>
      <c r="J1828" s="4">
        <v>0</v>
      </c>
      <c r="K1828" s="4">
        <v>0</v>
      </c>
      <c r="L1828" s="4">
        <f>J1828+K1828</f>
        <v>0</v>
      </c>
      <c r="M1828" s="4" t="s">
        <v>370</v>
      </c>
      <c r="N1828" s="4"/>
      <c r="O1828" s="4">
        <v>1</v>
      </c>
      <c r="P1828" s="4" t="s">
        <v>135</v>
      </c>
      <c r="Q1828" s="4"/>
      <c r="R1828" s="7">
        <v>5000000</v>
      </c>
      <c r="S1828" s="7">
        <v>0</v>
      </c>
      <c r="T1828" s="7">
        <f>R1828-S1828</f>
        <v>0</v>
      </c>
      <c r="U1828" s="7">
        <f>T1828*O1828</f>
        <v>0</v>
      </c>
    </row>
    <row r="1829" spans="1:21">
      <c r="A1829" s="4" t="s">
        <v>2609</v>
      </c>
      <c r="B1829" s="4" t="s">
        <v>48</v>
      </c>
      <c r="C1829" s="5">
        <v>45947.36953703704</v>
      </c>
      <c r="D1829" s="5">
        <v>45961</v>
      </c>
      <c r="E1829" s="6">
        <f>IF(AND(C1829&lt;&gt;"",D1829&lt;&gt;""),D1829-C1829,"")</f>
        <v>0</v>
      </c>
      <c r="F1829" s="4" t="s">
        <v>2610</v>
      </c>
      <c r="G1829" s="4" t="s">
        <v>2611</v>
      </c>
      <c r="H1829" s="4" t="s">
        <v>32</v>
      </c>
      <c r="I1829" s="4" t="s">
        <v>33</v>
      </c>
      <c r="J1829" s="4">
        <v>3</v>
      </c>
      <c r="K1829" s="4">
        <v>0</v>
      </c>
      <c r="L1829" s="4">
        <f>J1829+K1829</f>
        <v>0</v>
      </c>
      <c r="M1829" s="4"/>
      <c r="N1829" s="4"/>
      <c r="O1829" s="4">
        <v>0</v>
      </c>
      <c r="P1829" s="4"/>
      <c r="Q1829" s="4"/>
      <c r="R1829" s="7">
        <v>0</v>
      </c>
      <c r="S1829" s="7">
        <v>0</v>
      </c>
      <c r="T1829" s="7">
        <f>R1829-S1829</f>
        <v>0</v>
      </c>
      <c r="U1829" s="7">
        <f>T1829*O1829</f>
        <v>0</v>
      </c>
    </row>
    <row r="1830" spans="1:21">
      <c r="A1830" s="4" t="s">
        <v>2612</v>
      </c>
      <c r="B1830" s="4" t="s">
        <v>39</v>
      </c>
      <c r="C1830" s="5">
        <v>45947.38174768518</v>
      </c>
      <c r="D1830" s="5">
        <v>45947</v>
      </c>
      <c r="E1830" s="6">
        <f>IF(AND(C1830&lt;&gt;"",D1830&lt;&gt;""),D1830-C1830,"")</f>
        <v>0</v>
      </c>
      <c r="F1830" s="4" t="s">
        <v>2613</v>
      </c>
      <c r="G1830" s="4" t="s">
        <v>2614</v>
      </c>
      <c r="H1830" s="4" t="s">
        <v>190</v>
      </c>
      <c r="I1830" s="4" t="s">
        <v>56</v>
      </c>
      <c r="J1830" s="4">
        <v>0</v>
      </c>
      <c r="K1830" s="4">
        <v>0</v>
      </c>
      <c r="L1830" s="4">
        <f>J1830+K1830</f>
        <v>0</v>
      </c>
      <c r="M1830" s="4" t="s">
        <v>370</v>
      </c>
      <c r="N1830" s="4"/>
      <c r="O1830" s="4">
        <v>1</v>
      </c>
      <c r="P1830" s="4" t="s">
        <v>135</v>
      </c>
      <c r="Q1830" s="4" t="s">
        <v>44</v>
      </c>
      <c r="R1830" s="7">
        <v>1000000</v>
      </c>
      <c r="S1830" s="7">
        <v>0</v>
      </c>
      <c r="T1830" s="7">
        <f>R1830-S1830</f>
        <v>0</v>
      </c>
      <c r="U1830" s="7">
        <f>T1830*O1830</f>
        <v>0</v>
      </c>
    </row>
    <row r="1831" spans="1:21">
      <c r="A1831" s="4" t="s">
        <v>2612</v>
      </c>
      <c r="B1831" s="4" t="s">
        <v>39</v>
      </c>
      <c r="C1831" s="5">
        <v>45947.38174768518</v>
      </c>
      <c r="D1831" s="5">
        <v>45947</v>
      </c>
      <c r="E1831" s="6">
        <f>IF(AND(C1831&lt;&gt;"",D1831&lt;&gt;""),D1831-C1831,"")</f>
        <v>0</v>
      </c>
      <c r="F1831" s="4" t="s">
        <v>2613</v>
      </c>
      <c r="G1831" s="4" t="s">
        <v>2614</v>
      </c>
      <c r="H1831" s="4" t="s">
        <v>190</v>
      </c>
      <c r="I1831" s="4" t="s">
        <v>56</v>
      </c>
      <c r="J1831" s="4">
        <v>1</v>
      </c>
      <c r="K1831" s="4">
        <v>0</v>
      </c>
      <c r="L1831" s="4">
        <f>J1831+K1831</f>
        <v>0</v>
      </c>
      <c r="M1831" s="4" t="s">
        <v>976</v>
      </c>
      <c r="N1831" s="4"/>
      <c r="O1831" s="4">
        <v>1</v>
      </c>
      <c r="P1831" s="4" t="s">
        <v>135</v>
      </c>
      <c r="Q1831" s="4" t="s">
        <v>44</v>
      </c>
      <c r="R1831" s="7">
        <v>1500000</v>
      </c>
      <c r="S1831" s="7">
        <v>0</v>
      </c>
      <c r="T1831" s="7">
        <f>R1831-S1831</f>
        <v>0</v>
      </c>
      <c r="U1831" s="7">
        <f>T1831*O1831</f>
        <v>0</v>
      </c>
    </row>
    <row r="1832" spans="1:21">
      <c r="A1832" s="4" t="s">
        <v>2615</v>
      </c>
      <c r="B1832" s="4" t="s">
        <v>39</v>
      </c>
      <c r="C1832" s="5">
        <v>45947.38489583333</v>
      </c>
      <c r="D1832" s="5">
        <v>45947</v>
      </c>
      <c r="E1832" s="6">
        <f>IF(AND(C1832&lt;&gt;"",D1832&lt;&gt;""),D1832-C1832,"")</f>
        <v>0</v>
      </c>
      <c r="F1832" s="4" t="s">
        <v>2616</v>
      </c>
      <c r="G1832" s="4" t="s">
        <v>2617</v>
      </c>
      <c r="H1832" s="4" t="s">
        <v>32</v>
      </c>
      <c r="I1832" s="4" t="s">
        <v>33</v>
      </c>
      <c r="J1832" s="4">
        <v>0</v>
      </c>
      <c r="K1832" s="4">
        <v>0</v>
      </c>
      <c r="L1832" s="4">
        <f>J1832+K1832</f>
        <v>0</v>
      </c>
      <c r="M1832" s="4" t="s">
        <v>370</v>
      </c>
      <c r="N1832" s="4"/>
      <c r="O1832" s="4">
        <v>1</v>
      </c>
      <c r="P1832" s="4" t="s">
        <v>135</v>
      </c>
      <c r="Q1832" s="4"/>
      <c r="R1832" s="7">
        <v>5000000</v>
      </c>
      <c r="S1832" s="7">
        <v>0</v>
      </c>
      <c r="T1832" s="7">
        <f>R1832-S1832</f>
        <v>0</v>
      </c>
      <c r="U1832" s="7">
        <f>T1832*O1832</f>
        <v>0</v>
      </c>
    </row>
    <row r="1833" spans="1:21">
      <c r="A1833" s="4" t="s">
        <v>2618</v>
      </c>
      <c r="B1833" s="4" t="s">
        <v>39</v>
      </c>
      <c r="C1833" s="5">
        <v>45947.39518518518</v>
      </c>
      <c r="D1833" s="5">
        <v>45947</v>
      </c>
      <c r="E1833" s="6">
        <f>IF(AND(C1833&lt;&gt;"",D1833&lt;&gt;""),D1833-C1833,"")</f>
        <v>0</v>
      </c>
      <c r="F1833" s="4" t="s">
        <v>2619</v>
      </c>
      <c r="G1833" s="4" t="s">
        <v>2620</v>
      </c>
      <c r="H1833" s="4" t="s">
        <v>32</v>
      </c>
      <c r="I1833" s="4" t="s">
        <v>33</v>
      </c>
      <c r="J1833" s="4">
        <v>0</v>
      </c>
      <c r="K1833" s="4">
        <v>0</v>
      </c>
      <c r="L1833" s="4">
        <f>J1833+K1833</f>
        <v>0</v>
      </c>
      <c r="M1833" s="4" t="s">
        <v>609</v>
      </c>
      <c r="N1833" s="4"/>
      <c r="O1833" s="4">
        <v>3</v>
      </c>
      <c r="P1833" s="4" t="s">
        <v>135</v>
      </c>
      <c r="Q1833" s="4"/>
      <c r="R1833" s="7">
        <v>30000</v>
      </c>
      <c r="S1833" s="7">
        <v>0</v>
      </c>
      <c r="T1833" s="7">
        <f>R1833-S1833</f>
        <v>0</v>
      </c>
      <c r="U1833" s="7">
        <f>T1833*O1833</f>
        <v>0</v>
      </c>
    </row>
    <row r="1834" spans="1:21">
      <c r="A1834" s="4" t="s">
        <v>2618</v>
      </c>
      <c r="B1834" s="4" t="s">
        <v>39</v>
      </c>
      <c r="C1834" s="5">
        <v>45947.39518518518</v>
      </c>
      <c r="D1834" s="5">
        <v>45947</v>
      </c>
      <c r="E1834" s="6">
        <f>IF(AND(C1834&lt;&gt;"",D1834&lt;&gt;""),D1834-C1834,"")</f>
        <v>0</v>
      </c>
      <c r="F1834" s="4" t="s">
        <v>2619</v>
      </c>
      <c r="G1834" s="4" t="s">
        <v>2620</v>
      </c>
      <c r="H1834" s="4" t="s">
        <v>32</v>
      </c>
      <c r="I1834" s="4" t="s">
        <v>33</v>
      </c>
      <c r="J1834" s="4">
        <v>0</v>
      </c>
      <c r="K1834" s="4">
        <v>0</v>
      </c>
      <c r="L1834" s="4">
        <f>J1834+K1834</f>
        <v>0</v>
      </c>
      <c r="M1834" s="4" t="s">
        <v>370</v>
      </c>
      <c r="N1834" s="4"/>
      <c r="O1834" s="4">
        <v>1</v>
      </c>
      <c r="P1834" s="4" t="s">
        <v>135</v>
      </c>
      <c r="Q1834" s="4"/>
      <c r="R1834" s="7">
        <v>5000000</v>
      </c>
      <c r="S1834" s="7">
        <v>0</v>
      </c>
      <c r="T1834" s="7">
        <f>R1834-S1834</f>
        <v>0</v>
      </c>
      <c r="U1834" s="7">
        <f>T1834*O1834</f>
        <v>0</v>
      </c>
    </row>
    <row r="1835" spans="1:21">
      <c r="A1835" s="4" t="s">
        <v>2621</v>
      </c>
      <c r="B1835" s="4" t="s">
        <v>103</v>
      </c>
      <c r="C1835" s="5">
        <v>45947.40106481482</v>
      </c>
      <c r="D1835" s="5">
        <v>45961</v>
      </c>
      <c r="E1835" s="6">
        <f>IF(AND(C1835&lt;&gt;"",D1835&lt;&gt;""),D1835-C1835,"")</f>
        <v>0</v>
      </c>
      <c r="F1835" s="4" t="s">
        <v>1399</v>
      </c>
      <c r="G1835" s="4" t="s">
        <v>202</v>
      </c>
      <c r="H1835" s="4" t="s">
        <v>32</v>
      </c>
      <c r="I1835" s="4" t="s">
        <v>33</v>
      </c>
      <c r="J1835" s="4">
        <v>2</v>
      </c>
      <c r="K1835" s="4">
        <v>1</v>
      </c>
      <c r="L1835" s="4">
        <f>J1835+K1835</f>
        <v>0</v>
      </c>
      <c r="M1835" s="4"/>
      <c r="N1835" s="4"/>
      <c r="O1835" s="4">
        <v>0</v>
      </c>
      <c r="P1835" s="4"/>
      <c r="Q1835" s="4"/>
      <c r="R1835" s="7">
        <v>0</v>
      </c>
      <c r="S1835" s="7">
        <v>0</v>
      </c>
      <c r="T1835" s="7">
        <f>R1835-S1835</f>
        <v>0</v>
      </c>
      <c r="U1835" s="7">
        <f>T1835*O1835</f>
        <v>0</v>
      </c>
    </row>
    <row r="1836" spans="1:21">
      <c r="A1836" s="4" t="s">
        <v>2622</v>
      </c>
      <c r="B1836" s="4" t="s">
        <v>39</v>
      </c>
      <c r="C1836" s="5">
        <v>45947.40112268519</v>
      </c>
      <c r="D1836" s="5">
        <v>45947</v>
      </c>
      <c r="E1836" s="6">
        <f>IF(AND(C1836&lt;&gt;"",D1836&lt;&gt;""),D1836-C1836,"")</f>
        <v>0</v>
      </c>
      <c r="F1836" s="4" t="s">
        <v>2623</v>
      </c>
      <c r="G1836" s="4" t="s">
        <v>2624</v>
      </c>
      <c r="H1836" s="4" t="s">
        <v>32</v>
      </c>
      <c r="I1836" s="4" t="s">
        <v>33</v>
      </c>
      <c r="J1836" s="4">
        <v>0</v>
      </c>
      <c r="K1836" s="4">
        <v>0</v>
      </c>
      <c r="L1836" s="4">
        <f>J1836+K1836</f>
        <v>0</v>
      </c>
      <c r="M1836" s="4" t="s">
        <v>609</v>
      </c>
      <c r="N1836" s="4"/>
      <c r="O1836" s="4">
        <v>3</v>
      </c>
      <c r="P1836" s="4" t="s">
        <v>135</v>
      </c>
      <c r="Q1836" s="4"/>
      <c r="R1836" s="7">
        <v>30000</v>
      </c>
      <c r="S1836" s="7">
        <v>0</v>
      </c>
      <c r="T1836" s="7">
        <f>R1836-S1836</f>
        <v>0</v>
      </c>
      <c r="U1836" s="7">
        <f>T1836*O1836</f>
        <v>0</v>
      </c>
    </row>
    <row r="1837" spans="1:21">
      <c r="A1837" s="4" t="s">
        <v>2622</v>
      </c>
      <c r="B1837" s="4" t="s">
        <v>39</v>
      </c>
      <c r="C1837" s="5">
        <v>45947.40112268519</v>
      </c>
      <c r="D1837" s="5">
        <v>45947</v>
      </c>
      <c r="E1837" s="6">
        <f>IF(AND(C1837&lt;&gt;"",D1837&lt;&gt;""),D1837-C1837,"")</f>
        <v>0</v>
      </c>
      <c r="F1837" s="4" t="s">
        <v>2623</v>
      </c>
      <c r="G1837" s="4" t="s">
        <v>2624</v>
      </c>
      <c r="H1837" s="4" t="s">
        <v>32</v>
      </c>
      <c r="I1837" s="4" t="s">
        <v>33</v>
      </c>
      <c r="J1837" s="4">
        <v>0</v>
      </c>
      <c r="K1837" s="4">
        <v>0</v>
      </c>
      <c r="L1837" s="4">
        <f>J1837+K1837</f>
        <v>0</v>
      </c>
      <c r="M1837" s="4" t="s">
        <v>370</v>
      </c>
      <c r="N1837" s="4"/>
      <c r="O1837" s="4">
        <v>1</v>
      </c>
      <c r="P1837" s="4" t="s">
        <v>135</v>
      </c>
      <c r="Q1837" s="4"/>
      <c r="R1837" s="7">
        <v>5000000</v>
      </c>
      <c r="S1837" s="7">
        <v>0</v>
      </c>
      <c r="T1837" s="7">
        <f>R1837-S1837</f>
        <v>0</v>
      </c>
      <c r="U1837" s="7">
        <f>T1837*O1837</f>
        <v>0</v>
      </c>
    </row>
    <row r="1838" spans="1:21">
      <c r="A1838" s="4" t="s">
        <v>2625</v>
      </c>
      <c r="B1838" s="4" t="s">
        <v>48</v>
      </c>
      <c r="C1838" s="5">
        <v>45947.40841435185</v>
      </c>
      <c r="D1838" s="5">
        <v>45961</v>
      </c>
      <c r="E1838" s="6">
        <f>IF(AND(C1838&lt;&gt;"",D1838&lt;&gt;""),D1838-C1838,"")</f>
        <v>0</v>
      </c>
      <c r="F1838" s="4" t="s">
        <v>2626</v>
      </c>
      <c r="G1838" s="4" t="s">
        <v>2627</v>
      </c>
      <c r="H1838" s="4" t="s">
        <v>32</v>
      </c>
      <c r="I1838" s="4" t="s">
        <v>33</v>
      </c>
      <c r="J1838" s="4">
        <v>3</v>
      </c>
      <c r="K1838" s="4">
        <v>3</v>
      </c>
      <c r="L1838" s="4">
        <f>J1838+K1838</f>
        <v>0</v>
      </c>
      <c r="M1838" s="4"/>
      <c r="N1838" s="4"/>
      <c r="O1838" s="4">
        <v>0</v>
      </c>
      <c r="P1838" s="4"/>
      <c r="Q1838" s="4"/>
      <c r="R1838" s="7">
        <v>0</v>
      </c>
      <c r="S1838" s="7">
        <v>0</v>
      </c>
      <c r="T1838" s="7">
        <f>R1838-S1838</f>
        <v>0</v>
      </c>
      <c r="U1838" s="7">
        <f>T1838*O1838</f>
        <v>0</v>
      </c>
    </row>
    <row r="1839" spans="1:21">
      <c r="A1839" s="4" t="s">
        <v>2628</v>
      </c>
      <c r="B1839" s="4" t="s">
        <v>48</v>
      </c>
      <c r="C1839" s="5">
        <v>45947.41370370371</v>
      </c>
      <c r="D1839" s="5">
        <v>45961</v>
      </c>
      <c r="E1839" s="6">
        <f>IF(AND(C1839&lt;&gt;"",D1839&lt;&gt;""),D1839-C1839,"")</f>
        <v>0</v>
      </c>
      <c r="F1839" s="4" t="s">
        <v>2629</v>
      </c>
      <c r="G1839" s="4" t="s">
        <v>2630</v>
      </c>
      <c r="H1839" s="4" t="s">
        <v>190</v>
      </c>
      <c r="I1839" s="4" t="s">
        <v>56</v>
      </c>
      <c r="J1839" s="4">
        <v>5</v>
      </c>
      <c r="K1839" s="4">
        <v>0</v>
      </c>
      <c r="L1839" s="4">
        <f>J1839+K1839</f>
        <v>0</v>
      </c>
      <c r="M1839" s="4"/>
      <c r="N1839" s="4"/>
      <c r="O1839" s="4">
        <v>0</v>
      </c>
      <c r="P1839" s="4"/>
      <c r="Q1839" s="4"/>
      <c r="R1839" s="7">
        <v>0</v>
      </c>
      <c r="S1839" s="7">
        <v>0</v>
      </c>
      <c r="T1839" s="7">
        <f>R1839-S1839</f>
        <v>0</v>
      </c>
      <c r="U1839" s="7">
        <f>T1839*O1839</f>
        <v>0</v>
      </c>
    </row>
    <row r="1840" spans="1:21">
      <c r="A1840" s="4" t="s">
        <v>2631</v>
      </c>
      <c r="B1840" s="4" t="s">
        <v>29</v>
      </c>
      <c r="C1840" s="5">
        <v>45947.54873842592</v>
      </c>
      <c r="D1840" s="5">
        <v>45961</v>
      </c>
      <c r="E1840" s="6">
        <f>IF(AND(C1840&lt;&gt;"",D1840&lt;&gt;""),D1840-C1840,"")</f>
        <v>0</v>
      </c>
      <c r="F1840" s="4" t="s">
        <v>307</v>
      </c>
      <c r="G1840" s="4" t="s">
        <v>308</v>
      </c>
      <c r="H1840" s="4" t="s">
        <v>190</v>
      </c>
      <c r="I1840" s="4" t="s">
        <v>56</v>
      </c>
      <c r="J1840" s="4">
        <v>1</v>
      </c>
      <c r="K1840" s="4">
        <v>0</v>
      </c>
      <c r="L1840" s="4">
        <f>J1840+K1840</f>
        <v>0</v>
      </c>
      <c r="M1840" s="4"/>
      <c r="N1840" s="4"/>
      <c r="O1840" s="4">
        <v>0</v>
      </c>
      <c r="P1840" s="4"/>
      <c r="Q1840" s="4"/>
      <c r="R1840" s="7">
        <v>0</v>
      </c>
      <c r="S1840" s="7">
        <v>0</v>
      </c>
      <c r="T1840" s="7">
        <f>R1840-S1840</f>
        <v>0</v>
      </c>
      <c r="U1840" s="7">
        <f>T1840*O1840</f>
        <v>0</v>
      </c>
    </row>
    <row r="1841" spans="1:21">
      <c r="A1841" s="4" t="s">
        <v>2631</v>
      </c>
      <c r="B1841" s="4" t="s">
        <v>29</v>
      </c>
      <c r="C1841" s="5">
        <v>45947.54875</v>
      </c>
      <c r="D1841" s="5">
        <v>45961</v>
      </c>
      <c r="E1841" s="6">
        <f>IF(AND(C1841&lt;&gt;"",D1841&lt;&gt;""),D1841-C1841,"")</f>
        <v>0</v>
      </c>
      <c r="F1841" s="4" t="s">
        <v>307</v>
      </c>
      <c r="G1841" s="4" t="s">
        <v>308</v>
      </c>
      <c r="H1841" s="4" t="s">
        <v>190</v>
      </c>
      <c r="I1841" s="4" t="s">
        <v>56</v>
      </c>
      <c r="J1841" s="4">
        <v>1</v>
      </c>
      <c r="K1841" s="4">
        <v>0</v>
      </c>
      <c r="L1841" s="4">
        <f>J1841+K1841</f>
        <v>0</v>
      </c>
      <c r="M1841" s="4"/>
      <c r="N1841" s="4"/>
      <c r="O1841" s="4">
        <v>0</v>
      </c>
      <c r="P1841" s="4"/>
      <c r="Q1841" s="4"/>
      <c r="R1841" s="7">
        <v>0</v>
      </c>
      <c r="S1841" s="7">
        <v>0</v>
      </c>
      <c r="T1841" s="7">
        <f>R1841-S1841</f>
        <v>0</v>
      </c>
      <c r="U1841" s="7">
        <f>T1841*O1841</f>
        <v>0</v>
      </c>
    </row>
    <row r="1842" spans="1:21">
      <c r="A1842" s="4" t="s">
        <v>2632</v>
      </c>
      <c r="B1842" s="4" t="s">
        <v>39</v>
      </c>
      <c r="C1842" s="5">
        <v>45948.17811342593</v>
      </c>
      <c r="D1842" s="5">
        <v>45948</v>
      </c>
      <c r="E1842" s="6">
        <f>IF(AND(C1842&lt;&gt;"",D1842&lt;&gt;""),D1842-C1842,"")</f>
        <v>0</v>
      </c>
      <c r="F1842" s="4" t="s">
        <v>2633</v>
      </c>
      <c r="G1842" s="4" t="s">
        <v>2634</v>
      </c>
      <c r="H1842" s="4" t="s">
        <v>32</v>
      </c>
      <c r="I1842" s="4" t="s">
        <v>33</v>
      </c>
      <c r="J1842" s="4">
        <v>0</v>
      </c>
      <c r="K1842" s="4">
        <v>0</v>
      </c>
      <c r="L1842" s="4">
        <f>J1842+K1842</f>
        <v>0</v>
      </c>
      <c r="M1842" s="4" t="s">
        <v>370</v>
      </c>
      <c r="N1842" s="4"/>
      <c r="O1842" s="4">
        <v>1</v>
      </c>
      <c r="P1842" s="4" t="s">
        <v>135</v>
      </c>
      <c r="Q1842" s="4"/>
      <c r="R1842" s="7">
        <v>6000000</v>
      </c>
      <c r="S1842" s="7">
        <v>0</v>
      </c>
      <c r="T1842" s="7">
        <f>R1842-S1842</f>
        <v>0</v>
      </c>
      <c r="U1842" s="7">
        <f>T1842*O1842</f>
        <v>0</v>
      </c>
    </row>
    <row r="1843" spans="1:21">
      <c r="A1843" s="4" t="s">
        <v>2635</v>
      </c>
      <c r="B1843" s="4" t="s">
        <v>103</v>
      </c>
      <c r="C1843" s="5">
        <v>45948.47934027778</v>
      </c>
      <c r="D1843" s="5">
        <v>45961</v>
      </c>
      <c r="E1843" s="6">
        <f>IF(AND(C1843&lt;&gt;"",D1843&lt;&gt;""),D1843-C1843,"")</f>
        <v>0</v>
      </c>
      <c r="F1843" s="4" t="s">
        <v>2636</v>
      </c>
      <c r="G1843" s="4" t="s">
        <v>2637</v>
      </c>
      <c r="H1843" s="4" t="s">
        <v>190</v>
      </c>
      <c r="I1843" s="4" t="s">
        <v>56</v>
      </c>
      <c r="J1843" s="4">
        <v>2</v>
      </c>
      <c r="K1843" s="4">
        <v>0</v>
      </c>
      <c r="L1843" s="4">
        <f>J1843+K1843</f>
        <v>0</v>
      </c>
      <c r="M1843" s="4"/>
      <c r="N1843" s="4"/>
      <c r="O1843" s="4">
        <v>0</v>
      </c>
      <c r="P1843" s="4"/>
      <c r="Q1843" s="4"/>
      <c r="R1843" s="7">
        <v>0</v>
      </c>
      <c r="S1843" s="7">
        <v>0</v>
      </c>
      <c r="T1843" s="7">
        <f>R1843-S1843</f>
        <v>0</v>
      </c>
      <c r="U1843" s="7">
        <f>T1843*O1843</f>
        <v>0</v>
      </c>
    </row>
    <row r="1844" spans="1:21">
      <c r="A1844" s="4" t="s">
        <v>2638</v>
      </c>
      <c r="B1844" s="4" t="s">
        <v>39</v>
      </c>
      <c r="C1844" s="5">
        <v>45948.72168981482</v>
      </c>
      <c r="D1844" s="5">
        <v>45948</v>
      </c>
      <c r="E1844" s="6">
        <f>IF(AND(C1844&lt;&gt;"",D1844&lt;&gt;""),D1844-C1844,"")</f>
        <v>0</v>
      </c>
      <c r="F1844" s="4" t="s">
        <v>2639</v>
      </c>
      <c r="G1844" s="4" t="s">
        <v>2640</v>
      </c>
      <c r="H1844" s="4" t="s">
        <v>32</v>
      </c>
      <c r="I1844" s="4" t="s">
        <v>33</v>
      </c>
      <c r="J1844" s="4">
        <v>1</v>
      </c>
      <c r="K1844" s="4">
        <v>0</v>
      </c>
      <c r="L1844" s="4">
        <f>J1844+K1844</f>
        <v>0</v>
      </c>
      <c r="M1844" s="4" t="s">
        <v>80</v>
      </c>
      <c r="N1844" s="4"/>
      <c r="O1844" s="4">
        <v>1</v>
      </c>
      <c r="P1844" s="4" t="s">
        <v>135</v>
      </c>
      <c r="Q1844" s="4" t="s">
        <v>44</v>
      </c>
      <c r="R1844" s="7">
        <v>610000</v>
      </c>
      <c r="S1844" s="7">
        <v>0</v>
      </c>
      <c r="T1844" s="7">
        <f>R1844-S1844</f>
        <v>0</v>
      </c>
      <c r="U1844" s="7">
        <f>T1844*O1844</f>
        <v>0</v>
      </c>
    </row>
    <row r="1845" spans="1:21">
      <c r="A1845" s="4" t="s">
        <v>2638</v>
      </c>
      <c r="B1845" s="4" t="s">
        <v>39</v>
      </c>
      <c r="C1845" s="5">
        <v>45948.72168981482</v>
      </c>
      <c r="D1845" s="5">
        <v>45948</v>
      </c>
      <c r="E1845" s="6">
        <f>IF(AND(C1845&lt;&gt;"",D1845&lt;&gt;""),D1845-C1845,"")</f>
        <v>0</v>
      </c>
      <c r="F1845" s="4" t="s">
        <v>2639</v>
      </c>
      <c r="G1845" s="4" t="s">
        <v>2640</v>
      </c>
      <c r="H1845" s="4" t="s">
        <v>32</v>
      </c>
      <c r="I1845" s="4" t="s">
        <v>33</v>
      </c>
      <c r="J1845" s="4">
        <v>1</v>
      </c>
      <c r="K1845" s="4">
        <v>0</v>
      </c>
      <c r="L1845" s="4">
        <f>J1845+K1845</f>
        <v>0</v>
      </c>
      <c r="M1845" s="4" t="s">
        <v>80</v>
      </c>
      <c r="N1845" s="4"/>
      <c r="O1845" s="4">
        <v>1</v>
      </c>
      <c r="P1845" s="4" t="s">
        <v>135</v>
      </c>
      <c r="Q1845" s="4" t="s">
        <v>44</v>
      </c>
      <c r="R1845" s="7">
        <v>610000</v>
      </c>
      <c r="S1845" s="7">
        <v>0</v>
      </c>
      <c r="T1845" s="7">
        <f>R1845-S1845</f>
        <v>0</v>
      </c>
      <c r="U1845" s="7">
        <f>T1845*O1845</f>
        <v>0</v>
      </c>
    </row>
    <row r="1846" spans="1:21">
      <c r="A1846" s="4" t="s">
        <v>2641</v>
      </c>
      <c r="B1846" s="4" t="s">
        <v>103</v>
      </c>
      <c r="C1846" s="5">
        <v>45948.72408564815</v>
      </c>
      <c r="D1846" s="5">
        <v>45961</v>
      </c>
      <c r="E1846" s="6">
        <f>IF(AND(C1846&lt;&gt;"",D1846&lt;&gt;""),D1846-C1846,"")</f>
        <v>0</v>
      </c>
      <c r="F1846" s="4" t="s">
        <v>1399</v>
      </c>
      <c r="G1846" s="4" t="s">
        <v>202</v>
      </c>
      <c r="H1846" s="4" t="s">
        <v>32</v>
      </c>
      <c r="I1846" s="4" t="s">
        <v>33</v>
      </c>
      <c r="J1846" s="4">
        <v>2</v>
      </c>
      <c r="K1846" s="4">
        <v>0</v>
      </c>
      <c r="L1846" s="4">
        <f>J1846+K1846</f>
        <v>0</v>
      </c>
      <c r="M1846" s="4"/>
      <c r="N1846" s="4"/>
      <c r="O1846" s="4">
        <v>0</v>
      </c>
      <c r="P1846" s="4"/>
      <c r="Q1846" s="4"/>
      <c r="R1846" s="7">
        <v>0</v>
      </c>
      <c r="S1846" s="7">
        <v>0</v>
      </c>
      <c r="T1846" s="7">
        <f>R1846-S1846</f>
        <v>0</v>
      </c>
      <c r="U1846" s="7">
        <f>T1846*O1846</f>
        <v>0</v>
      </c>
    </row>
    <row r="1847" spans="1:21">
      <c r="A1847" s="4" t="s">
        <v>2642</v>
      </c>
      <c r="B1847" s="4" t="s">
        <v>39</v>
      </c>
      <c r="C1847" s="5">
        <v>45949.13287037037</v>
      </c>
      <c r="D1847" s="5">
        <v>45949</v>
      </c>
      <c r="E1847" s="6">
        <f>IF(AND(C1847&lt;&gt;"",D1847&lt;&gt;""),D1847-C1847,"")</f>
        <v>0</v>
      </c>
      <c r="F1847" s="4" t="s">
        <v>2643</v>
      </c>
      <c r="G1847" s="4" t="s">
        <v>2644</v>
      </c>
      <c r="H1847" s="4" t="s">
        <v>32</v>
      </c>
      <c r="I1847" s="4" t="s">
        <v>33</v>
      </c>
      <c r="J1847" s="4">
        <v>0</v>
      </c>
      <c r="K1847" s="4">
        <v>0</v>
      </c>
      <c r="L1847" s="4">
        <f>J1847+K1847</f>
        <v>0</v>
      </c>
      <c r="M1847" s="4" t="s">
        <v>370</v>
      </c>
      <c r="N1847" s="4"/>
      <c r="O1847" s="4">
        <v>1</v>
      </c>
      <c r="P1847" s="4" t="s">
        <v>135</v>
      </c>
      <c r="Q1847" s="4"/>
      <c r="R1847" s="7">
        <v>5000000</v>
      </c>
      <c r="S1847" s="7">
        <v>0</v>
      </c>
      <c r="T1847" s="7">
        <f>R1847-S1847</f>
        <v>0</v>
      </c>
      <c r="U1847" s="7">
        <f>T1847*O1847</f>
        <v>0</v>
      </c>
    </row>
    <row r="1848" spans="1:21">
      <c r="A1848" s="4" t="s">
        <v>2645</v>
      </c>
      <c r="B1848" s="4" t="s">
        <v>48</v>
      </c>
      <c r="C1848" s="5">
        <v>45949.22658564815</v>
      </c>
      <c r="D1848" s="5">
        <v>45961</v>
      </c>
      <c r="E1848" s="6">
        <f>IF(AND(C1848&lt;&gt;"",D1848&lt;&gt;""),D1848-C1848,"")</f>
        <v>0</v>
      </c>
      <c r="F1848" s="4" t="s">
        <v>2646</v>
      </c>
      <c r="G1848" s="4" t="s">
        <v>2647</v>
      </c>
      <c r="H1848" s="4"/>
      <c r="I1848" s="4" t="s">
        <v>56</v>
      </c>
      <c r="J1848" s="4">
        <v>2</v>
      </c>
      <c r="K1848" s="4">
        <v>0</v>
      </c>
      <c r="L1848" s="4">
        <f>J1848+K1848</f>
        <v>0</v>
      </c>
      <c r="M1848" s="4"/>
      <c r="N1848" s="4"/>
      <c r="O1848" s="4">
        <v>0</v>
      </c>
      <c r="P1848" s="4"/>
      <c r="Q1848" s="4"/>
      <c r="R1848" s="7">
        <v>0</v>
      </c>
      <c r="S1848" s="7">
        <v>0</v>
      </c>
      <c r="T1848" s="7">
        <f>R1848-S1848</f>
        <v>0</v>
      </c>
      <c r="U1848" s="7">
        <f>T1848*O1848</f>
        <v>0</v>
      </c>
    </row>
    <row r="1849" spans="1:21">
      <c r="A1849" s="4" t="s">
        <v>2648</v>
      </c>
      <c r="B1849" s="4" t="s">
        <v>48</v>
      </c>
      <c r="C1849" s="5">
        <v>45949.24841435185</v>
      </c>
      <c r="D1849" s="5">
        <v>45961</v>
      </c>
      <c r="E1849" s="6">
        <f>IF(AND(C1849&lt;&gt;"",D1849&lt;&gt;""),D1849-C1849,"")</f>
        <v>0</v>
      </c>
      <c r="F1849" s="4" t="s">
        <v>2649</v>
      </c>
      <c r="G1849" s="4" t="s">
        <v>2650</v>
      </c>
      <c r="H1849" s="4" t="s">
        <v>32</v>
      </c>
      <c r="I1849" s="4" t="s">
        <v>33</v>
      </c>
      <c r="J1849" s="4">
        <v>2</v>
      </c>
      <c r="K1849" s="4">
        <v>0</v>
      </c>
      <c r="L1849" s="4">
        <f>J1849+K1849</f>
        <v>0</v>
      </c>
      <c r="M1849" s="4"/>
      <c r="N1849" s="4"/>
      <c r="O1849" s="4">
        <v>0</v>
      </c>
      <c r="P1849" s="4"/>
      <c r="Q1849" s="4"/>
      <c r="R1849" s="7">
        <v>0</v>
      </c>
      <c r="S1849" s="7">
        <v>0</v>
      </c>
      <c r="T1849" s="7">
        <f>R1849-S1849</f>
        <v>0</v>
      </c>
      <c r="U1849" s="7">
        <f>T1849*O1849</f>
        <v>0</v>
      </c>
    </row>
    <row r="1850" spans="1:21">
      <c r="A1850" s="4" t="s">
        <v>2651</v>
      </c>
      <c r="B1850" s="4" t="s">
        <v>39</v>
      </c>
      <c r="C1850" s="5">
        <v>45949.25969907407</v>
      </c>
      <c r="D1850" s="5">
        <v>45949</v>
      </c>
      <c r="E1850" s="6">
        <f>IF(AND(C1850&lt;&gt;"",D1850&lt;&gt;""),D1850-C1850,"")</f>
        <v>0</v>
      </c>
      <c r="F1850" s="4" t="s">
        <v>459</v>
      </c>
      <c r="G1850" s="4" t="s">
        <v>2652</v>
      </c>
      <c r="H1850" s="4" t="s">
        <v>32</v>
      </c>
      <c r="I1850" s="4" t="s">
        <v>33</v>
      </c>
      <c r="J1850" s="4">
        <v>0</v>
      </c>
      <c r="K1850" s="4">
        <v>0</v>
      </c>
      <c r="L1850" s="4">
        <f>J1850+K1850</f>
        <v>0</v>
      </c>
      <c r="M1850" s="4" t="s">
        <v>609</v>
      </c>
      <c r="N1850" s="4"/>
      <c r="O1850" s="4">
        <v>1</v>
      </c>
      <c r="P1850" s="4" t="s">
        <v>135</v>
      </c>
      <c r="Q1850" s="4" t="s">
        <v>44</v>
      </c>
      <c r="R1850" s="7">
        <v>30000</v>
      </c>
      <c r="S1850" s="7">
        <v>0</v>
      </c>
      <c r="T1850" s="7">
        <f>R1850-S1850</f>
        <v>0</v>
      </c>
      <c r="U1850" s="7">
        <f>T1850*O1850</f>
        <v>0</v>
      </c>
    </row>
    <row r="1851" spans="1:21">
      <c r="A1851" s="4" t="s">
        <v>2651</v>
      </c>
      <c r="B1851" s="4" t="s">
        <v>39</v>
      </c>
      <c r="C1851" s="5">
        <v>45949.25969907407</v>
      </c>
      <c r="D1851" s="5">
        <v>45949</v>
      </c>
      <c r="E1851" s="6">
        <f>IF(AND(C1851&lt;&gt;"",D1851&lt;&gt;""),D1851-C1851,"")</f>
        <v>0</v>
      </c>
      <c r="F1851" s="4" t="s">
        <v>459</v>
      </c>
      <c r="G1851" s="4" t="s">
        <v>2652</v>
      </c>
      <c r="H1851" s="4" t="s">
        <v>32</v>
      </c>
      <c r="I1851" s="4" t="s">
        <v>33</v>
      </c>
      <c r="J1851" s="4">
        <v>0</v>
      </c>
      <c r="K1851" s="4">
        <v>0</v>
      </c>
      <c r="L1851" s="4">
        <f>J1851+K1851</f>
        <v>0</v>
      </c>
      <c r="M1851" s="4" t="s">
        <v>370</v>
      </c>
      <c r="N1851" s="4"/>
      <c r="O1851" s="4">
        <v>1</v>
      </c>
      <c r="P1851" s="4" t="s">
        <v>135</v>
      </c>
      <c r="Q1851" s="4" t="s">
        <v>44</v>
      </c>
      <c r="R1851" s="7">
        <v>5000000</v>
      </c>
      <c r="S1851" s="7">
        <v>0</v>
      </c>
      <c r="T1851" s="7">
        <f>R1851-S1851</f>
        <v>0</v>
      </c>
      <c r="U1851" s="7">
        <f>T1851*O1851</f>
        <v>0</v>
      </c>
    </row>
    <row r="1852" spans="1:21">
      <c r="A1852" s="4" t="s">
        <v>2653</v>
      </c>
      <c r="B1852" s="4" t="s">
        <v>103</v>
      </c>
      <c r="C1852" s="5">
        <v>45949.27436342592</v>
      </c>
      <c r="D1852" s="5">
        <v>45961</v>
      </c>
      <c r="E1852" s="6">
        <f>IF(AND(C1852&lt;&gt;"",D1852&lt;&gt;""),D1852-C1852,"")</f>
        <v>0</v>
      </c>
      <c r="F1852" s="4" t="s">
        <v>2654</v>
      </c>
      <c r="G1852" s="4" t="s">
        <v>2655</v>
      </c>
      <c r="H1852" s="4" t="s">
        <v>190</v>
      </c>
      <c r="I1852" s="4" t="s">
        <v>56</v>
      </c>
      <c r="J1852" s="4">
        <v>1</v>
      </c>
      <c r="K1852" s="4">
        <v>0</v>
      </c>
      <c r="L1852" s="4">
        <f>J1852+K1852</f>
        <v>0</v>
      </c>
      <c r="M1852" s="4"/>
      <c r="N1852" s="4"/>
      <c r="O1852" s="4">
        <v>0</v>
      </c>
      <c r="P1852" s="4"/>
      <c r="Q1852" s="4"/>
      <c r="R1852" s="7">
        <v>0</v>
      </c>
      <c r="S1852" s="7">
        <v>0</v>
      </c>
      <c r="T1852" s="7">
        <f>R1852-S1852</f>
        <v>0</v>
      </c>
      <c r="U1852" s="7">
        <f>T1852*O1852</f>
        <v>0</v>
      </c>
    </row>
    <row r="1853" spans="1:21">
      <c r="A1853" s="4" t="s">
        <v>2656</v>
      </c>
      <c r="B1853" s="4" t="s">
        <v>39</v>
      </c>
      <c r="C1853" s="5">
        <v>45949.3075</v>
      </c>
      <c r="D1853" s="5">
        <v>45949</v>
      </c>
      <c r="E1853" s="6">
        <f>IF(AND(C1853&lt;&gt;"",D1853&lt;&gt;""),D1853-C1853,"")</f>
        <v>0</v>
      </c>
      <c r="F1853" s="4" t="s">
        <v>2657</v>
      </c>
      <c r="G1853" s="4" t="s">
        <v>2658</v>
      </c>
      <c r="H1853" s="4" t="s">
        <v>32</v>
      </c>
      <c r="I1853" s="4" t="s">
        <v>33</v>
      </c>
      <c r="J1853" s="4">
        <v>0</v>
      </c>
      <c r="K1853" s="4">
        <v>0</v>
      </c>
      <c r="L1853" s="4">
        <f>J1853+K1853</f>
        <v>0</v>
      </c>
      <c r="M1853" s="4" t="s">
        <v>370</v>
      </c>
      <c r="N1853" s="4"/>
      <c r="O1853" s="4">
        <v>1</v>
      </c>
      <c r="P1853" s="4" t="s">
        <v>135</v>
      </c>
      <c r="Q1853" s="4" t="s">
        <v>44</v>
      </c>
      <c r="R1853" s="7">
        <v>6000000</v>
      </c>
      <c r="S1853" s="7">
        <v>0</v>
      </c>
      <c r="T1853" s="7">
        <f>R1853-S1853</f>
        <v>0</v>
      </c>
      <c r="U1853" s="7">
        <f>T1853*O1853</f>
        <v>0</v>
      </c>
    </row>
    <row r="1854" spans="1:21">
      <c r="A1854" s="4" t="s">
        <v>2659</v>
      </c>
      <c r="B1854" s="4" t="s">
        <v>39</v>
      </c>
      <c r="C1854" s="5">
        <v>45949.31804398148</v>
      </c>
      <c r="D1854" s="5">
        <v>45949</v>
      </c>
      <c r="E1854" s="6">
        <f>IF(AND(C1854&lt;&gt;"",D1854&lt;&gt;""),D1854-C1854,"")</f>
        <v>0</v>
      </c>
      <c r="F1854" s="4" t="s">
        <v>2660</v>
      </c>
      <c r="G1854" s="4" t="s">
        <v>2661</v>
      </c>
      <c r="H1854" s="4" t="s">
        <v>32</v>
      </c>
      <c r="I1854" s="4" t="s">
        <v>33</v>
      </c>
      <c r="J1854" s="4">
        <v>0</v>
      </c>
      <c r="K1854" s="4">
        <v>0</v>
      </c>
      <c r="L1854" s="4">
        <f>J1854+K1854</f>
        <v>0</v>
      </c>
      <c r="M1854" s="4" t="s">
        <v>370</v>
      </c>
      <c r="N1854" s="4"/>
      <c r="O1854" s="4">
        <v>1</v>
      </c>
      <c r="P1854" s="4" t="s">
        <v>43</v>
      </c>
      <c r="Q1854" s="4" t="s">
        <v>44</v>
      </c>
      <c r="R1854" s="7">
        <v>5000000</v>
      </c>
      <c r="S1854" s="7">
        <v>0</v>
      </c>
      <c r="T1854" s="7">
        <f>R1854-S1854</f>
        <v>0</v>
      </c>
      <c r="U1854" s="7">
        <f>T1854*O1854</f>
        <v>0</v>
      </c>
    </row>
    <row r="1855" spans="1:21">
      <c r="A1855" s="4" t="s">
        <v>2659</v>
      </c>
      <c r="B1855" s="4" t="s">
        <v>39</v>
      </c>
      <c r="C1855" s="5">
        <v>45949.31804398148</v>
      </c>
      <c r="D1855" s="5">
        <v>45949</v>
      </c>
      <c r="E1855" s="6">
        <f>IF(AND(C1855&lt;&gt;"",D1855&lt;&gt;""),D1855-C1855,"")</f>
        <v>0</v>
      </c>
      <c r="F1855" s="4" t="s">
        <v>2660</v>
      </c>
      <c r="G1855" s="4" t="s">
        <v>2661</v>
      </c>
      <c r="H1855" s="4" t="s">
        <v>32</v>
      </c>
      <c r="I1855" s="4" t="s">
        <v>33</v>
      </c>
      <c r="J1855" s="4">
        <v>0</v>
      </c>
      <c r="K1855" s="4">
        <v>0</v>
      </c>
      <c r="L1855" s="4">
        <f>J1855+K1855</f>
        <v>0</v>
      </c>
      <c r="M1855" s="4" t="s">
        <v>609</v>
      </c>
      <c r="N1855" s="4"/>
      <c r="O1855" s="4">
        <v>2</v>
      </c>
      <c r="P1855" s="4" t="s">
        <v>43</v>
      </c>
      <c r="Q1855" s="4" t="s">
        <v>44</v>
      </c>
      <c r="R1855" s="7">
        <v>30000</v>
      </c>
      <c r="S1855" s="7">
        <v>0</v>
      </c>
      <c r="T1855" s="7">
        <f>R1855-S1855</f>
        <v>0</v>
      </c>
      <c r="U1855" s="7">
        <f>T1855*O1855</f>
        <v>0</v>
      </c>
    </row>
    <row r="1856" spans="1:21">
      <c r="A1856" s="4" t="s">
        <v>2662</v>
      </c>
      <c r="B1856" s="4" t="s">
        <v>39</v>
      </c>
      <c r="C1856" s="5">
        <v>45949.33197916667</v>
      </c>
      <c r="D1856" s="5">
        <v>45949</v>
      </c>
      <c r="E1856" s="6">
        <f>IF(AND(C1856&lt;&gt;"",D1856&lt;&gt;""),D1856-C1856,"")</f>
        <v>0</v>
      </c>
      <c r="F1856" s="4" t="s">
        <v>2663</v>
      </c>
      <c r="G1856" s="4" t="s">
        <v>2664</v>
      </c>
      <c r="H1856" s="4" t="s">
        <v>32</v>
      </c>
      <c r="I1856" s="4" t="s">
        <v>33</v>
      </c>
      <c r="J1856" s="4">
        <v>0</v>
      </c>
      <c r="K1856" s="4">
        <v>0</v>
      </c>
      <c r="L1856" s="4">
        <f>J1856+K1856</f>
        <v>0</v>
      </c>
      <c r="M1856" s="4" t="s">
        <v>609</v>
      </c>
      <c r="N1856" s="4"/>
      <c r="O1856" s="4">
        <v>1</v>
      </c>
      <c r="P1856" s="4" t="s">
        <v>135</v>
      </c>
      <c r="Q1856" s="4" t="s">
        <v>44</v>
      </c>
      <c r="R1856" s="7">
        <v>30000</v>
      </c>
      <c r="S1856" s="7">
        <v>0</v>
      </c>
      <c r="T1856" s="7">
        <f>R1856-S1856</f>
        <v>0</v>
      </c>
      <c r="U1856" s="7">
        <f>T1856*O1856</f>
        <v>0</v>
      </c>
    </row>
    <row r="1857" spans="1:21">
      <c r="A1857" s="4" t="s">
        <v>2662</v>
      </c>
      <c r="B1857" s="4" t="s">
        <v>39</v>
      </c>
      <c r="C1857" s="5">
        <v>45949.33197916667</v>
      </c>
      <c r="D1857" s="5">
        <v>45949</v>
      </c>
      <c r="E1857" s="6">
        <f>IF(AND(C1857&lt;&gt;"",D1857&lt;&gt;""),D1857-C1857,"")</f>
        <v>0</v>
      </c>
      <c r="F1857" s="4" t="s">
        <v>2663</v>
      </c>
      <c r="G1857" s="4" t="s">
        <v>2664</v>
      </c>
      <c r="H1857" s="4" t="s">
        <v>32</v>
      </c>
      <c r="I1857" s="4" t="s">
        <v>33</v>
      </c>
      <c r="J1857" s="4">
        <v>0</v>
      </c>
      <c r="K1857" s="4">
        <v>0</v>
      </c>
      <c r="L1857" s="4">
        <f>J1857+K1857</f>
        <v>0</v>
      </c>
      <c r="M1857" s="4" t="s">
        <v>370</v>
      </c>
      <c r="N1857" s="4"/>
      <c r="O1857" s="4">
        <v>1</v>
      </c>
      <c r="P1857" s="4" t="s">
        <v>135</v>
      </c>
      <c r="Q1857" s="4" t="s">
        <v>44</v>
      </c>
      <c r="R1857" s="7">
        <v>6000000</v>
      </c>
      <c r="S1857" s="7">
        <v>0</v>
      </c>
      <c r="T1857" s="7">
        <f>R1857-S1857</f>
        <v>0</v>
      </c>
      <c r="U1857" s="7">
        <f>T1857*O1857</f>
        <v>0</v>
      </c>
    </row>
    <row r="1858" spans="1:21">
      <c r="A1858" s="4" t="s">
        <v>2665</v>
      </c>
      <c r="B1858" s="4" t="s">
        <v>39</v>
      </c>
      <c r="C1858" s="5">
        <v>45949.33502314815</v>
      </c>
      <c r="D1858" s="5">
        <v>45949</v>
      </c>
      <c r="E1858" s="6">
        <f>IF(AND(C1858&lt;&gt;"",D1858&lt;&gt;""),D1858-C1858,"")</f>
        <v>0</v>
      </c>
      <c r="F1858" s="4" t="s">
        <v>2666</v>
      </c>
      <c r="G1858" s="4" t="s">
        <v>2667</v>
      </c>
      <c r="H1858" s="4" t="s">
        <v>32</v>
      </c>
      <c r="I1858" s="4" t="s">
        <v>33</v>
      </c>
      <c r="J1858" s="4">
        <v>0</v>
      </c>
      <c r="K1858" s="4">
        <v>0</v>
      </c>
      <c r="L1858" s="4">
        <f>J1858+K1858</f>
        <v>0</v>
      </c>
      <c r="M1858" s="4" t="s">
        <v>370</v>
      </c>
      <c r="N1858" s="4"/>
      <c r="O1858" s="4">
        <v>1</v>
      </c>
      <c r="P1858" s="4" t="s">
        <v>135</v>
      </c>
      <c r="Q1858" s="4" t="s">
        <v>44</v>
      </c>
      <c r="R1858" s="7">
        <v>4000000</v>
      </c>
      <c r="S1858" s="7">
        <v>0</v>
      </c>
      <c r="T1858" s="7">
        <f>R1858-S1858</f>
        <v>0</v>
      </c>
      <c r="U1858" s="7">
        <f>T1858*O1858</f>
        <v>0</v>
      </c>
    </row>
    <row r="1859" spans="1:21">
      <c r="A1859" s="4" t="s">
        <v>2665</v>
      </c>
      <c r="B1859" s="4" t="s">
        <v>39</v>
      </c>
      <c r="C1859" s="5">
        <v>45949.33502314815</v>
      </c>
      <c r="D1859" s="5">
        <v>45949</v>
      </c>
      <c r="E1859" s="6">
        <f>IF(AND(C1859&lt;&gt;"",D1859&lt;&gt;""),D1859-C1859,"")</f>
        <v>0</v>
      </c>
      <c r="F1859" s="4" t="s">
        <v>2666</v>
      </c>
      <c r="G1859" s="4" t="s">
        <v>2667</v>
      </c>
      <c r="H1859" s="4" t="s">
        <v>32</v>
      </c>
      <c r="I1859" s="4" t="s">
        <v>33</v>
      </c>
      <c r="J1859" s="4">
        <v>0</v>
      </c>
      <c r="K1859" s="4">
        <v>0</v>
      </c>
      <c r="L1859" s="4">
        <f>J1859+K1859</f>
        <v>0</v>
      </c>
      <c r="M1859" s="4" t="s">
        <v>609</v>
      </c>
      <c r="N1859" s="4"/>
      <c r="O1859" s="4">
        <v>2</v>
      </c>
      <c r="P1859" s="4" t="s">
        <v>135</v>
      </c>
      <c r="Q1859" s="4" t="s">
        <v>44</v>
      </c>
      <c r="R1859" s="7">
        <v>30000</v>
      </c>
      <c r="S1859" s="7">
        <v>0</v>
      </c>
      <c r="T1859" s="7">
        <f>R1859-S1859</f>
        <v>0</v>
      </c>
      <c r="U1859" s="7">
        <f>T1859*O1859</f>
        <v>0</v>
      </c>
    </row>
    <row r="1860" spans="1:21">
      <c r="A1860" s="4" t="s">
        <v>2668</v>
      </c>
      <c r="B1860" s="4" t="s">
        <v>39</v>
      </c>
      <c r="C1860" s="5">
        <v>45949.34443287037</v>
      </c>
      <c r="D1860" s="5">
        <v>45949</v>
      </c>
      <c r="E1860" s="6">
        <f>IF(AND(C1860&lt;&gt;"",D1860&lt;&gt;""),D1860-C1860,"")</f>
        <v>0</v>
      </c>
      <c r="F1860" s="4" t="s">
        <v>2669</v>
      </c>
      <c r="G1860" s="4" t="s">
        <v>2670</v>
      </c>
      <c r="H1860" s="4" t="s">
        <v>32</v>
      </c>
      <c r="I1860" s="4" t="s">
        <v>33</v>
      </c>
      <c r="J1860" s="4">
        <v>0</v>
      </c>
      <c r="K1860" s="4">
        <v>0</v>
      </c>
      <c r="L1860" s="4">
        <f>J1860+K1860</f>
        <v>0</v>
      </c>
      <c r="M1860" s="4" t="s">
        <v>370</v>
      </c>
      <c r="N1860" s="4"/>
      <c r="O1860" s="4">
        <v>1</v>
      </c>
      <c r="P1860" s="4" t="s">
        <v>135</v>
      </c>
      <c r="Q1860" s="4" t="s">
        <v>44</v>
      </c>
      <c r="R1860" s="7">
        <v>6000000</v>
      </c>
      <c r="S1860" s="7">
        <v>0</v>
      </c>
      <c r="T1860" s="7">
        <f>R1860-S1860</f>
        <v>0</v>
      </c>
      <c r="U1860" s="7">
        <f>T1860*O1860</f>
        <v>0</v>
      </c>
    </row>
    <row r="1861" spans="1:21">
      <c r="A1861" s="4" t="s">
        <v>2668</v>
      </c>
      <c r="B1861" s="4" t="s">
        <v>39</v>
      </c>
      <c r="C1861" s="5">
        <v>45949.34443287037</v>
      </c>
      <c r="D1861" s="5">
        <v>45949</v>
      </c>
      <c r="E1861" s="6">
        <f>IF(AND(C1861&lt;&gt;"",D1861&lt;&gt;""),D1861-C1861,"")</f>
        <v>0</v>
      </c>
      <c r="F1861" s="4" t="s">
        <v>2669</v>
      </c>
      <c r="G1861" s="4" t="s">
        <v>2670</v>
      </c>
      <c r="H1861" s="4" t="s">
        <v>32</v>
      </c>
      <c r="I1861" s="4" t="s">
        <v>33</v>
      </c>
      <c r="J1861" s="4">
        <v>0</v>
      </c>
      <c r="K1861" s="4">
        <v>0</v>
      </c>
      <c r="L1861" s="4">
        <f>J1861+K1861</f>
        <v>0</v>
      </c>
      <c r="M1861" s="4" t="s">
        <v>609</v>
      </c>
      <c r="N1861" s="4"/>
      <c r="O1861" s="4">
        <v>2</v>
      </c>
      <c r="P1861" s="4" t="s">
        <v>135</v>
      </c>
      <c r="Q1861" s="4" t="s">
        <v>44</v>
      </c>
      <c r="R1861" s="7">
        <v>30000</v>
      </c>
      <c r="S1861" s="7">
        <v>0</v>
      </c>
      <c r="T1861" s="7">
        <f>R1861-S1861</f>
        <v>0</v>
      </c>
      <c r="U1861" s="7">
        <f>T1861*O1861</f>
        <v>0</v>
      </c>
    </row>
    <row r="1862" spans="1:21">
      <c r="A1862" s="4" t="s">
        <v>2671</v>
      </c>
      <c r="B1862" s="4" t="s">
        <v>39</v>
      </c>
      <c r="C1862" s="5">
        <v>45949.34628472223</v>
      </c>
      <c r="D1862" s="5">
        <v>45949</v>
      </c>
      <c r="E1862" s="6">
        <f>IF(AND(C1862&lt;&gt;"",D1862&lt;&gt;""),D1862-C1862,"")</f>
        <v>0</v>
      </c>
      <c r="F1862" s="4" t="s">
        <v>2672</v>
      </c>
      <c r="G1862" s="4" t="s">
        <v>2673</v>
      </c>
      <c r="H1862" s="4" t="s">
        <v>32</v>
      </c>
      <c r="I1862" s="4" t="s">
        <v>33</v>
      </c>
      <c r="J1862" s="4">
        <v>0</v>
      </c>
      <c r="K1862" s="4">
        <v>0</v>
      </c>
      <c r="L1862" s="4">
        <f>J1862+K1862</f>
        <v>0</v>
      </c>
      <c r="M1862" s="4" t="s">
        <v>370</v>
      </c>
      <c r="N1862" s="4"/>
      <c r="O1862" s="4">
        <v>1</v>
      </c>
      <c r="P1862" s="4" t="s">
        <v>135</v>
      </c>
      <c r="Q1862" s="4" t="s">
        <v>44</v>
      </c>
      <c r="R1862" s="7">
        <v>1000000</v>
      </c>
      <c r="S1862" s="7">
        <v>0</v>
      </c>
      <c r="T1862" s="7">
        <f>R1862-S1862</f>
        <v>0</v>
      </c>
      <c r="U1862" s="7">
        <f>T1862*O1862</f>
        <v>0</v>
      </c>
    </row>
    <row r="1863" spans="1:21">
      <c r="A1863" s="4" t="s">
        <v>2671</v>
      </c>
      <c r="B1863" s="4" t="s">
        <v>39</v>
      </c>
      <c r="C1863" s="5">
        <v>45949.34628472223</v>
      </c>
      <c r="D1863" s="5">
        <v>45949</v>
      </c>
      <c r="E1863" s="6">
        <f>IF(AND(C1863&lt;&gt;"",D1863&lt;&gt;""),D1863-C1863,"")</f>
        <v>0</v>
      </c>
      <c r="F1863" s="4" t="s">
        <v>2672</v>
      </c>
      <c r="G1863" s="4" t="s">
        <v>2673</v>
      </c>
      <c r="H1863" s="4" t="s">
        <v>32</v>
      </c>
      <c r="I1863" s="4" t="s">
        <v>33</v>
      </c>
      <c r="J1863" s="4">
        <v>0</v>
      </c>
      <c r="K1863" s="4">
        <v>0</v>
      </c>
      <c r="L1863" s="4">
        <f>J1863+K1863</f>
        <v>0</v>
      </c>
      <c r="M1863" s="4" t="s">
        <v>609</v>
      </c>
      <c r="N1863" s="4"/>
      <c r="O1863" s="4">
        <v>2</v>
      </c>
      <c r="P1863" s="4" t="s">
        <v>135</v>
      </c>
      <c r="Q1863" s="4" t="s">
        <v>44</v>
      </c>
      <c r="R1863" s="7">
        <v>30000</v>
      </c>
      <c r="S1863" s="7">
        <v>0</v>
      </c>
      <c r="T1863" s="7">
        <f>R1863-S1863</f>
        <v>0</v>
      </c>
      <c r="U1863" s="7">
        <f>T1863*O1863</f>
        <v>0</v>
      </c>
    </row>
    <row r="1864" spans="1:21">
      <c r="A1864" s="4" t="s">
        <v>2674</v>
      </c>
      <c r="B1864" s="4" t="s">
        <v>39</v>
      </c>
      <c r="C1864" s="5">
        <v>45949.35311342592</v>
      </c>
      <c r="D1864" s="5">
        <v>45949</v>
      </c>
      <c r="E1864" s="6">
        <f>IF(AND(C1864&lt;&gt;"",D1864&lt;&gt;""),D1864-C1864,"")</f>
        <v>0</v>
      </c>
      <c r="F1864" s="4" t="s">
        <v>2675</v>
      </c>
      <c r="G1864" s="4" t="s">
        <v>2676</v>
      </c>
      <c r="H1864" s="4" t="s">
        <v>32</v>
      </c>
      <c r="I1864" s="4" t="s">
        <v>33</v>
      </c>
      <c r="J1864" s="4">
        <v>0</v>
      </c>
      <c r="K1864" s="4">
        <v>0</v>
      </c>
      <c r="L1864" s="4">
        <f>J1864+K1864</f>
        <v>0</v>
      </c>
      <c r="M1864" s="4" t="s">
        <v>247</v>
      </c>
      <c r="N1864" s="4"/>
      <c r="O1864" s="4">
        <v>1</v>
      </c>
      <c r="P1864" s="4" t="s">
        <v>43</v>
      </c>
      <c r="Q1864" s="4" t="s">
        <v>44</v>
      </c>
      <c r="R1864" s="7">
        <v>55000</v>
      </c>
      <c r="S1864" s="7">
        <v>0</v>
      </c>
      <c r="T1864" s="7">
        <f>R1864-S1864</f>
        <v>0</v>
      </c>
      <c r="U1864" s="7">
        <f>T1864*O1864</f>
        <v>0</v>
      </c>
    </row>
    <row r="1865" spans="1:21">
      <c r="A1865" s="4" t="s">
        <v>2674</v>
      </c>
      <c r="B1865" s="4" t="s">
        <v>39</v>
      </c>
      <c r="C1865" s="5">
        <v>45949.35311342592</v>
      </c>
      <c r="D1865" s="5">
        <v>45949</v>
      </c>
      <c r="E1865" s="6">
        <f>IF(AND(C1865&lt;&gt;"",D1865&lt;&gt;""),D1865-C1865,"")</f>
        <v>0</v>
      </c>
      <c r="F1865" s="4" t="s">
        <v>2675</v>
      </c>
      <c r="G1865" s="4" t="s">
        <v>2676</v>
      </c>
      <c r="H1865" s="4" t="s">
        <v>32</v>
      </c>
      <c r="I1865" s="4" t="s">
        <v>33</v>
      </c>
      <c r="J1865" s="4">
        <v>0</v>
      </c>
      <c r="K1865" s="4">
        <v>0</v>
      </c>
      <c r="L1865" s="4">
        <f>J1865+K1865</f>
        <v>0</v>
      </c>
      <c r="M1865" s="4" t="s">
        <v>609</v>
      </c>
      <c r="N1865" s="4"/>
      <c r="O1865" s="4">
        <v>2</v>
      </c>
      <c r="P1865" s="4" t="s">
        <v>43</v>
      </c>
      <c r="Q1865" s="4" t="s">
        <v>44</v>
      </c>
      <c r="R1865" s="7">
        <v>30000</v>
      </c>
      <c r="S1865" s="7">
        <v>0</v>
      </c>
      <c r="T1865" s="7">
        <f>R1865-S1865</f>
        <v>0</v>
      </c>
      <c r="U1865" s="7">
        <f>T1865*O1865</f>
        <v>0</v>
      </c>
    </row>
    <row r="1866" spans="1:21">
      <c r="A1866" s="4" t="s">
        <v>2674</v>
      </c>
      <c r="B1866" s="4" t="s">
        <v>39</v>
      </c>
      <c r="C1866" s="5">
        <v>45949.35311342592</v>
      </c>
      <c r="D1866" s="5">
        <v>45949</v>
      </c>
      <c r="E1866" s="6">
        <f>IF(AND(C1866&lt;&gt;"",D1866&lt;&gt;""),D1866-C1866,"")</f>
        <v>0</v>
      </c>
      <c r="F1866" s="4" t="s">
        <v>2675</v>
      </c>
      <c r="G1866" s="4" t="s">
        <v>2676</v>
      </c>
      <c r="H1866" s="4" t="s">
        <v>32</v>
      </c>
      <c r="I1866" s="4" t="s">
        <v>33</v>
      </c>
      <c r="J1866" s="4">
        <v>0</v>
      </c>
      <c r="K1866" s="4">
        <v>0</v>
      </c>
      <c r="L1866" s="4">
        <f>J1866+K1866</f>
        <v>0</v>
      </c>
      <c r="M1866" s="4" t="s">
        <v>370</v>
      </c>
      <c r="N1866" s="4"/>
      <c r="O1866" s="4">
        <v>1</v>
      </c>
      <c r="P1866" s="4" t="s">
        <v>43</v>
      </c>
      <c r="Q1866" s="4" t="s">
        <v>44</v>
      </c>
      <c r="R1866" s="7">
        <v>5000000</v>
      </c>
      <c r="S1866" s="7">
        <v>0</v>
      </c>
      <c r="T1866" s="7">
        <f>R1866-S1866</f>
        <v>0</v>
      </c>
      <c r="U1866" s="7">
        <f>T1866*O1866</f>
        <v>0</v>
      </c>
    </row>
    <row r="1867" spans="1:21">
      <c r="A1867" s="4" t="s">
        <v>2674</v>
      </c>
      <c r="B1867" s="4" t="s">
        <v>39</v>
      </c>
      <c r="C1867" s="5">
        <v>45949.35311342592</v>
      </c>
      <c r="D1867" s="5">
        <v>45949</v>
      </c>
      <c r="E1867" s="6">
        <f>IF(AND(C1867&lt;&gt;"",D1867&lt;&gt;""),D1867-C1867,"")</f>
        <v>0</v>
      </c>
      <c r="F1867" s="4" t="s">
        <v>2675</v>
      </c>
      <c r="G1867" s="4" t="s">
        <v>2676</v>
      </c>
      <c r="H1867" s="4" t="s">
        <v>32</v>
      </c>
      <c r="I1867" s="4" t="s">
        <v>33</v>
      </c>
      <c r="J1867" s="4">
        <v>0</v>
      </c>
      <c r="K1867" s="4">
        <v>0</v>
      </c>
      <c r="L1867" s="4">
        <f>J1867+K1867</f>
        <v>0</v>
      </c>
      <c r="M1867" s="4" t="s">
        <v>247</v>
      </c>
      <c r="N1867" s="4"/>
      <c r="O1867" s="4">
        <v>1</v>
      </c>
      <c r="P1867" s="4" t="s">
        <v>43</v>
      </c>
      <c r="Q1867" s="4" t="s">
        <v>44</v>
      </c>
      <c r="R1867" s="7">
        <v>55000</v>
      </c>
      <c r="S1867" s="7">
        <v>0</v>
      </c>
      <c r="T1867" s="7">
        <f>R1867-S1867</f>
        <v>0</v>
      </c>
      <c r="U1867" s="7">
        <f>T1867*O1867</f>
        <v>0</v>
      </c>
    </row>
    <row r="1868" spans="1:21">
      <c r="A1868" s="4" t="s">
        <v>2677</v>
      </c>
      <c r="B1868" s="4" t="s">
        <v>48</v>
      </c>
      <c r="C1868" s="5">
        <v>45949.3599537037</v>
      </c>
      <c r="D1868" s="5">
        <v>45961</v>
      </c>
      <c r="E1868" s="6">
        <f>IF(AND(C1868&lt;&gt;"",D1868&lt;&gt;""),D1868-C1868,"")</f>
        <v>0</v>
      </c>
      <c r="F1868" s="4" t="s">
        <v>2511</v>
      </c>
      <c r="G1868" s="4" t="s">
        <v>2678</v>
      </c>
      <c r="H1868" s="4" t="s">
        <v>32</v>
      </c>
      <c r="I1868" s="4" t="s">
        <v>33</v>
      </c>
      <c r="J1868" s="4">
        <v>3</v>
      </c>
      <c r="K1868" s="4">
        <v>0</v>
      </c>
      <c r="L1868" s="4">
        <f>J1868+K1868</f>
        <v>0</v>
      </c>
      <c r="M1868" s="4"/>
      <c r="N1868" s="4"/>
      <c r="O1868" s="4">
        <v>0</v>
      </c>
      <c r="P1868" s="4"/>
      <c r="Q1868" s="4"/>
      <c r="R1868" s="7">
        <v>0</v>
      </c>
      <c r="S1868" s="7">
        <v>0</v>
      </c>
      <c r="T1868" s="7">
        <f>R1868-S1868</f>
        <v>0</v>
      </c>
      <c r="U1868" s="7">
        <f>T1868*O1868</f>
        <v>0</v>
      </c>
    </row>
    <row r="1869" spans="1:21">
      <c r="A1869" s="4" t="s">
        <v>2679</v>
      </c>
      <c r="B1869" s="4" t="s">
        <v>103</v>
      </c>
      <c r="C1869" s="5">
        <v>45949.39957175926</v>
      </c>
      <c r="D1869" s="5">
        <v>45961</v>
      </c>
      <c r="E1869" s="6">
        <f>IF(AND(C1869&lt;&gt;"",D1869&lt;&gt;""),D1869-C1869,"")</f>
        <v>0</v>
      </c>
      <c r="F1869" s="4" t="s">
        <v>459</v>
      </c>
      <c r="G1869" s="4" t="s">
        <v>2680</v>
      </c>
      <c r="H1869" s="4" t="s">
        <v>190</v>
      </c>
      <c r="I1869" s="4" t="s">
        <v>56</v>
      </c>
      <c r="J1869" s="4">
        <v>1</v>
      </c>
      <c r="K1869" s="4">
        <v>0</v>
      </c>
      <c r="L1869" s="4">
        <f>J1869+K1869</f>
        <v>0</v>
      </c>
      <c r="M1869" s="4"/>
      <c r="N1869" s="4"/>
      <c r="O1869" s="4">
        <v>0</v>
      </c>
      <c r="P1869" s="4"/>
      <c r="Q1869" s="4"/>
      <c r="R1869" s="7">
        <v>0</v>
      </c>
      <c r="S1869" s="7">
        <v>0</v>
      </c>
      <c r="T1869" s="7">
        <f>R1869-S1869</f>
        <v>0</v>
      </c>
      <c r="U1869" s="7">
        <f>T1869*O1869</f>
        <v>0</v>
      </c>
    </row>
    <row r="1870" spans="1:21">
      <c r="A1870" s="4" t="s">
        <v>2681</v>
      </c>
      <c r="B1870" s="4" t="s">
        <v>39</v>
      </c>
      <c r="C1870" s="5">
        <v>45949.40557870371</v>
      </c>
      <c r="D1870" s="5">
        <v>45949</v>
      </c>
      <c r="E1870" s="6">
        <f>IF(AND(C1870&lt;&gt;"",D1870&lt;&gt;""),D1870-C1870,"")</f>
        <v>0</v>
      </c>
      <c r="F1870" s="4" t="s">
        <v>2682</v>
      </c>
      <c r="G1870" s="4" t="s">
        <v>2683</v>
      </c>
      <c r="H1870" s="4" t="s">
        <v>32</v>
      </c>
      <c r="I1870" s="4" t="s">
        <v>33</v>
      </c>
      <c r="J1870" s="4">
        <v>0</v>
      </c>
      <c r="K1870" s="4">
        <v>0</v>
      </c>
      <c r="L1870" s="4">
        <f>J1870+K1870</f>
        <v>0</v>
      </c>
      <c r="M1870" s="4" t="s">
        <v>370</v>
      </c>
      <c r="N1870" s="4"/>
      <c r="O1870" s="4">
        <v>1</v>
      </c>
      <c r="P1870" s="4" t="s">
        <v>135</v>
      </c>
      <c r="Q1870" s="4" t="s">
        <v>44</v>
      </c>
      <c r="R1870" s="7">
        <v>6000000</v>
      </c>
      <c r="S1870" s="7">
        <v>0</v>
      </c>
      <c r="T1870" s="7">
        <f>R1870-S1870</f>
        <v>0</v>
      </c>
      <c r="U1870" s="7">
        <f>T1870*O1870</f>
        <v>0</v>
      </c>
    </row>
    <row r="1871" spans="1:21">
      <c r="A1871" s="4" t="s">
        <v>2684</v>
      </c>
      <c r="B1871" s="4" t="s">
        <v>39</v>
      </c>
      <c r="C1871" s="5">
        <v>45949.42130787037</v>
      </c>
      <c r="D1871" s="5">
        <v>45949</v>
      </c>
      <c r="E1871" s="6">
        <f>IF(AND(C1871&lt;&gt;"",D1871&lt;&gt;""),D1871-C1871,"")</f>
        <v>0</v>
      </c>
      <c r="F1871" s="4" t="s">
        <v>2685</v>
      </c>
      <c r="G1871" s="4" t="s">
        <v>2686</v>
      </c>
      <c r="H1871" s="4" t="s">
        <v>32</v>
      </c>
      <c r="I1871" s="4" t="s">
        <v>33</v>
      </c>
      <c r="J1871" s="4">
        <v>0</v>
      </c>
      <c r="K1871" s="4">
        <v>0</v>
      </c>
      <c r="L1871" s="4">
        <f>J1871+K1871</f>
        <v>0</v>
      </c>
      <c r="M1871" s="4" t="s">
        <v>370</v>
      </c>
      <c r="N1871" s="4"/>
      <c r="O1871" s="4">
        <v>1</v>
      </c>
      <c r="P1871" s="4" t="s">
        <v>135</v>
      </c>
      <c r="Q1871" s="4"/>
      <c r="R1871" s="7">
        <v>6000000</v>
      </c>
      <c r="S1871" s="7">
        <v>0</v>
      </c>
      <c r="T1871" s="7">
        <f>R1871-S1871</f>
        <v>0</v>
      </c>
      <c r="U1871" s="7">
        <f>T1871*O1871</f>
        <v>0</v>
      </c>
    </row>
    <row r="1872" spans="1:21">
      <c r="A1872" s="4" t="s">
        <v>2687</v>
      </c>
      <c r="B1872" s="4" t="s">
        <v>39</v>
      </c>
      <c r="C1872" s="5">
        <v>45949.43128472222</v>
      </c>
      <c r="D1872" s="5">
        <v>45949</v>
      </c>
      <c r="E1872" s="6">
        <f>IF(AND(C1872&lt;&gt;"",D1872&lt;&gt;""),D1872-C1872,"")</f>
        <v>0</v>
      </c>
      <c r="F1872" s="4" t="s">
        <v>2688</v>
      </c>
      <c r="G1872" s="4" t="s">
        <v>2689</v>
      </c>
      <c r="H1872" s="4" t="s">
        <v>32</v>
      </c>
      <c r="I1872" s="4" t="s">
        <v>33</v>
      </c>
      <c r="J1872" s="4">
        <v>0</v>
      </c>
      <c r="K1872" s="4">
        <v>0</v>
      </c>
      <c r="L1872" s="4">
        <f>J1872+K1872</f>
        <v>0</v>
      </c>
      <c r="M1872" s="4" t="s">
        <v>370</v>
      </c>
      <c r="N1872" s="4"/>
      <c r="O1872" s="4">
        <v>1</v>
      </c>
      <c r="P1872" s="4" t="s">
        <v>135</v>
      </c>
      <c r="Q1872" s="4"/>
      <c r="R1872" s="7">
        <v>5000000</v>
      </c>
      <c r="S1872" s="7">
        <v>0</v>
      </c>
      <c r="T1872" s="7">
        <f>R1872-S1872</f>
        <v>0</v>
      </c>
      <c r="U1872" s="7">
        <f>T1872*O1872</f>
        <v>0</v>
      </c>
    </row>
    <row r="1873" spans="1:21">
      <c r="A1873" s="4" t="s">
        <v>2690</v>
      </c>
      <c r="B1873" s="4" t="s">
        <v>39</v>
      </c>
      <c r="C1873" s="5">
        <v>45949.43665509259</v>
      </c>
      <c r="D1873" s="5">
        <v>45949</v>
      </c>
      <c r="E1873" s="6">
        <f>IF(AND(C1873&lt;&gt;"",D1873&lt;&gt;""),D1873-C1873,"")</f>
        <v>0</v>
      </c>
      <c r="F1873" s="4" t="s">
        <v>2691</v>
      </c>
      <c r="G1873" s="4" t="s">
        <v>2692</v>
      </c>
      <c r="H1873" s="4" t="s">
        <v>32</v>
      </c>
      <c r="I1873" s="4" t="s">
        <v>33</v>
      </c>
      <c r="J1873" s="4">
        <v>0</v>
      </c>
      <c r="K1873" s="4">
        <v>0</v>
      </c>
      <c r="L1873" s="4">
        <f>J1873+K1873</f>
        <v>0</v>
      </c>
      <c r="M1873" s="4" t="s">
        <v>370</v>
      </c>
      <c r="N1873" s="4"/>
      <c r="O1873" s="4">
        <v>1</v>
      </c>
      <c r="P1873" s="4" t="s">
        <v>135</v>
      </c>
      <c r="Q1873" s="4"/>
      <c r="R1873" s="7">
        <v>5000000</v>
      </c>
      <c r="S1873" s="7">
        <v>0</v>
      </c>
      <c r="T1873" s="7">
        <f>R1873-S1873</f>
        <v>0</v>
      </c>
      <c r="U1873" s="7">
        <f>T1873*O1873</f>
        <v>0</v>
      </c>
    </row>
    <row r="1874" spans="1:21">
      <c r="A1874" s="4" t="s">
        <v>2693</v>
      </c>
      <c r="B1874" s="4" t="s">
        <v>39</v>
      </c>
      <c r="C1874" s="5">
        <v>45949.44290509259</v>
      </c>
      <c r="D1874" s="5">
        <v>45949</v>
      </c>
      <c r="E1874" s="6">
        <f>IF(AND(C1874&lt;&gt;"",D1874&lt;&gt;""),D1874-C1874,"")</f>
        <v>0</v>
      </c>
      <c r="F1874" s="4" t="s">
        <v>2694</v>
      </c>
      <c r="G1874" s="4" t="s">
        <v>2695</v>
      </c>
      <c r="H1874" s="4" t="s">
        <v>32</v>
      </c>
      <c r="I1874" s="4" t="s">
        <v>33</v>
      </c>
      <c r="J1874" s="4">
        <v>0</v>
      </c>
      <c r="K1874" s="4">
        <v>0</v>
      </c>
      <c r="L1874" s="4">
        <f>J1874+K1874</f>
        <v>0</v>
      </c>
      <c r="M1874" s="4" t="s">
        <v>370</v>
      </c>
      <c r="N1874" s="4"/>
      <c r="O1874" s="4">
        <v>1</v>
      </c>
      <c r="P1874" s="4" t="s">
        <v>135</v>
      </c>
      <c r="Q1874" s="4"/>
      <c r="R1874" s="7">
        <v>4500000</v>
      </c>
      <c r="S1874" s="7">
        <v>0</v>
      </c>
      <c r="T1874" s="7">
        <f>R1874-S1874</f>
        <v>0</v>
      </c>
      <c r="U1874" s="7">
        <f>T1874*O1874</f>
        <v>0</v>
      </c>
    </row>
    <row r="1875" spans="1:21">
      <c r="A1875" s="4" t="s">
        <v>2696</v>
      </c>
      <c r="B1875" s="4" t="s">
        <v>39</v>
      </c>
      <c r="C1875" s="5">
        <v>45949.44892361111</v>
      </c>
      <c r="D1875" s="5">
        <v>45949</v>
      </c>
      <c r="E1875" s="6">
        <f>IF(AND(C1875&lt;&gt;"",D1875&lt;&gt;""),D1875-C1875,"")</f>
        <v>0</v>
      </c>
      <c r="F1875" s="4" t="s">
        <v>2697</v>
      </c>
      <c r="G1875" s="4" t="s">
        <v>2698</v>
      </c>
      <c r="H1875" s="4" t="s">
        <v>32</v>
      </c>
      <c r="I1875" s="4" t="s">
        <v>33</v>
      </c>
      <c r="J1875" s="4">
        <v>0</v>
      </c>
      <c r="K1875" s="4">
        <v>0</v>
      </c>
      <c r="L1875" s="4">
        <f>J1875+K1875</f>
        <v>0</v>
      </c>
      <c r="M1875" s="4" t="s">
        <v>370</v>
      </c>
      <c r="N1875" s="4"/>
      <c r="O1875" s="4">
        <v>1</v>
      </c>
      <c r="P1875" s="4" t="s">
        <v>135</v>
      </c>
      <c r="Q1875" s="4"/>
      <c r="R1875" s="7">
        <v>4000000</v>
      </c>
      <c r="S1875" s="7">
        <v>0</v>
      </c>
      <c r="T1875" s="7">
        <f>R1875-S1875</f>
        <v>0</v>
      </c>
      <c r="U1875" s="7">
        <f>T1875*O1875</f>
        <v>0</v>
      </c>
    </row>
    <row r="1876" spans="1:21">
      <c r="A1876" s="4" t="s">
        <v>2696</v>
      </c>
      <c r="B1876" s="4" t="s">
        <v>39</v>
      </c>
      <c r="C1876" s="5">
        <v>45949.44892361111</v>
      </c>
      <c r="D1876" s="5">
        <v>45949</v>
      </c>
      <c r="E1876" s="6">
        <f>IF(AND(C1876&lt;&gt;"",D1876&lt;&gt;""),D1876-C1876,"")</f>
        <v>0</v>
      </c>
      <c r="F1876" s="4" t="s">
        <v>2697</v>
      </c>
      <c r="G1876" s="4" t="s">
        <v>2698</v>
      </c>
      <c r="H1876" s="4" t="s">
        <v>32</v>
      </c>
      <c r="I1876" s="4" t="s">
        <v>33</v>
      </c>
      <c r="J1876" s="4">
        <v>0</v>
      </c>
      <c r="K1876" s="4">
        <v>0</v>
      </c>
      <c r="L1876" s="4">
        <f>J1876+K1876</f>
        <v>0</v>
      </c>
      <c r="M1876" s="4" t="s">
        <v>2699</v>
      </c>
      <c r="N1876" s="4"/>
      <c r="O1876" s="4">
        <v>1</v>
      </c>
      <c r="P1876" s="4" t="s">
        <v>135</v>
      </c>
      <c r="Q1876" s="4"/>
      <c r="R1876" s="7">
        <v>1250000</v>
      </c>
      <c r="S1876" s="7">
        <v>0</v>
      </c>
      <c r="T1876" s="7">
        <f>R1876-S1876</f>
        <v>0</v>
      </c>
      <c r="U1876" s="7">
        <f>T1876*O1876</f>
        <v>0</v>
      </c>
    </row>
    <row r="1877" spans="1:21">
      <c r="A1877" s="4" t="s">
        <v>2700</v>
      </c>
      <c r="B1877" s="4" t="s">
        <v>39</v>
      </c>
      <c r="C1877" s="5">
        <v>45949.4522337963</v>
      </c>
      <c r="D1877" s="5">
        <v>45949</v>
      </c>
      <c r="E1877" s="6">
        <f>IF(AND(C1877&lt;&gt;"",D1877&lt;&gt;""),D1877-C1877,"")</f>
        <v>0</v>
      </c>
      <c r="F1877" s="4" t="s">
        <v>2701</v>
      </c>
      <c r="G1877" s="4" t="s">
        <v>2702</v>
      </c>
      <c r="H1877" s="4" t="s">
        <v>32</v>
      </c>
      <c r="I1877" s="4" t="s">
        <v>33</v>
      </c>
      <c r="J1877" s="4">
        <v>0</v>
      </c>
      <c r="K1877" s="4">
        <v>0</v>
      </c>
      <c r="L1877" s="4">
        <f>J1877+K1877</f>
        <v>0</v>
      </c>
      <c r="M1877" s="4" t="s">
        <v>247</v>
      </c>
      <c r="N1877" s="4"/>
      <c r="O1877" s="4">
        <v>1</v>
      </c>
      <c r="P1877" s="4" t="s">
        <v>135</v>
      </c>
      <c r="Q1877" s="4"/>
      <c r="R1877" s="7">
        <v>55000</v>
      </c>
      <c r="S1877" s="7">
        <v>0</v>
      </c>
      <c r="T1877" s="7">
        <f>R1877-S1877</f>
        <v>0</v>
      </c>
      <c r="U1877" s="7">
        <f>T1877*O1877</f>
        <v>0</v>
      </c>
    </row>
    <row r="1878" spans="1:21">
      <c r="A1878" s="4" t="s">
        <v>2700</v>
      </c>
      <c r="B1878" s="4" t="s">
        <v>39</v>
      </c>
      <c r="C1878" s="5">
        <v>45949.4522337963</v>
      </c>
      <c r="D1878" s="5">
        <v>45949</v>
      </c>
      <c r="E1878" s="6">
        <f>IF(AND(C1878&lt;&gt;"",D1878&lt;&gt;""),D1878-C1878,"")</f>
        <v>0</v>
      </c>
      <c r="F1878" s="4" t="s">
        <v>2701</v>
      </c>
      <c r="G1878" s="4" t="s">
        <v>2702</v>
      </c>
      <c r="H1878" s="4" t="s">
        <v>32</v>
      </c>
      <c r="I1878" s="4" t="s">
        <v>33</v>
      </c>
      <c r="J1878" s="4">
        <v>0</v>
      </c>
      <c r="K1878" s="4">
        <v>0</v>
      </c>
      <c r="L1878" s="4">
        <f>J1878+K1878</f>
        <v>0</v>
      </c>
      <c r="M1878" s="4" t="s">
        <v>247</v>
      </c>
      <c r="N1878" s="4"/>
      <c r="O1878" s="4">
        <v>1</v>
      </c>
      <c r="P1878" s="4" t="s">
        <v>135</v>
      </c>
      <c r="Q1878" s="4"/>
      <c r="R1878" s="7">
        <v>55000</v>
      </c>
      <c r="S1878" s="7">
        <v>0</v>
      </c>
      <c r="T1878" s="7">
        <f>R1878-S1878</f>
        <v>0</v>
      </c>
      <c r="U1878" s="7">
        <f>T1878*O1878</f>
        <v>0</v>
      </c>
    </row>
    <row r="1879" spans="1:21">
      <c r="A1879" s="4" t="s">
        <v>2700</v>
      </c>
      <c r="B1879" s="4" t="s">
        <v>39</v>
      </c>
      <c r="C1879" s="5">
        <v>45949.4522337963</v>
      </c>
      <c r="D1879" s="5">
        <v>45949</v>
      </c>
      <c r="E1879" s="6">
        <f>IF(AND(C1879&lt;&gt;"",D1879&lt;&gt;""),D1879-C1879,"")</f>
        <v>0</v>
      </c>
      <c r="F1879" s="4" t="s">
        <v>2701</v>
      </c>
      <c r="G1879" s="4" t="s">
        <v>2702</v>
      </c>
      <c r="H1879" s="4" t="s">
        <v>32</v>
      </c>
      <c r="I1879" s="4" t="s">
        <v>33</v>
      </c>
      <c r="J1879" s="4">
        <v>0</v>
      </c>
      <c r="K1879" s="4">
        <v>0</v>
      </c>
      <c r="L1879" s="4">
        <f>J1879+K1879</f>
        <v>0</v>
      </c>
      <c r="M1879" s="4" t="s">
        <v>370</v>
      </c>
      <c r="N1879" s="4"/>
      <c r="O1879" s="4">
        <v>1</v>
      </c>
      <c r="P1879" s="4" t="s">
        <v>135</v>
      </c>
      <c r="Q1879" s="4"/>
      <c r="R1879" s="7">
        <v>4500000</v>
      </c>
      <c r="S1879" s="7">
        <v>0</v>
      </c>
      <c r="T1879" s="7">
        <f>R1879-S1879</f>
        <v>0</v>
      </c>
      <c r="U1879" s="7">
        <f>T1879*O1879</f>
        <v>0</v>
      </c>
    </row>
    <row r="1880" spans="1:21">
      <c r="A1880" s="4" t="s">
        <v>2703</v>
      </c>
      <c r="B1880" s="4" t="s">
        <v>39</v>
      </c>
      <c r="C1880" s="5">
        <v>45949.4552662037</v>
      </c>
      <c r="D1880" s="5">
        <v>45949</v>
      </c>
      <c r="E1880" s="6">
        <f>IF(AND(C1880&lt;&gt;"",D1880&lt;&gt;""),D1880-C1880,"")</f>
        <v>0</v>
      </c>
      <c r="F1880" s="4" t="s">
        <v>2704</v>
      </c>
      <c r="G1880" s="4" t="s">
        <v>2705</v>
      </c>
      <c r="H1880" s="4" t="s">
        <v>32</v>
      </c>
      <c r="I1880" s="4" t="s">
        <v>33</v>
      </c>
      <c r="J1880" s="4">
        <v>0</v>
      </c>
      <c r="K1880" s="4">
        <v>0</v>
      </c>
      <c r="L1880" s="4">
        <f>J1880+K1880</f>
        <v>0</v>
      </c>
      <c r="M1880" s="4" t="s">
        <v>370</v>
      </c>
      <c r="N1880" s="4"/>
      <c r="O1880" s="4">
        <v>1</v>
      </c>
      <c r="P1880" s="4" t="s">
        <v>135</v>
      </c>
      <c r="Q1880" s="4"/>
      <c r="R1880" s="7">
        <v>4000000</v>
      </c>
      <c r="S1880" s="7">
        <v>0</v>
      </c>
      <c r="T1880" s="7">
        <f>R1880-S1880</f>
        <v>0</v>
      </c>
      <c r="U1880" s="7">
        <f>T1880*O1880</f>
        <v>0</v>
      </c>
    </row>
    <row r="1881" spans="1:21">
      <c r="A1881" s="4" t="s">
        <v>2706</v>
      </c>
      <c r="B1881" s="4" t="s">
        <v>39</v>
      </c>
      <c r="C1881" s="5">
        <v>45949.47539351852</v>
      </c>
      <c r="D1881" s="5">
        <v>45949</v>
      </c>
      <c r="E1881" s="6">
        <f>IF(AND(C1881&lt;&gt;"",D1881&lt;&gt;""),D1881-C1881,"")</f>
        <v>0</v>
      </c>
      <c r="F1881" s="4" t="s">
        <v>2707</v>
      </c>
      <c r="G1881" s="4" t="s">
        <v>2708</v>
      </c>
      <c r="H1881" s="4" t="s">
        <v>32</v>
      </c>
      <c r="I1881" s="4" t="s">
        <v>33</v>
      </c>
      <c r="J1881" s="4">
        <v>0</v>
      </c>
      <c r="K1881" s="4">
        <v>0</v>
      </c>
      <c r="L1881" s="4">
        <f>J1881+K1881</f>
        <v>0</v>
      </c>
      <c r="M1881" s="4" t="s">
        <v>2699</v>
      </c>
      <c r="N1881" s="4"/>
      <c r="O1881" s="4">
        <v>1</v>
      </c>
      <c r="P1881" s="4" t="s">
        <v>135</v>
      </c>
      <c r="Q1881" s="4"/>
      <c r="R1881" s="7">
        <v>1250000</v>
      </c>
      <c r="S1881" s="7">
        <v>0</v>
      </c>
      <c r="T1881" s="7">
        <f>R1881-S1881</f>
        <v>0</v>
      </c>
      <c r="U1881" s="7">
        <f>T1881*O1881</f>
        <v>0</v>
      </c>
    </row>
    <row r="1882" spans="1:21">
      <c r="A1882" s="4" t="s">
        <v>2709</v>
      </c>
      <c r="B1882" s="4" t="s">
        <v>39</v>
      </c>
      <c r="C1882" s="5">
        <v>45949.49469907407</v>
      </c>
      <c r="D1882" s="5">
        <v>45949</v>
      </c>
      <c r="E1882" s="6">
        <f>IF(AND(C1882&lt;&gt;"",D1882&lt;&gt;""),D1882-C1882,"")</f>
        <v>0</v>
      </c>
      <c r="F1882" s="4" t="s">
        <v>2710</v>
      </c>
      <c r="G1882" s="4" t="s">
        <v>2711</v>
      </c>
      <c r="H1882" s="4" t="s">
        <v>32</v>
      </c>
      <c r="I1882" s="4" t="s">
        <v>33</v>
      </c>
      <c r="J1882" s="4">
        <v>0</v>
      </c>
      <c r="K1882" s="4">
        <v>0</v>
      </c>
      <c r="L1882" s="4">
        <f>J1882+K1882</f>
        <v>0</v>
      </c>
      <c r="M1882" s="4" t="s">
        <v>1741</v>
      </c>
      <c r="N1882" s="4"/>
      <c r="O1882" s="4">
        <v>1</v>
      </c>
      <c r="P1882" s="4" t="s">
        <v>43</v>
      </c>
      <c r="Q1882" s="4"/>
      <c r="R1882" s="7">
        <v>48000</v>
      </c>
      <c r="S1882" s="7">
        <v>0</v>
      </c>
      <c r="T1882" s="7">
        <f>R1882-S1882</f>
        <v>0</v>
      </c>
      <c r="U1882" s="7">
        <f>T1882*O1882</f>
        <v>0</v>
      </c>
    </row>
    <row r="1883" spans="1:21">
      <c r="A1883" s="4" t="s">
        <v>2709</v>
      </c>
      <c r="B1883" s="4" t="s">
        <v>39</v>
      </c>
      <c r="C1883" s="5">
        <v>45949.49469907407</v>
      </c>
      <c r="D1883" s="5">
        <v>45949</v>
      </c>
      <c r="E1883" s="6">
        <f>IF(AND(C1883&lt;&gt;"",D1883&lt;&gt;""),D1883-C1883,"")</f>
        <v>0</v>
      </c>
      <c r="F1883" s="4" t="s">
        <v>2710</v>
      </c>
      <c r="G1883" s="4" t="s">
        <v>2711</v>
      </c>
      <c r="H1883" s="4" t="s">
        <v>32</v>
      </c>
      <c r="I1883" s="4" t="s">
        <v>33</v>
      </c>
      <c r="J1883" s="4">
        <v>1</v>
      </c>
      <c r="K1883" s="4">
        <v>0</v>
      </c>
      <c r="L1883" s="4">
        <f>J1883+K1883</f>
        <v>0</v>
      </c>
      <c r="M1883" s="4" t="s">
        <v>80</v>
      </c>
      <c r="N1883" s="4"/>
      <c r="O1883" s="4">
        <v>1</v>
      </c>
      <c r="P1883" s="4" t="s">
        <v>43</v>
      </c>
      <c r="Q1883" s="4"/>
      <c r="R1883" s="7">
        <v>610000</v>
      </c>
      <c r="S1883" s="7">
        <v>0</v>
      </c>
      <c r="T1883" s="7">
        <f>R1883-S1883</f>
        <v>0</v>
      </c>
      <c r="U1883" s="7">
        <f>T1883*O1883</f>
        <v>0</v>
      </c>
    </row>
    <row r="1884" spans="1:21">
      <c r="A1884" s="4" t="s">
        <v>2712</v>
      </c>
      <c r="B1884" s="4" t="s">
        <v>39</v>
      </c>
      <c r="C1884" s="5">
        <v>45949.49645833333</v>
      </c>
      <c r="D1884" s="5">
        <v>45949</v>
      </c>
      <c r="E1884" s="6">
        <f>IF(AND(C1884&lt;&gt;"",D1884&lt;&gt;""),D1884-C1884,"")</f>
        <v>0</v>
      </c>
      <c r="F1884" s="4" t="s">
        <v>2713</v>
      </c>
      <c r="G1884" s="4" t="s">
        <v>2714</v>
      </c>
      <c r="H1884" s="4" t="s">
        <v>32</v>
      </c>
      <c r="I1884" s="4" t="s">
        <v>33</v>
      </c>
      <c r="J1884" s="4">
        <v>0</v>
      </c>
      <c r="K1884" s="4">
        <v>0</v>
      </c>
      <c r="L1884" s="4">
        <f>J1884+K1884</f>
        <v>0</v>
      </c>
      <c r="M1884" s="4" t="s">
        <v>370</v>
      </c>
      <c r="N1884" s="4"/>
      <c r="O1884" s="4">
        <v>1</v>
      </c>
      <c r="P1884" s="4" t="s">
        <v>135</v>
      </c>
      <c r="Q1884" s="4"/>
      <c r="R1884" s="7">
        <v>6000000</v>
      </c>
      <c r="S1884" s="7">
        <v>0</v>
      </c>
      <c r="T1884" s="7">
        <f>R1884-S1884</f>
        <v>0</v>
      </c>
      <c r="U1884" s="7">
        <f>T1884*O1884</f>
        <v>0</v>
      </c>
    </row>
    <row r="1885" spans="1:21">
      <c r="A1885" s="4" t="s">
        <v>2715</v>
      </c>
      <c r="B1885" s="4" t="s">
        <v>39</v>
      </c>
      <c r="C1885" s="5">
        <v>45949.64979166666</v>
      </c>
      <c r="D1885" s="5">
        <v>45949</v>
      </c>
      <c r="E1885" s="6">
        <f>IF(AND(C1885&lt;&gt;"",D1885&lt;&gt;""),D1885-C1885,"")</f>
        <v>0</v>
      </c>
      <c r="F1885" s="4" t="s">
        <v>1176</v>
      </c>
      <c r="G1885" s="4" t="s">
        <v>2716</v>
      </c>
      <c r="H1885" s="4" t="s">
        <v>32</v>
      </c>
      <c r="I1885" s="4" t="s">
        <v>33</v>
      </c>
      <c r="J1885" s="4">
        <v>2</v>
      </c>
      <c r="K1885" s="4">
        <v>0</v>
      </c>
      <c r="L1885" s="4">
        <f>J1885+K1885</f>
        <v>0</v>
      </c>
      <c r="M1885" s="4" t="s">
        <v>80</v>
      </c>
      <c r="N1885" s="4"/>
      <c r="O1885" s="4">
        <v>2</v>
      </c>
      <c r="P1885" s="4" t="s">
        <v>135</v>
      </c>
      <c r="Q1885" s="4" t="s">
        <v>44</v>
      </c>
      <c r="R1885" s="7">
        <v>610000</v>
      </c>
      <c r="S1885" s="7">
        <v>0</v>
      </c>
      <c r="T1885" s="7">
        <f>R1885-S1885</f>
        <v>0</v>
      </c>
      <c r="U1885" s="7">
        <f>T1885*O1885</f>
        <v>0</v>
      </c>
    </row>
    <row r="1886" spans="1:21">
      <c r="A1886" s="4" t="s">
        <v>2717</v>
      </c>
      <c r="B1886" s="4" t="s">
        <v>39</v>
      </c>
      <c r="C1886" s="5">
        <v>45949.65013888889</v>
      </c>
      <c r="D1886" s="5">
        <v>45949</v>
      </c>
      <c r="E1886" s="6">
        <f>IF(AND(C1886&lt;&gt;"",D1886&lt;&gt;""),D1886-C1886,"")</f>
        <v>0</v>
      </c>
      <c r="F1886" s="4" t="s">
        <v>1176</v>
      </c>
      <c r="G1886" s="4" t="s">
        <v>2716</v>
      </c>
      <c r="H1886" s="4" t="s">
        <v>32</v>
      </c>
      <c r="I1886" s="4" t="s">
        <v>33</v>
      </c>
      <c r="J1886" s="4">
        <v>1</v>
      </c>
      <c r="K1886" s="4">
        <v>0</v>
      </c>
      <c r="L1886" s="4">
        <f>J1886+K1886</f>
        <v>0</v>
      </c>
      <c r="M1886" s="4" t="s">
        <v>80</v>
      </c>
      <c r="N1886" s="4"/>
      <c r="O1886" s="4">
        <v>1</v>
      </c>
      <c r="P1886" s="4" t="s">
        <v>135</v>
      </c>
      <c r="Q1886" s="4" t="s">
        <v>44</v>
      </c>
      <c r="R1886" s="7">
        <v>610000</v>
      </c>
      <c r="S1886" s="7">
        <v>0</v>
      </c>
      <c r="T1886" s="7">
        <f>R1886-S1886</f>
        <v>0</v>
      </c>
      <c r="U1886" s="7">
        <f>T1886*O1886</f>
        <v>0</v>
      </c>
    </row>
    <row r="1887" spans="1:21">
      <c r="A1887" s="4" t="s">
        <v>2717</v>
      </c>
      <c r="B1887" s="4" t="s">
        <v>39</v>
      </c>
      <c r="C1887" s="5">
        <v>45949.65013888889</v>
      </c>
      <c r="D1887" s="5">
        <v>45949</v>
      </c>
      <c r="E1887" s="6">
        <f>IF(AND(C1887&lt;&gt;"",D1887&lt;&gt;""),D1887-C1887,"")</f>
        <v>0</v>
      </c>
      <c r="F1887" s="4" t="s">
        <v>1176</v>
      </c>
      <c r="G1887" s="4" t="s">
        <v>2716</v>
      </c>
      <c r="H1887" s="4" t="s">
        <v>32</v>
      </c>
      <c r="I1887" s="4" t="s">
        <v>33</v>
      </c>
      <c r="J1887" s="4">
        <v>1</v>
      </c>
      <c r="K1887" s="4">
        <v>0</v>
      </c>
      <c r="L1887" s="4">
        <f>J1887+K1887</f>
        <v>0</v>
      </c>
      <c r="M1887" s="4" t="s">
        <v>80</v>
      </c>
      <c r="N1887" s="4"/>
      <c r="O1887" s="4">
        <v>1</v>
      </c>
      <c r="P1887" s="4" t="s">
        <v>135</v>
      </c>
      <c r="Q1887" s="4" t="s">
        <v>44</v>
      </c>
      <c r="R1887" s="7">
        <v>610000</v>
      </c>
      <c r="S1887" s="7">
        <v>0</v>
      </c>
      <c r="T1887" s="7">
        <f>R1887-S1887</f>
        <v>0</v>
      </c>
      <c r="U1887" s="7">
        <f>T1887*O1887</f>
        <v>0</v>
      </c>
    </row>
    <row r="1888" spans="1:21">
      <c r="A1888" s="4" t="s">
        <v>2717</v>
      </c>
      <c r="B1888" s="4" t="s">
        <v>39</v>
      </c>
      <c r="C1888" s="5">
        <v>45949.65013888889</v>
      </c>
      <c r="D1888" s="5">
        <v>45949</v>
      </c>
      <c r="E1888" s="6">
        <f>IF(AND(C1888&lt;&gt;"",D1888&lt;&gt;""),D1888-C1888,"")</f>
        <v>0</v>
      </c>
      <c r="F1888" s="4" t="s">
        <v>1176</v>
      </c>
      <c r="G1888" s="4" t="s">
        <v>2716</v>
      </c>
      <c r="H1888" s="4" t="s">
        <v>32</v>
      </c>
      <c r="I1888" s="4" t="s">
        <v>33</v>
      </c>
      <c r="J1888" s="4">
        <v>1</v>
      </c>
      <c r="K1888" s="4">
        <v>0</v>
      </c>
      <c r="L1888" s="4">
        <f>J1888+K1888</f>
        <v>0</v>
      </c>
      <c r="M1888" s="4" t="s">
        <v>80</v>
      </c>
      <c r="N1888" s="4"/>
      <c r="O1888" s="4">
        <v>1</v>
      </c>
      <c r="P1888" s="4" t="s">
        <v>135</v>
      </c>
      <c r="Q1888" s="4" t="s">
        <v>44</v>
      </c>
      <c r="R1888" s="7">
        <v>610000</v>
      </c>
      <c r="S1888" s="7">
        <v>0</v>
      </c>
      <c r="T1888" s="7">
        <f>R1888-S1888</f>
        <v>0</v>
      </c>
      <c r="U1888" s="7">
        <f>T1888*O1888</f>
        <v>0</v>
      </c>
    </row>
    <row r="1889" spans="1:21">
      <c r="A1889" s="4" t="s">
        <v>2718</v>
      </c>
      <c r="B1889" s="4" t="s">
        <v>103</v>
      </c>
      <c r="C1889" s="5">
        <v>45950.11226851852</v>
      </c>
      <c r="D1889" s="5">
        <v>45961</v>
      </c>
      <c r="E1889" s="6">
        <f>IF(AND(C1889&lt;&gt;"",D1889&lt;&gt;""),D1889-C1889,"")</f>
        <v>0</v>
      </c>
      <c r="F1889" s="4" t="s">
        <v>1399</v>
      </c>
      <c r="G1889" s="4" t="s">
        <v>202</v>
      </c>
      <c r="H1889" s="4" t="s">
        <v>32</v>
      </c>
      <c r="I1889" s="4" t="s">
        <v>33</v>
      </c>
      <c r="J1889" s="4">
        <v>2</v>
      </c>
      <c r="K1889" s="4">
        <v>0</v>
      </c>
      <c r="L1889" s="4">
        <f>J1889+K1889</f>
        <v>0</v>
      </c>
      <c r="M1889" s="4"/>
      <c r="N1889" s="4"/>
      <c r="O1889" s="4">
        <v>0</v>
      </c>
      <c r="P1889" s="4"/>
      <c r="Q1889" s="4"/>
      <c r="R1889" s="7">
        <v>0</v>
      </c>
      <c r="S1889" s="7">
        <v>0</v>
      </c>
      <c r="T1889" s="7">
        <f>R1889-S1889</f>
        <v>0</v>
      </c>
      <c r="U1889" s="7">
        <f>T1889*O1889</f>
        <v>0</v>
      </c>
    </row>
    <row r="1890" spans="1:21">
      <c r="A1890" s="4" t="s">
        <v>2719</v>
      </c>
      <c r="B1890" s="4" t="s">
        <v>39</v>
      </c>
      <c r="C1890" s="5">
        <v>45950.13962962963</v>
      </c>
      <c r="D1890" s="5">
        <v>45950</v>
      </c>
      <c r="E1890" s="6">
        <f>IF(AND(C1890&lt;&gt;"",D1890&lt;&gt;""),D1890-C1890,"")</f>
        <v>0</v>
      </c>
      <c r="F1890" s="4" t="s">
        <v>2720</v>
      </c>
      <c r="G1890" s="4" t="s">
        <v>2721</v>
      </c>
      <c r="H1890" s="4" t="s">
        <v>32</v>
      </c>
      <c r="I1890" s="4" t="s">
        <v>33</v>
      </c>
      <c r="J1890" s="4">
        <v>0</v>
      </c>
      <c r="K1890" s="4">
        <v>0</v>
      </c>
      <c r="L1890" s="4">
        <f>J1890+K1890</f>
        <v>0</v>
      </c>
      <c r="M1890" s="4" t="s">
        <v>370</v>
      </c>
      <c r="N1890" s="4"/>
      <c r="O1890" s="4">
        <v>1</v>
      </c>
      <c r="P1890" s="4" t="s">
        <v>135</v>
      </c>
      <c r="Q1890" s="4"/>
      <c r="R1890" s="7">
        <v>20000000</v>
      </c>
      <c r="S1890" s="7">
        <v>0</v>
      </c>
      <c r="T1890" s="7">
        <f>R1890-S1890</f>
        <v>0</v>
      </c>
      <c r="U1890" s="7">
        <f>T1890*O1890</f>
        <v>0</v>
      </c>
    </row>
    <row r="1891" spans="1:21">
      <c r="A1891" s="4" t="s">
        <v>2722</v>
      </c>
      <c r="B1891" s="4" t="s">
        <v>39</v>
      </c>
      <c r="C1891" s="5">
        <v>45950.16282407408</v>
      </c>
      <c r="D1891" s="5">
        <v>45950</v>
      </c>
      <c r="E1891" s="6">
        <f>IF(AND(C1891&lt;&gt;"",D1891&lt;&gt;""),D1891-C1891,"")</f>
        <v>0</v>
      </c>
      <c r="F1891" s="4" t="s">
        <v>2723</v>
      </c>
      <c r="G1891" s="4" t="s">
        <v>2724</v>
      </c>
      <c r="H1891" s="4" t="s">
        <v>32</v>
      </c>
      <c r="I1891" s="4" t="s">
        <v>33</v>
      </c>
      <c r="J1891" s="4">
        <v>0</v>
      </c>
      <c r="K1891" s="4">
        <v>0</v>
      </c>
      <c r="L1891" s="4">
        <f>J1891+K1891</f>
        <v>0</v>
      </c>
      <c r="M1891" s="4" t="s">
        <v>370</v>
      </c>
      <c r="N1891" s="4"/>
      <c r="O1891" s="4">
        <v>1</v>
      </c>
      <c r="P1891" s="4" t="s">
        <v>135</v>
      </c>
      <c r="Q1891" s="4"/>
      <c r="R1891" s="7">
        <v>10000000</v>
      </c>
      <c r="S1891" s="7">
        <v>0</v>
      </c>
      <c r="T1891" s="7">
        <f>R1891-S1891</f>
        <v>0</v>
      </c>
      <c r="U1891" s="7">
        <f>T1891*O1891</f>
        <v>0</v>
      </c>
    </row>
    <row r="1892" spans="1:21">
      <c r="A1892" s="4" t="s">
        <v>2725</v>
      </c>
      <c r="B1892" s="4" t="s">
        <v>39</v>
      </c>
      <c r="C1892" s="5">
        <v>45950.17666666667</v>
      </c>
      <c r="D1892" s="5">
        <v>45950</v>
      </c>
      <c r="E1892" s="6">
        <f>IF(AND(C1892&lt;&gt;"",D1892&lt;&gt;""),D1892-C1892,"")</f>
        <v>0</v>
      </c>
      <c r="F1892" s="4" t="s">
        <v>2726</v>
      </c>
      <c r="G1892" s="4" t="s">
        <v>2727</v>
      </c>
      <c r="H1892" s="4" t="s">
        <v>32</v>
      </c>
      <c r="I1892" s="4" t="s">
        <v>33</v>
      </c>
      <c r="J1892" s="4">
        <v>0</v>
      </c>
      <c r="K1892" s="4">
        <v>0</v>
      </c>
      <c r="L1892" s="4">
        <f>J1892+K1892</f>
        <v>0</v>
      </c>
      <c r="M1892" s="4" t="s">
        <v>370</v>
      </c>
      <c r="N1892" s="4"/>
      <c r="O1892" s="4">
        <v>1</v>
      </c>
      <c r="P1892" s="4" t="s">
        <v>135</v>
      </c>
      <c r="Q1892" s="4"/>
      <c r="R1892" s="7">
        <v>20000000</v>
      </c>
      <c r="S1892" s="7">
        <v>0</v>
      </c>
      <c r="T1892" s="7">
        <f>R1892-S1892</f>
        <v>0</v>
      </c>
      <c r="U1892" s="7">
        <f>T1892*O1892</f>
        <v>0</v>
      </c>
    </row>
    <row r="1893" spans="1:21">
      <c r="A1893" s="4" t="s">
        <v>2728</v>
      </c>
      <c r="B1893" s="4" t="s">
        <v>48</v>
      </c>
      <c r="C1893" s="5">
        <v>45950.20484953704</v>
      </c>
      <c r="D1893" s="5">
        <v>45961</v>
      </c>
      <c r="E1893" s="6">
        <f>IF(AND(C1893&lt;&gt;"",D1893&lt;&gt;""),D1893-C1893,"")</f>
        <v>0</v>
      </c>
      <c r="F1893" s="4" t="s">
        <v>2729</v>
      </c>
      <c r="G1893" s="4" t="s">
        <v>2730</v>
      </c>
      <c r="H1893" s="4" t="s">
        <v>190</v>
      </c>
      <c r="I1893" s="4" t="s">
        <v>56</v>
      </c>
      <c r="J1893" s="4">
        <v>4</v>
      </c>
      <c r="K1893" s="4">
        <v>3</v>
      </c>
      <c r="L1893" s="4">
        <f>J1893+K1893</f>
        <v>0</v>
      </c>
      <c r="M1893" s="4"/>
      <c r="N1893" s="4"/>
      <c r="O1893" s="4">
        <v>0</v>
      </c>
      <c r="P1893" s="4"/>
      <c r="Q1893" s="4"/>
      <c r="R1893" s="7">
        <v>0</v>
      </c>
      <c r="S1893" s="7">
        <v>0</v>
      </c>
      <c r="T1893" s="7">
        <f>R1893-S1893</f>
        <v>0</v>
      </c>
      <c r="U1893" s="7">
        <f>T1893*O1893</f>
        <v>0</v>
      </c>
    </row>
    <row r="1894" spans="1:21">
      <c r="A1894" s="4" t="s">
        <v>2731</v>
      </c>
      <c r="B1894" s="4" t="s">
        <v>39</v>
      </c>
      <c r="C1894" s="5">
        <v>45950.22658564815</v>
      </c>
      <c r="D1894" s="5">
        <v>45950</v>
      </c>
      <c r="E1894" s="6">
        <f>IF(AND(C1894&lt;&gt;"",D1894&lt;&gt;""),D1894-C1894,"")</f>
        <v>0</v>
      </c>
      <c r="F1894" s="4" t="s">
        <v>2732</v>
      </c>
      <c r="G1894" s="4" t="s">
        <v>2733</v>
      </c>
      <c r="H1894" s="4" t="s">
        <v>32</v>
      </c>
      <c r="I1894" s="4" t="s">
        <v>33</v>
      </c>
      <c r="J1894" s="4">
        <v>0</v>
      </c>
      <c r="K1894" s="4">
        <v>0</v>
      </c>
      <c r="L1894" s="4">
        <f>J1894+K1894</f>
        <v>0</v>
      </c>
      <c r="M1894" s="4" t="s">
        <v>370</v>
      </c>
      <c r="N1894" s="4"/>
      <c r="O1894" s="4">
        <v>1</v>
      </c>
      <c r="P1894" s="4" t="s">
        <v>135</v>
      </c>
      <c r="Q1894" s="4" t="s">
        <v>44</v>
      </c>
      <c r="R1894" s="7">
        <v>10000000</v>
      </c>
      <c r="S1894" s="7">
        <v>0</v>
      </c>
      <c r="T1894" s="7">
        <f>R1894-S1894</f>
        <v>0</v>
      </c>
      <c r="U1894" s="7">
        <f>T1894*O1894</f>
        <v>0</v>
      </c>
    </row>
    <row r="1895" spans="1:21">
      <c r="A1895" s="4" t="s">
        <v>2731</v>
      </c>
      <c r="B1895" s="4" t="s">
        <v>39</v>
      </c>
      <c r="C1895" s="5">
        <v>45950.22658564815</v>
      </c>
      <c r="D1895" s="5">
        <v>45950</v>
      </c>
      <c r="E1895" s="6">
        <f>IF(AND(C1895&lt;&gt;"",D1895&lt;&gt;""),D1895-C1895,"")</f>
        <v>0</v>
      </c>
      <c r="F1895" s="4" t="s">
        <v>2732</v>
      </c>
      <c r="G1895" s="4" t="s">
        <v>2733</v>
      </c>
      <c r="H1895" s="4" t="s">
        <v>32</v>
      </c>
      <c r="I1895" s="4" t="s">
        <v>33</v>
      </c>
      <c r="J1895" s="4">
        <v>0</v>
      </c>
      <c r="K1895" s="4">
        <v>0</v>
      </c>
      <c r="L1895" s="4">
        <f>J1895+K1895</f>
        <v>0</v>
      </c>
      <c r="M1895" s="4" t="s">
        <v>1464</v>
      </c>
      <c r="N1895" s="4"/>
      <c r="O1895" s="4">
        <v>1</v>
      </c>
      <c r="P1895" s="4" t="s">
        <v>135</v>
      </c>
      <c r="Q1895" s="4" t="s">
        <v>44</v>
      </c>
      <c r="R1895" s="7">
        <v>2200000</v>
      </c>
      <c r="S1895" s="7">
        <v>0</v>
      </c>
      <c r="T1895" s="7">
        <f>R1895-S1895</f>
        <v>0</v>
      </c>
      <c r="U1895" s="7">
        <f>T1895*O1895</f>
        <v>0</v>
      </c>
    </row>
    <row r="1896" spans="1:21">
      <c r="A1896" s="4" t="s">
        <v>2734</v>
      </c>
      <c r="B1896" s="4" t="s">
        <v>39</v>
      </c>
      <c r="C1896" s="5">
        <v>45950.25282407407</v>
      </c>
      <c r="D1896" s="5">
        <v>45950</v>
      </c>
      <c r="E1896" s="6">
        <f>IF(AND(C1896&lt;&gt;"",D1896&lt;&gt;""),D1896-C1896,"")</f>
        <v>0</v>
      </c>
      <c r="F1896" s="4" t="s">
        <v>2735</v>
      </c>
      <c r="G1896" s="4" t="s">
        <v>2736</v>
      </c>
      <c r="H1896" s="4" t="s">
        <v>32</v>
      </c>
      <c r="I1896" s="4" t="s">
        <v>33</v>
      </c>
      <c r="J1896" s="4">
        <v>0</v>
      </c>
      <c r="K1896" s="4">
        <v>0</v>
      </c>
      <c r="L1896" s="4">
        <f>J1896+K1896</f>
        <v>0</v>
      </c>
      <c r="M1896" s="4" t="s">
        <v>370</v>
      </c>
      <c r="N1896" s="4"/>
      <c r="O1896" s="4">
        <v>1</v>
      </c>
      <c r="P1896" s="4" t="s">
        <v>135</v>
      </c>
      <c r="Q1896" s="4" t="s">
        <v>44</v>
      </c>
      <c r="R1896" s="7">
        <v>10000000</v>
      </c>
      <c r="S1896" s="7">
        <v>0</v>
      </c>
      <c r="T1896" s="7">
        <f>R1896-S1896</f>
        <v>0</v>
      </c>
      <c r="U1896" s="7">
        <f>T1896*O1896</f>
        <v>0</v>
      </c>
    </row>
    <row r="1897" spans="1:21">
      <c r="A1897" s="4" t="s">
        <v>2737</v>
      </c>
      <c r="B1897" s="4" t="s">
        <v>39</v>
      </c>
      <c r="C1897" s="5">
        <v>45950.2856712963</v>
      </c>
      <c r="D1897" s="5">
        <v>45950</v>
      </c>
      <c r="E1897" s="6">
        <f>IF(AND(C1897&lt;&gt;"",D1897&lt;&gt;""),D1897-C1897,"")</f>
        <v>0</v>
      </c>
      <c r="F1897" s="4" t="s">
        <v>2682</v>
      </c>
      <c r="G1897" s="4" t="s">
        <v>2683</v>
      </c>
      <c r="H1897" s="4" t="s">
        <v>32</v>
      </c>
      <c r="I1897" s="4" t="s">
        <v>33</v>
      </c>
      <c r="J1897" s="4">
        <v>1</v>
      </c>
      <c r="K1897" s="4">
        <v>0</v>
      </c>
      <c r="L1897" s="4">
        <f>J1897+K1897</f>
        <v>0</v>
      </c>
      <c r="M1897" s="4" t="s">
        <v>80</v>
      </c>
      <c r="N1897" s="4"/>
      <c r="O1897" s="4">
        <v>1</v>
      </c>
      <c r="P1897" s="4" t="s">
        <v>135</v>
      </c>
      <c r="Q1897" s="4" t="s">
        <v>44</v>
      </c>
      <c r="R1897" s="7">
        <v>610000</v>
      </c>
      <c r="S1897" s="7">
        <v>0</v>
      </c>
      <c r="T1897" s="7">
        <f>R1897-S1897</f>
        <v>0</v>
      </c>
      <c r="U1897" s="7">
        <f>T1897*O1897</f>
        <v>0</v>
      </c>
    </row>
    <row r="1898" spans="1:21">
      <c r="A1898" s="4" t="s">
        <v>2738</v>
      </c>
      <c r="B1898" s="4" t="s">
        <v>39</v>
      </c>
      <c r="C1898" s="5">
        <v>45950.29790509259</v>
      </c>
      <c r="D1898" s="5">
        <v>45950</v>
      </c>
      <c r="E1898" s="6">
        <f>IF(AND(C1898&lt;&gt;"",D1898&lt;&gt;""),D1898-C1898,"")</f>
        <v>0</v>
      </c>
      <c r="F1898" s="4" t="s">
        <v>2739</v>
      </c>
      <c r="G1898" s="4" t="s">
        <v>2740</v>
      </c>
      <c r="H1898" s="4" t="s">
        <v>32</v>
      </c>
      <c r="I1898" s="4" t="s">
        <v>33</v>
      </c>
      <c r="J1898" s="4">
        <v>0</v>
      </c>
      <c r="K1898" s="4">
        <v>0</v>
      </c>
      <c r="L1898" s="4">
        <f>J1898+K1898</f>
        <v>0</v>
      </c>
      <c r="M1898" s="4" t="s">
        <v>370</v>
      </c>
      <c r="N1898" s="4"/>
      <c r="O1898" s="4">
        <v>1</v>
      </c>
      <c r="P1898" s="4" t="s">
        <v>135</v>
      </c>
      <c r="Q1898" s="4" t="s">
        <v>44</v>
      </c>
      <c r="R1898" s="7">
        <v>11000000</v>
      </c>
      <c r="S1898" s="7">
        <v>0</v>
      </c>
      <c r="T1898" s="7">
        <f>R1898-S1898</f>
        <v>0</v>
      </c>
      <c r="U1898" s="7">
        <f>T1898*O1898</f>
        <v>0</v>
      </c>
    </row>
    <row r="1899" spans="1:21">
      <c r="A1899" s="4" t="s">
        <v>2741</v>
      </c>
      <c r="B1899" s="4" t="s">
        <v>48</v>
      </c>
      <c r="C1899" s="5">
        <v>45950.30333333334</v>
      </c>
      <c r="D1899" s="5">
        <v>45961</v>
      </c>
      <c r="E1899" s="6">
        <f>IF(AND(C1899&lt;&gt;"",D1899&lt;&gt;""),D1899-C1899,"")</f>
        <v>0</v>
      </c>
      <c r="F1899" s="4" t="s">
        <v>446</v>
      </c>
      <c r="G1899" s="4" t="s">
        <v>41</v>
      </c>
      <c r="H1899" s="4" t="s">
        <v>32</v>
      </c>
      <c r="I1899" s="4" t="s">
        <v>33</v>
      </c>
      <c r="J1899" s="4">
        <v>5</v>
      </c>
      <c r="K1899" s="4">
        <v>0</v>
      </c>
      <c r="L1899" s="4">
        <f>J1899+K1899</f>
        <v>0</v>
      </c>
      <c r="M1899" s="4"/>
      <c r="N1899" s="4"/>
      <c r="O1899" s="4">
        <v>0</v>
      </c>
      <c r="P1899" s="4"/>
      <c r="Q1899" s="4"/>
      <c r="R1899" s="7">
        <v>0</v>
      </c>
      <c r="S1899" s="7">
        <v>0</v>
      </c>
      <c r="T1899" s="7">
        <f>R1899-S1899</f>
        <v>0</v>
      </c>
      <c r="U1899" s="7">
        <f>T1899*O1899</f>
        <v>0</v>
      </c>
    </row>
    <row r="1900" spans="1:21">
      <c r="A1900" s="4" t="s">
        <v>2742</v>
      </c>
      <c r="B1900" s="4" t="s">
        <v>48</v>
      </c>
      <c r="C1900" s="5">
        <v>45950.30684027778</v>
      </c>
      <c r="D1900" s="5">
        <v>45961</v>
      </c>
      <c r="E1900" s="6">
        <f>IF(AND(C1900&lt;&gt;"",D1900&lt;&gt;""),D1900-C1900,"")</f>
        <v>0</v>
      </c>
      <c r="F1900" s="4" t="s">
        <v>40</v>
      </c>
      <c r="G1900" s="4" t="s">
        <v>41</v>
      </c>
      <c r="H1900" s="4" t="s">
        <v>32</v>
      </c>
      <c r="I1900" s="4" t="s">
        <v>33</v>
      </c>
      <c r="J1900" s="4">
        <v>6</v>
      </c>
      <c r="K1900" s="4">
        <v>0</v>
      </c>
      <c r="L1900" s="4">
        <f>J1900+K1900</f>
        <v>0</v>
      </c>
      <c r="M1900" s="4"/>
      <c r="N1900" s="4"/>
      <c r="O1900" s="4">
        <v>0</v>
      </c>
      <c r="P1900" s="4"/>
      <c r="Q1900" s="4"/>
      <c r="R1900" s="7">
        <v>0</v>
      </c>
      <c r="S1900" s="7">
        <v>0</v>
      </c>
      <c r="T1900" s="7">
        <f>R1900-S1900</f>
        <v>0</v>
      </c>
      <c r="U1900" s="7">
        <f>T1900*O1900</f>
        <v>0</v>
      </c>
    </row>
    <row r="1901" spans="1:21">
      <c r="A1901" s="4" t="s">
        <v>2743</v>
      </c>
      <c r="B1901" s="4" t="s">
        <v>39</v>
      </c>
      <c r="C1901" s="5">
        <v>45950.30746527778</v>
      </c>
      <c r="D1901" s="5">
        <v>45950</v>
      </c>
      <c r="E1901" s="6">
        <f>IF(AND(C1901&lt;&gt;"",D1901&lt;&gt;""),D1901-C1901,"")</f>
        <v>0</v>
      </c>
      <c r="F1901" s="4" t="s">
        <v>2744</v>
      </c>
      <c r="G1901" s="4" t="s">
        <v>2745</v>
      </c>
      <c r="H1901" s="4" t="s">
        <v>190</v>
      </c>
      <c r="I1901" s="4" t="s">
        <v>56</v>
      </c>
      <c r="J1901" s="4">
        <v>1</v>
      </c>
      <c r="K1901" s="4">
        <v>0</v>
      </c>
      <c r="L1901" s="4">
        <f>J1901+K1901</f>
        <v>0</v>
      </c>
      <c r="M1901" s="4" t="s">
        <v>1645</v>
      </c>
      <c r="N1901" s="4"/>
      <c r="O1901" s="4">
        <v>1</v>
      </c>
      <c r="P1901" s="4" t="s">
        <v>135</v>
      </c>
      <c r="Q1901" s="4" t="s">
        <v>44</v>
      </c>
      <c r="R1901" s="7">
        <v>2100000</v>
      </c>
      <c r="S1901" s="7">
        <v>0</v>
      </c>
      <c r="T1901" s="7">
        <f>R1901-S1901</f>
        <v>0</v>
      </c>
      <c r="U1901" s="7">
        <f>T1901*O1901</f>
        <v>0</v>
      </c>
    </row>
    <row r="1902" spans="1:21">
      <c r="A1902" s="4" t="s">
        <v>2743</v>
      </c>
      <c r="B1902" s="4" t="s">
        <v>39</v>
      </c>
      <c r="C1902" s="5">
        <v>45950.30746527778</v>
      </c>
      <c r="D1902" s="5">
        <v>45950</v>
      </c>
      <c r="E1902" s="6">
        <f>IF(AND(C1902&lt;&gt;"",D1902&lt;&gt;""),D1902-C1902,"")</f>
        <v>0</v>
      </c>
      <c r="F1902" s="4" t="s">
        <v>2744</v>
      </c>
      <c r="G1902" s="4" t="s">
        <v>2745</v>
      </c>
      <c r="H1902" s="4" t="s">
        <v>190</v>
      </c>
      <c r="I1902" s="4" t="s">
        <v>56</v>
      </c>
      <c r="J1902" s="4">
        <v>0</v>
      </c>
      <c r="K1902" s="4">
        <v>0</v>
      </c>
      <c r="L1902" s="4">
        <f>J1902+K1902</f>
        <v>0</v>
      </c>
      <c r="M1902" s="4" t="s">
        <v>370</v>
      </c>
      <c r="N1902" s="4"/>
      <c r="O1902" s="4">
        <v>1</v>
      </c>
      <c r="P1902" s="4" t="s">
        <v>135</v>
      </c>
      <c r="Q1902" s="4" t="s">
        <v>44</v>
      </c>
      <c r="R1902" s="7">
        <v>1000000</v>
      </c>
      <c r="S1902" s="7">
        <v>0</v>
      </c>
      <c r="T1902" s="7">
        <f>R1902-S1902</f>
        <v>0</v>
      </c>
      <c r="U1902" s="7">
        <f>T1902*O1902</f>
        <v>0</v>
      </c>
    </row>
    <row r="1903" spans="1:21">
      <c r="A1903" s="4" t="s">
        <v>2746</v>
      </c>
      <c r="B1903" s="4" t="s">
        <v>39</v>
      </c>
      <c r="C1903" s="5">
        <v>45950.31072916667</v>
      </c>
      <c r="D1903" s="5">
        <v>45950</v>
      </c>
      <c r="E1903" s="6">
        <f>IF(AND(C1903&lt;&gt;"",D1903&lt;&gt;""),D1903-C1903,"")</f>
        <v>0</v>
      </c>
      <c r="F1903" s="4" t="s">
        <v>2747</v>
      </c>
      <c r="G1903" s="4" t="s">
        <v>2748</v>
      </c>
      <c r="H1903" s="4" t="s">
        <v>190</v>
      </c>
      <c r="I1903" s="4" t="s">
        <v>56</v>
      </c>
      <c r="J1903" s="4">
        <v>2</v>
      </c>
      <c r="K1903" s="4">
        <v>0</v>
      </c>
      <c r="L1903" s="4">
        <f>J1903+K1903</f>
        <v>0</v>
      </c>
      <c r="M1903" s="4" t="s">
        <v>80</v>
      </c>
      <c r="N1903" s="4"/>
      <c r="O1903" s="4">
        <v>2</v>
      </c>
      <c r="P1903" s="4" t="s">
        <v>135</v>
      </c>
      <c r="Q1903" s="4" t="s">
        <v>44</v>
      </c>
      <c r="R1903" s="7">
        <v>610000</v>
      </c>
      <c r="S1903" s="7">
        <v>0</v>
      </c>
      <c r="T1903" s="7">
        <f>R1903-S1903</f>
        <v>0</v>
      </c>
      <c r="U1903" s="7">
        <f>T1903*O1903</f>
        <v>0</v>
      </c>
    </row>
    <row r="1904" spans="1:21">
      <c r="A1904" s="4" t="s">
        <v>2746</v>
      </c>
      <c r="B1904" s="4" t="s">
        <v>39</v>
      </c>
      <c r="C1904" s="5">
        <v>45950.31072916667</v>
      </c>
      <c r="D1904" s="5">
        <v>45950</v>
      </c>
      <c r="E1904" s="6">
        <f>IF(AND(C1904&lt;&gt;"",D1904&lt;&gt;""),D1904-C1904,"")</f>
        <v>0</v>
      </c>
      <c r="F1904" s="4" t="s">
        <v>2747</v>
      </c>
      <c r="G1904" s="4" t="s">
        <v>2748</v>
      </c>
      <c r="H1904" s="4" t="s">
        <v>190</v>
      </c>
      <c r="I1904" s="4" t="s">
        <v>56</v>
      </c>
      <c r="J1904" s="4">
        <v>0</v>
      </c>
      <c r="K1904" s="4">
        <v>1</v>
      </c>
      <c r="L1904" s="4">
        <f>J1904+K1904</f>
        <v>0</v>
      </c>
      <c r="M1904" s="4" t="s">
        <v>81</v>
      </c>
      <c r="N1904" s="4"/>
      <c r="O1904" s="4">
        <v>1</v>
      </c>
      <c r="P1904" s="4" t="s">
        <v>135</v>
      </c>
      <c r="Q1904" s="4" t="s">
        <v>44</v>
      </c>
      <c r="R1904" s="7">
        <v>495000</v>
      </c>
      <c r="S1904" s="7">
        <v>0</v>
      </c>
      <c r="T1904" s="7">
        <f>R1904-S1904</f>
        <v>0</v>
      </c>
      <c r="U1904" s="7">
        <f>T1904*O1904</f>
        <v>0</v>
      </c>
    </row>
    <row r="1905" spans="1:21">
      <c r="A1905" s="4" t="s">
        <v>2746</v>
      </c>
      <c r="B1905" s="4" t="s">
        <v>39</v>
      </c>
      <c r="C1905" s="5">
        <v>45950.31072916667</v>
      </c>
      <c r="D1905" s="5">
        <v>45950</v>
      </c>
      <c r="E1905" s="6">
        <f>IF(AND(C1905&lt;&gt;"",D1905&lt;&gt;""),D1905-C1905,"")</f>
        <v>0</v>
      </c>
      <c r="F1905" s="4" t="s">
        <v>2747</v>
      </c>
      <c r="G1905" s="4" t="s">
        <v>2748</v>
      </c>
      <c r="H1905" s="4" t="s">
        <v>190</v>
      </c>
      <c r="I1905" s="4" t="s">
        <v>56</v>
      </c>
      <c r="J1905" s="4">
        <v>0</v>
      </c>
      <c r="K1905" s="4">
        <v>0</v>
      </c>
      <c r="L1905" s="4">
        <f>J1905+K1905</f>
        <v>0</v>
      </c>
      <c r="M1905" s="4" t="s">
        <v>370</v>
      </c>
      <c r="N1905" s="4"/>
      <c r="O1905" s="4">
        <v>1</v>
      </c>
      <c r="P1905" s="4" t="s">
        <v>135</v>
      </c>
      <c r="Q1905" s="4" t="s">
        <v>44</v>
      </c>
      <c r="R1905" s="7">
        <v>1000000</v>
      </c>
      <c r="S1905" s="7">
        <v>0</v>
      </c>
      <c r="T1905" s="7">
        <f>R1905-S1905</f>
        <v>0</v>
      </c>
      <c r="U1905" s="7">
        <f>T1905*O1905</f>
        <v>0</v>
      </c>
    </row>
    <row r="1906" spans="1:21">
      <c r="A1906" s="4" t="s">
        <v>2749</v>
      </c>
      <c r="B1906" s="4" t="s">
        <v>48</v>
      </c>
      <c r="C1906" s="5">
        <v>45950.31181712963</v>
      </c>
      <c r="D1906" s="5">
        <v>45961</v>
      </c>
      <c r="E1906" s="6">
        <f>IF(AND(C1906&lt;&gt;"",D1906&lt;&gt;""),D1906-C1906,"")</f>
        <v>0</v>
      </c>
      <c r="F1906" s="4" t="s">
        <v>2373</v>
      </c>
      <c r="G1906" s="4" t="s">
        <v>2750</v>
      </c>
      <c r="H1906" s="4" t="s">
        <v>2538</v>
      </c>
      <c r="I1906" s="4" t="s">
        <v>56</v>
      </c>
      <c r="J1906" s="4">
        <v>5</v>
      </c>
      <c r="K1906" s="4">
        <v>3</v>
      </c>
      <c r="L1906" s="4">
        <f>J1906+K1906</f>
        <v>0</v>
      </c>
      <c r="M1906" s="4"/>
      <c r="N1906" s="4"/>
      <c r="O1906" s="4">
        <v>0</v>
      </c>
      <c r="P1906" s="4"/>
      <c r="Q1906" s="4"/>
      <c r="R1906" s="7">
        <v>0</v>
      </c>
      <c r="S1906" s="7">
        <v>0</v>
      </c>
      <c r="T1906" s="7">
        <f>R1906-S1906</f>
        <v>0</v>
      </c>
      <c r="U1906" s="7">
        <f>T1906*O1906</f>
        <v>0</v>
      </c>
    </row>
    <row r="1907" spans="1:21">
      <c r="A1907" s="4" t="s">
        <v>2751</v>
      </c>
      <c r="B1907" s="4" t="s">
        <v>39</v>
      </c>
      <c r="C1907" s="5">
        <v>45950.31331018519</v>
      </c>
      <c r="D1907" s="5">
        <v>45950</v>
      </c>
      <c r="E1907" s="6">
        <f>IF(AND(C1907&lt;&gt;"",D1907&lt;&gt;""),D1907-C1907,"")</f>
        <v>0</v>
      </c>
      <c r="F1907" s="4" t="s">
        <v>2752</v>
      </c>
      <c r="G1907" s="4" t="s">
        <v>2753</v>
      </c>
      <c r="H1907" s="4"/>
      <c r="I1907" s="4" t="s">
        <v>56</v>
      </c>
      <c r="J1907" s="4">
        <v>0</v>
      </c>
      <c r="K1907" s="4">
        <v>0</v>
      </c>
      <c r="L1907" s="4">
        <f>J1907+K1907</f>
        <v>0</v>
      </c>
      <c r="M1907" s="4" t="s">
        <v>370</v>
      </c>
      <c r="N1907" s="4"/>
      <c r="O1907" s="4">
        <v>1</v>
      </c>
      <c r="P1907" s="4" t="s">
        <v>135</v>
      </c>
      <c r="Q1907" s="4" t="s">
        <v>44</v>
      </c>
      <c r="R1907" s="7">
        <v>1000000</v>
      </c>
      <c r="S1907" s="7">
        <v>0</v>
      </c>
      <c r="T1907" s="7">
        <f>R1907-S1907</f>
        <v>0</v>
      </c>
      <c r="U1907" s="7">
        <f>T1907*O1907</f>
        <v>0</v>
      </c>
    </row>
    <row r="1908" spans="1:21">
      <c r="A1908" s="4" t="s">
        <v>2751</v>
      </c>
      <c r="B1908" s="4" t="s">
        <v>39</v>
      </c>
      <c r="C1908" s="5">
        <v>45950.31331018519</v>
      </c>
      <c r="D1908" s="5">
        <v>45950</v>
      </c>
      <c r="E1908" s="6">
        <f>IF(AND(C1908&lt;&gt;"",D1908&lt;&gt;""),D1908-C1908,"")</f>
        <v>0</v>
      </c>
      <c r="F1908" s="4" t="s">
        <v>2752</v>
      </c>
      <c r="G1908" s="4" t="s">
        <v>2753</v>
      </c>
      <c r="H1908" s="4"/>
      <c r="I1908" s="4" t="s">
        <v>56</v>
      </c>
      <c r="J1908" s="4">
        <v>3</v>
      </c>
      <c r="K1908" s="4">
        <v>0</v>
      </c>
      <c r="L1908" s="4">
        <f>J1908+K1908</f>
        <v>0</v>
      </c>
      <c r="M1908" s="4" t="s">
        <v>42</v>
      </c>
      <c r="N1908" s="4"/>
      <c r="O1908" s="4">
        <v>3</v>
      </c>
      <c r="P1908" s="4" t="s">
        <v>135</v>
      </c>
      <c r="Q1908" s="4" t="s">
        <v>44</v>
      </c>
      <c r="R1908" s="7">
        <v>370000</v>
      </c>
      <c r="S1908" s="7">
        <v>0</v>
      </c>
      <c r="T1908" s="7">
        <f>R1908-S1908</f>
        <v>0</v>
      </c>
      <c r="U1908" s="7">
        <f>T1908*O1908</f>
        <v>0</v>
      </c>
    </row>
    <row r="1909" spans="1:21">
      <c r="A1909" s="4" t="s">
        <v>2754</v>
      </c>
      <c r="B1909" s="4" t="s">
        <v>39</v>
      </c>
      <c r="C1909" s="5">
        <v>45950.31445601852</v>
      </c>
      <c r="D1909" s="5">
        <v>45950</v>
      </c>
      <c r="E1909" s="6">
        <f>IF(AND(C1909&lt;&gt;"",D1909&lt;&gt;""),D1909-C1909,"")</f>
        <v>0</v>
      </c>
      <c r="F1909" s="4" t="s">
        <v>2755</v>
      </c>
      <c r="G1909" s="4" t="s">
        <v>2756</v>
      </c>
      <c r="H1909" s="4" t="s">
        <v>32</v>
      </c>
      <c r="I1909" s="4" t="s">
        <v>33</v>
      </c>
      <c r="J1909" s="4">
        <v>0</v>
      </c>
      <c r="K1909" s="4">
        <v>0</v>
      </c>
      <c r="L1909" s="4">
        <f>J1909+K1909</f>
        <v>0</v>
      </c>
      <c r="M1909" s="4" t="s">
        <v>370</v>
      </c>
      <c r="N1909" s="4"/>
      <c r="O1909" s="4">
        <v>1</v>
      </c>
      <c r="P1909" s="4" t="s">
        <v>135</v>
      </c>
      <c r="Q1909" s="4" t="s">
        <v>44</v>
      </c>
      <c r="R1909" s="7">
        <v>500000</v>
      </c>
      <c r="S1909" s="7">
        <v>0</v>
      </c>
      <c r="T1909" s="7">
        <f>R1909-S1909</f>
        <v>0</v>
      </c>
      <c r="U1909" s="7">
        <f>T1909*O1909</f>
        <v>0</v>
      </c>
    </row>
    <row r="1910" spans="1:21">
      <c r="A1910" s="4" t="s">
        <v>2754</v>
      </c>
      <c r="B1910" s="4" t="s">
        <v>39</v>
      </c>
      <c r="C1910" s="5">
        <v>45950.31445601852</v>
      </c>
      <c r="D1910" s="5">
        <v>45950</v>
      </c>
      <c r="E1910" s="6">
        <f>IF(AND(C1910&lt;&gt;"",D1910&lt;&gt;""),D1910-C1910,"")</f>
        <v>0</v>
      </c>
      <c r="F1910" s="4" t="s">
        <v>2755</v>
      </c>
      <c r="G1910" s="4" t="s">
        <v>2756</v>
      </c>
      <c r="H1910" s="4" t="s">
        <v>32</v>
      </c>
      <c r="I1910" s="4" t="s">
        <v>33</v>
      </c>
      <c r="J1910" s="4">
        <v>1</v>
      </c>
      <c r="K1910" s="4">
        <v>0</v>
      </c>
      <c r="L1910" s="4">
        <f>J1910+K1910</f>
        <v>0</v>
      </c>
      <c r="M1910" s="4" t="s">
        <v>968</v>
      </c>
      <c r="N1910" s="4"/>
      <c r="O1910" s="4">
        <v>1</v>
      </c>
      <c r="P1910" s="4" t="s">
        <v>135</v>
      </c>
      <c r="Q1910" s="4" t="s">
        <v>44</v>
      </c>
      <c r="R1910" s="7">
        <v>1050000</v>
      </c>
      <c r="S1910" s="7">
        <v>0</v>
      </c>
      <c r="T1910" s="7">
        <f>R1910-S1910</f>
        <v>0</v>
      </c>
      <c r="U1910" s="7">
        <f>T1910*O1910</f>
        <v>0</v>
      </c>
    </row>
    <row r="1911" spans="1:21">
      <c r="A1911" s="4" t="s">
        <v>2757</v>
      </c>
      <c r="B1911" s="4" t="s">
        <v>48</v>
      </c>
      <c r="C1911" s="5">
        <v>45950.31486111111</v>
      </c>
      <c r="D1911" s="5">
        <v>45961</v>
      </c>
      <c r="E1911" s="6">
        <f>IF(AND(C1911&lt;&gt;"",D1911&lt;&gt;""),D1911-C1911,"")</f>
        <v>0</v>
      </c>
      <c r="F1911" s="4" t="s">
        <v>2373</v>
      </c>
      <c r="G1911" s="4" t="s">
        <v>2750</v>
      </c>
      <c r="H1911" s="4" t="s">
        <v>2538</v>
      </c>
      <c r="I1911" s="4" t="s">
        <v>56</v>
      </c>
      <c r="J1911" s="4">
        <v>8</v>
      </c>
      <c r="K1911" s="4">
        <v>0</v>
      </c>
      <c r="L1911" s="4">
        <f>J1911+K1911</f>
        <v>0</v>
      </c>
      <c r="M1911" s="4"/>
      <c r="N1911" s="4"/>
      <c r="O1911" s="4">
        <v>0</v>
      </c>
      <c r="P1911" s="4"/>
      <c r="Q1911" s="4"/>
      <c r="R1911" s="7">
        <v>0</v>
      </c>
      <c r="S1911" s="7">
        <v>0</v>
      </c>
      <c r="T1911" s="7">
        <f>R1911-S1911</f>
        <v>0</v>
      </c>
      <c r="U1911" s="7">
        <f>T1911*O1911</f>
        <v>0</v>
      </c>
    </row>
    <row r="1912" spans="1:21">
      <c r="A1912" s="4" t="s">
        <v>2758</v>
      </c>
      <c r="B1912" s="4" t="s">
        <v>39</v>
      </c>
      <c r="C1912" s="5">
        <v>45950.32696759259</v>
      </c>
      <c r="D1912" s="5">
        <v>45950</v>
      </c>
      <c r="E1912" s="6">
        <f>IF(AND(C1912&lt;&gt;"",D1912&lt;&gt;""),D1912-C1912,"")</f>
        <v>0</v>
      </c>
      <c r="F1912" s="4" t="s">
        <v>2755</v>
      </c>
      <c r="G1912" s="4" t="s">
        <v>2756</v>
      </c>
      <c r="H1912" s="4" t="s">
        <v>32</v>
      </c>
      <c r="I1912" s="4" t="s">
        <v>33</v>
      </c>
      <c r="J1912" s="4">
        <v>0</v>
      </c>
      <c r="K1912" s="4">
        <v>0</v>
      </c>
      <c r="L1912" s="4">
        <f>J1912+K1912</f>
        <v>0</v>
      </c>
      <c r="M1912" s="4" t="s">
        <v>370</v>
      </c>
      <c r="N1912" s="4"/>
      <c r="O1912" s="4">
        <v>1</v>
      </c>
      <c r="P1912" s="4" t="s">
        <v>135</v>
      </c>
      <c r="Q1912" s="4" t="s">
        <v>44</v>
      </c>
      <c r="R1912" s="7">
        <v>1000000</v>
      </c>
      <c r="S1912" s="7">
        <v>0</v>
      </c>
      <c r="T1912" s="7">
        <f>R1912-S1912</f>
        <v>0</v>
      </c>
      <c r="U1912" s="7">
        <f>T1912*O1912</f>
        <v>0</v>
      </c>
    </row>
    <row r="1913" spans="1:21">
      <c r="A1913" s="4" t="s">
        <v>2759</v>
      </c>
      <c r="B1913" s="4" t="s">
        <v>39</v>
      </c>
      <c r="C1913" s="5">
        <v>45950.33251157407</v>
      </c>
      <c r="D1913" s="5">
        <v>45950</v>
      </c>
      <c r="E1913" s="6">
        <f>IF(AND(C1913&lt;&gt;"",D1913&lt;&gt;""),D1913-C1913,"")</f>
        <v>0</v>
      </c>
      <c r="F1913" s="4" t="s">
        <v>2760</v>
      </c>
      <c r="G1913" s="4" t="s">
        <v>2761</v>
      </c>
      <c r="H1913" s="4" t="s">
        <v>2310</v>
      </c>
      <c r="I1913" s="4" t="s">
        <v>56</v>
      </c>
      <c r="J1913" s="4">
        <v>0</v>
      </c>
      <c r="K1913" s="4">
        <v>0</v>
      </c>
      <c r="L1913" s="4">
        <f>J1913+K1913</f>
        <v>0</v>
      </c>
      <c r="M1913" s="4" t="s">
        <v>370</v>
      </c>
      <c r="N1913" s="4"/>
      <c r="O1913" s="4">
        <v>1</v>
      </c>
      <c r="P1913" s="4" t="s">
        <v>135</v>
      </c>
      <c r="Q1913" s="4" t="s">
        <v>44</v>
      </c>
      <c r="R1913" s="7">
        <v>2000000</v>
      </c>
      <c r="S1913" s="7">
        <v>0</v>
      </c>
      <c r="T1913" s="7">
        <f>R1913-S1913</f>
        <v>0</v>
      </c>
      <c r="U1913" s="7">
        <f>T1913*O1913</f>
        <v>0</v>
      </c>
    </row>
    <row r="1914" spans="1:21">
      <c r="A1914" s="4" t="s">
        <v>2762</v>
      </c>
      <c r="B1914" s="4" t="s">
        <v>29</v>
      </c>
      <c r="C1914" s="5">
        <v>45950.35550925926</v>
      </c>
      <c r="D1914" s="5">
        <v>45961</v>
      </c>
      <c r="E1914" s="6">
        <f>IF(AND(C1914&lt;&gt;"",D1914&lt;&gt;""),D1914-C1914,"")</f>
        <v>0</v>
      </c>
      <c r="F1914" s="4" t="s">
        <v>2763</v>
      </c>
      <c r="G1914" s="4" t="s">
        <v>2764</v>
      </c>
      <c r="H1914" s="4"/>
      <c r="I1914" s="4" t="s">
        <v>56</v>
      </c>
      <c r="J1914" s="4">
        <v>1</v>
      </c>
      <c r="K1914" s="4">
        <v>0</v>
      </c>
      <c r="L1914" s="4">
        <f>J1914+K1914</f>
        <v>0</v>
      </c>
      <c r="M1914" s="4"/>
      <c r="N1914" s="4"/>
      <c r="O1914" s="4">
        <v>0</v>
      </c>
      <c r="P1914" s="4"/>
      <c r="Q1914" s="4"/>
      <c r="R1914" s="7">
        <v>0</v>
      </c>
      <c r="S1914" s="7">
        <v>0</v>
      </c>
      <c r="T1914" s="7">
        <f>R1914-S1914</f>
        <v>0</v>
      </c>
      <c r="U1914" s="7">
        <f>T1914*O1914</f>
        <v>0</v>
      </c>
    </row>
    <row r="1915" spans="1:21">
      <c r="A1915" s="4" t="s">
        <v>2765</v>
      </c>
      <c r="B1915" s="4" t="s">
        <v>29</v>
      </c>
      <c r="C1915" s="5">
        <v>45950.36953703704</v>
      </c>
      <c r="D1915" s="5">
        <v>45961</v>
      </c>
      <c r="E1915" s="6">
        <f>IF(AND(C1915&lt;&gt;"",D1915&lt;&gt;""),D1915-C1915,"")</f>
        <v>0</v>
      </c>
      <c r="F1915" s="4" t="s">
        <v>2766</v>
      </c>
      <c r="G1915" s="4" t="s">
        <v>2767</v>
      </c>
      <c r="H1915" s="4"/>
      <c r="I1915" s="4" t="s">
        <v>56</v>
      </c>
      <c r="J1915" s="4">
        <v>1</v>
      </c>
      <c r="K1915" s="4">
        <v>0</v>
      </c>
      <c r="L1915" s="4">
        <f>J1915+K1915</f>
        <v>0</v>
      </c>
      <c r="M1915" s="4"/>
      <c r="N1915" s="4"/>
      <c r="O1915" s="4">
        <v>0</v>
      </c>
      <c r="P1915" s="4"/>
      <c r="Q1915" s="4"/>
      <c r="R1915" s="7">
        <v>0</v>
      </c>
      <c r="S1915" s="7">
        <v>0</v>
      </c>
      <c r="T1915" s="7">
        <f>R1915-S1915</f>
        <v>0</v>
      </c>
      <c r="U1915" s="7">
        <f>T1915*O1915</f>
        <v>0</v>
      </c>
    </row>
    <row r="1916" spans="1:21">
      <c r="A1916" s="4" t="s">
        <v>2765</v>
      </c>
      <c r="B1916" s="4" t="s">
        <v>29</v>
      </c>
      <c r="C1916" s="5">
        <v>45950.36953703704</v>
      </c>
      <c r="D1916" s="5">
        <v>45961</v>
      </c>
      <c r="E1916" s="6">
        <f>IF(AND(C1916&lt;&gt;"",D1916&lt;&gt;""),D1916-C1916,"")</f>
        <v>0</v>
      </c>
      <c r="F1916" s="4" t="s">
        <v>2768</v>
      </c>
      <c r="G1916" s="4" t="s">
        <v>2769</v>
      </c>
      <c r="H1916" s="4"/>
      <c r="I1916" s="4" t="s">
        <v>56</v>
      </c>
      <c r="J1916" s="4">
        <v>1</v>
      </c>
      <c r="K1916" s="4">
        <v>0</v>
      </c>
      <c r="L1916" s="4">
        <f>J1916+K1916</f>
        <v>0</v>
      </c>
      <c r="M1916" s="4"/>
      <c r="N1916" s="4"/>
      <c r="O1916" s="4">
        <v>0</v>
      </c>
      <c r="P1916" s="4"/>
      <c r="Q1916" s="4"/>
      <c r="R1916" s="7">
        <v>0</v>
      </c>
      <c r="S1916" s="7">
        <v>0</v>
      </c>
      <c r="T1916" s="7">
        <f>R1916-S1916</f>
        <v>0</v>
      </c>
      <c r="U1916" s="7">
        <f>T1916*O1916</f>
        <v>0</v>
      </c>
    </row>
    <row r="1917" spans="1:21">
      <c r="A1917" s="4" t="s">
        <v>2765</v>
      </c>
      <c r="B1917" s="4" t="s">
        <v>29</v>
      </c>
      <c r="C1917" s="5">
        <v>45950.36953703704</v>
      </c>
      <c r="D1917" s="5">
        <v>45961</v>
      </c>
      <c r="E1917" s="6">
        <f>IF(AND(C1917&lt;&gt;"",D1917&lt;&gt;""),D1917-C1917,"")</f>
        <v>0</v>
      </c>
      <c r="F1917" s="4" t="s">
        <v>2770</v>
      </c>
      <c r="G1917" s="4" t="s">
        <v>2771</v>
      </c>
      <c r="H1917" s="4"/>
      <c r="I1917" s="4" t="s">
        <v>56</v>
      </c>
      <c r="J1917" s="4">
        <v>1</v>
      </c>
      <c r="K1917" s="4">
        <v>0</v>
      </c>
      <c r="L1917" s="4">
        <f>J1917+K1917</f>
        <v>0</v>
      </c>
      <c r="M1917" s="4"/>
      <c r="N1917" s="4"/>
      <c r="O1917" s="4">
        <v>0</v>
      </c>
      <c r="P1917" s="4"/>
      <c r="Q1917" s="4"/>
      <c r="R1917" s="7">
        <v>0</v>
      </c>
      <c r="S1917" s="7">
        <v>0</v>
      </c>
      <c r="T1917" s="7">
        <f>R1917-S1917</f>
        <v>0</v>
      </c>
      <c r="U1917" s="7">
        <f>T1917*O1917</f>
        <v>0</v>
      </c>
    </row>
    <row r="1918" spans="1:21">
      <c r="A1918" s="4" t="s">
        <v>2765</v>
      </c>
      <c r="B1918" s="4" t="s">
        <v>29</v>
      </c>
      <c r="C1918" s="5">
        <v>45950.36953703704</v>
      </c>
      <c r="D1918" s="5">
        <v>45961</v>
      </c>
      <c r="E1918" s="6">
        <f>IF(AND(C1918&lt;&gt;"",D1918&lt;&gt;""),D1918-C1918,"")</f>
        <v>0</v>
      </c>
      <c r="F1918" s="4" t="s">
        <v>2772</v>
      </c>
      <c r="G1918" s="4" t="s">
        <v>2773</v>
      </c>
      <c r="H1918" s="4"/>
      <c r="I1918" s="4" t="s">
        <v>56</v>
      </c>
      <c r="J1918" s="4">
        <v>1</v>
      </c>
      <c r="K1918" s="4">
        <v>0</v>
      </c>
      <c r="L1918" s="4">
        <f>J1918+K1918</f>
        <v>0</v>
      </c>
      <c r="M1918" s="4"/>
      <c r="N1918" s="4"/>
      <c r="O1918" s="4">
        <v>0</v>
      </c>
      <c r="P1918" s="4"/>
      <c r="Q1918" s="4"/>
      <c r="R1918" s="7">
        <v>0</v>
      </c>
      <c r="S1918" s="7">
        <v>0</v>
      </c>
      <c r="T1918" s="7">
        <f>R1918-S1918</f>
        <v>0</v>
      </c>
      <c r="U1918" s="7">
        <f>T1918*O1918</f>
        <v>0</v>
      </c>
    </row>
    <row r="1919" spans="1:21">
      <c r="A1919" s="4" t="s">
        <v>2765</v>
      </c>
      <c r="B1919" s="4" t="s">
        <v>29</v>
      </c>
      <c r="C1919" s="5">
        <v>45950.36953703704</v>
      </c>
      <c r="D1919" s="5">
        <v>45961</v>
      </c>
      <c r="E1919" s="6">
        <f>IF(AND(C1919&lt;&gt;"",D1919&lt;&gt;""),D1919-C1919,"")</f>
        <v>0</v>
      </c>
      <c r="F1919" s="4" t="s">
        <v>2774</v>
      </c>
      <c r="G1919" s="4" t="s">
        <v>2775</v>
      </c>
      <c r="H1919" s="4"/>
      <c r="I1919" s="4" t="s">
        <v>56</v>
      </c>
      <c r="J1919" s="4">
        <v>1</v>
      </c>
      <c r="K1919" s="4">
        <v>0</v>
      </c>
      <c r="L1919" s="4">
        <f>J1919+K1919</f>
        <v>0</v>
      </c>
      <c r="M1919" s="4"/>
      <c r="N1919" s="4"/>
      <c r="O1919" s="4">
        <v>0</v>
      </c>
      <c r="P1919" s="4"/>
      <c r="Q1919" s="4"/>
      <c r="R1919" s="7">
        <v>0</v>
      </c>
      <c r="S1919" s="7">
        <v>0</v>
      </c>
      <c r="T1919" s="7">
        <f>R1919-S1919</f>
        <v>0</v>
      </c>
      <c r="U1919" s="7">
        <f>T1919*O1919</f>
        <v>0</v>
      </c>
    </row>
    <row r="1920" spans="1:21">
      <c r="A1920" s="4" t="s">
        <v>2776</v>
      </c>
      <c r="B1920" s="4" t="s">
        <v>39</v>
      </c>
      <c r="C1920" s="5">
        <v>45950.37140046297</v>
      </c>
      <c r="D1920" s="5">
        <v>45950</v>
      </c>
      <c r="E1920" s="6">
        <f>IF(AND(C1920&lt;&gt;"",D1920&lt;&gt;""),D1920-C1920,"")</f>
        <v>0</v>
      </c>
      <c r="F1920" s="4" t="s">
        <v>2777</v>
      </c>
      <c r="G1920" s="4" t="s">
        <v>2778</v>
      </c>
      <c r="H1920" s="4"/>
      <c r="I1920" s="4" t="s">
        <v>56</v>
      </c>
      <c r="J1920" s="4">
        <v>1</v>
      </c>
      <c r="K1920" s="4">
        <v>0</v>
      </c>
      <c r="L1920" s="4">
        <f>J1920+K1920</f>
        <v>0</v>
      </c>
      <c r="M1920" s="4" t="s">
        <v>80</v>
      </c>
      <c r="N1920" s="4"/>
      <c r="O1920" s="4">
        <v>1</v>
      </c>
      <c r="P1920" s="4" t="s">
        <v>135</v>
      </c>
      <c r="Q1920" s="4" t="s">
        <v>44</v>
      </c>
      <c r="R1920" s="7">
        <v>610000</v>
      </c>
      <c r="S1920" s="7">
        <v>0</v>
      </c>
      <c r="T1920" s="7">
        <f>R1920-S1920</f>
        <v>0</v>
      </c>
      <c r="U1920" s="7">
        <f>T1920*O1920</f>
        <v>0</v>
      </c>
    </row>
    <row r="1921" spans="1:21">
      <c r="A1921" s="4" t="s">
        <v>2779</v>
      </c>
      <c r="B1921" s="4" t="s">
        <v>48</v>
      </c>
      <c r="C1921" s="5">
        <v>45950.40712962963</v>
      </c>
      <c r="D1921" s="5">
        <v>45961</v>
      </c>
      <c r="E1921" s="6">
        <f>IF(AND(C1921&lt;&gt;"",D1921&lt;&gt;""),D1921-C1921,"")</f>
        <v>0</v>
      </c>
      <c r="F1921" s="4" t="s">
        <v>2780</v>
      </c>
      <c r="G1921" s="4" t="s">
        <v>2781</v>
      </c>
      <c r="H1921" s="4" t="s">
        <v>190</v>
      </c>
      <c r="I1921" s="4" t="s">
        <v>56</v>
      </c>
      <c r="J1921" s="4">
        <v>3</v>
      </c>
      <c r="K1921" s="4">
        <v>0</v>
      </c>
      <c r="L1921" s="4">
        <f>J1921+K1921</f>
        <v>0</v>
      </c>
      <c r="M1921" s="4"/>
      <c r="N1921" s="4"/>
      <c r="O1921" s="4">
        <v>0</v>
      </c>
      <c r="P1921" s="4"/>
      <c r="Q1921" s="4"/>
      <c r="R1921" s="7">
        <v>0</v>
      </c>
      <c r="S1921" s="7">
        <v>0</v>
      </c>
      <c r="T1921" s="7">
        <f>R1921-S1921</f>
        <v>0</v>
      </c>
      <c r="U1921" s="7">
        <f>T1921*O1921</f>
        <v>0</v>
      </c>
    </row>
    <row r="1922" spans="1:21">
      <c r="A1922" s="4" t="s">
        <v>2782</v>
      </c>
      <c r="B1922" s="4" t="s">
        <v>39</v>
      </c>
      <c r="C1922" s="5">
        <v>45950.41226851852</v>
      </c>
      <c r="D1922" s="5">
        <v>45950</v>
      </c>
      <c r="E1922" s="6">
        <f>IF(AND(C1922&lt;&gt;"",D1922&lt;&gt;""),D1922-C1922,"")</f>
        <v>0</v>
      </c>
      <c r="F1922" s="4" t="s">
        <v>2783</v>
      </c>
      <c r="G1922" s="4" t="s">
        <v>2784</v>
      </c>
      <c r="H1922" s="4" t="s">
        <v>32</v>
      </c>
      <c r="I1922" s="4" t="s">
        <v>33</v>
      </c>
      <c r="J1922" s="4">
        <v>0</v>
      </c>
      <c r="K1922" s="4">
        <v>0</v>
      </c>
      <c r="L1922" s="4">
        <f>J1922+K1922</f>
        <v>0</v>
      </c>
      <c r="M1922" s="4" t="s">
        <v>370</v>
      </c>
      <c r="N1922" s="4"/>
      <c r="O1922" s="4">
        <v>1</v>
      </c>
      <c r="P1922" s="4" t="s">
        <v>43</v>
      </c>
      <c r="Q1922" s="4" t="s">
        <v>44</v>
      </c>
      <c r="R1922" s="7">
        <v>10000000</v>
      </c>
      <c r="S1922" s="7">
        <v>0</v>
      </c>
      <c r="T1922" s="7">
        <f>R1922-S1922</f>
        <v>0</v>
      </c>
      <c r="U1922" s="7">
        <f>T1922*O1922</f>
        <v>0</v>
      </c>
    </row>
    <row r="1923" spans="1:21">
      <c r="A1923" s="4" t="s">
        <v>2785</v>
      </c>
      <c r="B1923" s="4" t="s">
        <v>39</v>
      </c>
      <c r="C1923" s="5">
        <v>45950.41269675926</v>
      </c>
      <c r="D1923" s="5">
        <v>45950</v>
      </c>
      <c r="E1923" s="6">
        <f>IF(AND(C1923&lt;&gt;"",D1923&lt;&gt;""),D1923-C1923,"")</f>
        <v>0</v>
      </c>
      <c r="F1923" s="4" t="s">
        <v>1487</v>
      </c>
      <c r="G1923" s="4" t="s">
        <v>2786</v>
      </c>
      <c r="H1923" s="4" t="s">
        <v>32</v>
      </c>
      <c r="I1923" s="4" t="s">
        <v>33</v>
      </c>
      <c r="J1923" s="4">
        <v>0</v>
      </c>
      <c r="K1923" s="4">
        <v>0</v>
      </c>
      <c r="L1923" s="4">
        <f>J1923+K1923</f>
        <v>0</v>
      </c>
      <c r="M1923" s="4" t="s">
        <v>370</v>
      </c>
      <c r="N1923" s="4"/>
      <c r="O1923" s="4">
        <v>1</v>
      </c>
      <c r="P1923" s="4" t="s">
        <v>135</v>
      </c>
      <c r="Q1923" s="4" t="s">
        <v>44</v>
      </c>
      <c r="R1923" s="7">
        <v>10000000</v>
      </c>
      <c r="S1923" s="7">
        <v>0</v>
      </c>
      <c r="T1923" s="7">
        <f>R1923-S1923</f>
        <v>0</v>
      </c>
      <c r="U1923" s="7">
        <f>T1923*O1923</f>
        <v>0</v>
      </c>
    </row>
    <row r="1924" spans="1:21">
      <c r="A1924" s="4" t="s">
        <v>2787</v>
      </c>
      <c r="B1924" s="4" t="s">
        <v>39</v>
      </c>
      <c r="C1924" s="5">
        <v>45950.42578703703</v>
      </c>
      <c r="D1924" s="5">
        <v>45950</v>
      </c>
      <c r="E1924" s="6">
        <f>IF(AND(C1924&lt;&gt;"",D1924&lt;&gt;""),D1924-C1924,"")</f>
        <v>0</v>
      </c>
      <c r="F1924" s="4" t="s">
        <v>2788</v>
      </c>
      <c r="G1924" s="4" t="s">
        <v>2788</v>
      </c>
      <c r="H1924" s="4" t="s">
        <v>32</v>
      </c>
      <c r="I1924" s="4" t="s">
        <v>33</v>
      </c>
      <c r="J1924" s="4">
        <v>0</v>
      </c>
      <c r="K1924" s="4">
        <v>0</v>
      </c>
      <c r="L1924" s="4">
        <f>J1924+K1924</f>
        <v>0</v>
      </c>
      <c r="M1924" s="4" t="s">
        <v>2789</v>
      </c>
      <c r="N1924" s="4"/>
      <c r="O1924" s="4">
        <v>1</v>
      </c>
      <c r="P1924" s="4" t="s">
        <v>135</v>
      </c>
      <c r="Q1924" s="4"/>
      <c r="R1924" s="7">
        <v>700000</v>
      </c>
      <c r="S1924" s="7">
        <v>0</v>
      </c>
      <c r="T1924" s="7">
        <f>R1924-S1924</f>
        <v>0</v>
      </c>
      <c r="U1924" s="7">
        <f>T1924*O1924</f>
        <v>0</v>
      </c>
    </row>
    <row r="1925" spans="1:21">
      <c r="A1925" s="4" t="s">
        <v>2790</v>
      </c>
      <c r="B1925" s="4" t="s">
        <v>39</v>
      </c>
      <c r="C1925" s="5">
        <v>45950.50325231482</v>
      </c>
      <c r="D1925" s="5">
        <v>45950</v>
      </c>
      <c r="E1925" s="6">
        <f>IF(AND(C1925&lt;&gt;"",D1925&lt;&gt;""),D1925-C1925,"")</f>
        <v>0</v>
      </c>
      <c r="F1925" s="4" t="s">
        <v>1893</v>
      </c>
      <c r="G1925" s="4"/>
      <c r="H1925" s="4"/>
      <c r="I1925" s="4" t="s">
        <v>56</v>
      </c>
      <c r="J1925" s="4">
        <v>0</v>
      </c>
      <c r="K1925" s="4">
        <v>0</v>
      </c>
      <c r="L1925" s="4">
        <f>J1925+K1925</f>
        <v>0</v>
      </c>
      <c r="M1925" s="4" t="s">
        <v>2791</v>
      </c>
      <c r="N1925" s="4"/>
      <c r="O1925" s="4">
        <v>-1</v>
      </c>
      <c r="P1925" s="4" t="s">
        <v>135</v>
      </c>
      <c r="Q1925" s="4"/>
      <c r="R1925" s="7">
        <v>40000</v>
      </c>
      <c r="S1925" s="7">
        <v>0</v>
      </c>
      <c r="T1925" s="7">
        <f>R1925-S1925</f>
        <v>0</v>
      </c>
      <c r="U1925" s="7">
        <f>T1925*O1925</f>
        <v>0</v>
      </c>
    </row>
    <row r="1926" spans="1:21">
      <c r="A1926" s="4" t="s">
        <v>2790</v>
      </c>
      <c r="B1926" s="4" t="s">
        <v>39</v>
      </c>
      <c r="C1926" s="5">
        <v>45950.50325231482</v>
      </c>
      <c r="D1926" s="5">
        <v>45950</v>
      </c>
      <c r="E1926" s="6">
        <f>IF(AND(C1926&lt;&gt;"",D1926&lt;&gt;""),D1926-C1926,"")</f>
        <v>0</v>
      </c>
      <c r="F1926" s="4" t="s">
        <v>1893</v>
      </c>
      <c r="G1926" s="4"/>
      <c r="H1926" s="4"/>
      <c r="I1926" s="4" t="s">
        <v>56</v>
      </c>
      <c r="J1926" s="4">
        <v>0</v>
      </c>
      <c r="K1926" s="4">
        <v>0</v>
      </c>
      <c r="L1926" s="4">
        <f>J1926+K1926</f>
        <v>0</v>
      </c>
      <c r="M1926" s="4" t="s">
        <v>2560</v>
      </c>
      <c r="N1926" s="4"/>
      <c r="O1926" s="4">
        <v>1</v>
      </c>
      <c r="P1926" s="4" t="s">
        <v>135</v>
      </c>
      <c r="Q1926" s="4"/>
      <c r="R1926" s="7">
        <v>40000</v>
      </c>
      <c r="S1926" s="7">
        <v>0</v>
      </c>
      <c r="T1926" s="7">
        <f>R1926-S1926</f>
        <v>0</v>
      </c>
      <c r="U1926" s="7">
        <f>T1926*O1926</f>
        <v>0</v>
      </c>
    </row>
    <row r="1927" spans="1:21">
      <c r="A1927" s="4" t="s">
        <v>2792</v>
      </c>
      <c r="B1927" s="4" t="s">
        <v>39</v>
      </c>
      <c r="C1927" s="5">
        <v>45950.52652777778</v>
      </c>
      <c r="D1927" s="5">
        <v>45950</v>
      </c>
      <c r="E1927" s="6">
        <f>IF(AND(C1927&lt;&gt;"",D1927&lt;&gt;""),D1927-C1927,"")</f>
        <v>0</v>
      </c>
      <c r="F1927" s="4" t="s">
        <v>2793</v>
      </c>
      <c r="G1927" s="4" t="s">
        <v>2794</v>
      </c>
      <c r="H1927" s="4" t="s">
        <v>32</v>
      </c>
      <c r="I1927" s="4" t="s">
        <v>33</v>
      </c>
      <c r="J1927" s="4">
        <v>0</v>
      </c>
      <c r="K1927" s="4">
        <v>0</v>
      </c>
      <c r="L1927" s="4">
        <f>J1927+K1927</f>
        <v>0</v>
      </c>
      <c r="M1927" s="4" t="s">
        <v>370</v>
      </c>
      <c r="N1927" s="4"/>
      <c r="O1927" s="4">
        <v>1</v>
      </c>
      <c r="P1927" s="4" t="s">
        <v>135</v>
      </c>
      <c r="Q1927" s="4"/>
      <c r="R1927" s="7">
        <v>2000000</v>
      </c>
      <c r="S1927" s="7">
        <v>0</v>
      </c>
      <c r="T1927" s="7">
        <f>R1927-S1927</f>
        <v>0</v>
      </c>
      <c r="U1927" s="7">
        <f>T1927*O1927</f>
        <v>0</v>
      </c>
    </row>
    <row r="1928" spans="1:21">
      <c r="A1928" s="4" t="s">
        <v>2795</v>
      </c>
      <c r="B1928" s="4" t="s">
        <v>48</v>
      </c>
      <c r="C1928" s="5">
        <v>45950.53168981482</v>
      </c>
      <c r="D1928" s="5">
        <v>45961</v>
      </c>
      <c r="E1928" s="6">
        <f>IF(AND(C1928&lt;&gt;"",D1928&lt;&gt;""),D1928-C1928,"")</f>
        <v>0</v>
      </c>
      <c r="F1928" s="4" t="s">
        <v>162</v>
      </c>
      <c r="G1928" s="4" t="s">
        <v>163</v>
      </c>
      <c r="H1928" s="4" t="s">
        <v>32</v>
      </c>
      <c r="I1928" s="4" t="s">
        <v>33</v>
      </c>
      <c r="J1928" s="4">
        <v>5</v>
      </c>
      <c r="K1928" s="4">
        <v>0</v>
      </c>
      <c r="L1928" s="4">
        <f>J1928+K1928</f>
        <v>0</v>
      </c>
      <c r="M1928" s="4"/>
      <c r="N1928" s="4"/>
      <c r="O1928" s="4">
        <v>0</v>
      </c>
      <c r="P1928" s="4"/>
      <c r="Q1928" s="4"/>
      <c r="R1928" s="7">
        <v>0</v>
      </c>
      <c r="S1928" s="7">
        <v>0</v>
      </c>
      <c r="T1928" s="7">
        <f>R1928-S1928</f>
        <v>0</v>
      </c>
      <c r="U1928" s="7">
        <f>T1928*O1928</f>
        <v>0</v>
      </c>
    </row>
    <row r="1929" spans="1:21">
      <c r="A1929" s="4" t="s">
        <v>2796</v>
      </c>
      <c r="B1929" s="4" t="s">
        <v>29</v>
      </c>
      <c r="C1929" s="5">
        <v>45950.5505324074</v>
      </c>
      <c r="D1929" s="5">
        <v>45961</v>
      </c>
      <c r="E1929" s="6">
        <f>IF(AND(C1929&lt;&gt;"",D1929&lt;&gt;""),D1929-C1929,"")</f>
        <v>0</v>
      </c>
      <c r="F1929" s="4" t="s">
        <v>307</v>
      </c>
      <c r="G1929" s="4" t="s">
        <v>308</v>
      </c>
      <c r="H1929" s="4" t="s">
        <v>190</v>
      </c>
      <c r="I1929" s="4" t="s">
        <v>56</v>
      </c>
      <c r="J1929" s="4">
        <v>1</v>
      </c>
      <c r="K1929" s="4">
        <v>0</v>
      </c>
      <c r="L1929" s="4">
        <f>J1929+K1929</f>
        <v>0</v>
      </c>
      <c r="M1929" s="4"/>
      <c r="N1929" s="4"/>
      <c r="O1929" s="4">
        <v>0</v>
      </c>
      <c r="P1929" s="4"/>
      <c r="Q1929" s="4"/>
      <c r="R1929" s="7">
        <v>0</v>
      </c>
      <c r="S1929" s="7">
        <v>0</v>
      </c>
      <c r="T1929" s="7">
        <f>R1929-S1929</f>
        <v>0</v>
      </c>
      <c r="U1929" s="7">
        <f>T1929*O1929</f>
        <v>0</v>
      </c>
    </row>
    <row r="1930" spans="1:21">
      <c r="A1930" s="4" t="s">
        <v>2797</v>
      </c>
      <c r="B1930" s="4" t="s">
        <v>39</v>
      </c>
      <c r="C1930" s="5">
        <v>45950.63695601852</v>
      </c>
      <c r="D1930" s="5">
        <v>45950</v>
      </c>
      <c r="E1930" s="6">
        <f>IF(AND(C1930&lt;&gt;"",D1930&lt;&gt;""),D1930-C1930,"")</f>
        <v>0</v>
      </c>
      <c r="F1930" s="4" t="s">
        <v>2798</v>
      </c>
      <c r="G1930" s="4" t="s">
        <v>2799</v>
      </c>
      <c r="H1930" s="4" t="s">
        <v>32</v>
      </c>
      <c r="I1930" s="4" t="s">
        <v>33</v>
      </c>
      <c r="J1930" s="4">
        <v>0</v>
      </c>
      <c r="K1930" s="4">
        <v>0</v>
      </c>
      <c r="L1930" s="4">
        <f>J1930+K1930</f>
        <v>0</v>
      </c>
      <c r="M1930" s="4" t="s">
        <v>370</v>
      </c>
      <c r="N1930" s="4"/>
      <c r="O1930" s="4">
        <v>1</v>
      </c>
      <c r="P1930" s="4" t="s">
        <v>135</v>
      </c>
      <c r="Q1930" s="4"/>
      <c r="R1930" s="7">
        <v>1200000</v>
      </c>
      <c r="S1930" s="7">
        <v>0</v>
      </c>
      <c r="T1930" s="7">
        <f>R1930-S1930</f>
        <v>0</v>
      </c>
      <c r="U1930" s="7">
        <f>T1930*O1930</f>
        <v>0</v>
      </c>
    </row>
    <row r="1931" spans="1:21">
      <c r="A1931" s="4" t="s">
        <v>2800</v>
      </c>
      <c r="B1931" s="4" t="s">
        <v>48</v>
      </c>
      <c r="C1931" s="5">
        <v>45951.06674768519</v>
      </c>
      <c r="D1931" s="5">
        <v>45961</v>
      </c>
      <c r="E1931" s="6">
        <f>IF(AND(C1931&lt;&gt;"",D1931&lt;&gt;""),D1931-C1931,"")</f>
        <v>0</v>
      </c>
      <c r="F1931" s="4" t="s">
        <v>809</v>
      </c>
      <c r="G1931" s="4" t="s">
        <v>810</v>
      </c>
      <c r="H1931" s="4" t="s">
        <v>32</v>
      </c>
      <c r="I1931" s="4" t="s">
        <v>33</v>
      </c>
      <c r="J1931" s="4">
        <v>24</v>
      </c>
      <c r="K1931" s="4">
        <v>6</v>
      </c>
      <c r="L1931" s="4">
        <f>J1931+K1931</f>
        <v>0</v>
      </c>
      <c r="M1931" s="4"/>
      <c r="N1931" s="4"/>
      <c r="O1931" s="4">
        <v>0</v>
      </c>
      <c r="P1931" s="4"/>
      <c r="Q1931" s="4"/>
      <c r="R1931" s="7">
        <v>0</v>
      </c>
      <c r="S1931" s="7">
        <v>0</v>
      </c>
      <c r="T1931" s="7">
        <f>R1931-S1931</f>
        <v>0</v>
      </c>
      <c r="U1931" s="7">
        <f>T1931*O1931</f>
        <v>0</v>
      </c>
    </row>
    <row r="1932" spans="1:21">
      <c r="A1932" s="4" t="s">
        <v>2801</v>
      </c>
      <c r="B1932" s="4" t="s">
        <v>48</v>
      </c>
      <c r="C1932" s="5">
        <v>45951.09429398148</v>
      </c>
      <c r="D1932" s="5">
        <v>45961</v>
      </c>
      <c r="E1932" s="6">
        <f>IF(AND(C1932&lt;&gt;"",D1932&lt;&gt;""),D1932-C1932,"")</f>
        <v>0</v>
      </c>
      <c r="F1932" s="4" t="s">
        <v>372</v>
      </c>
      <c r="G1932" s="4" t="s">
        <v>373</v>
      </c>
      <c r="H1932" s="4" t="s">
        <v>32</v>
      </c>
      <c r="I1932" s="4" t="s">
        <v>33</v>
      </c>
      <c r="J1932" s="4">
        <v>4</v>
      </c>
      <c r="K1932" s="4">
        <v>1</v>
      </c>
      <c r="L1932" s="4">
        <f>J1932+K1932</f>
        <v>0</v>
      </c>
      <c r="M1932" s="4"/>
      <c r="N1932" s="4"/>
      <c r="O1932" s="4">
        <v>0</v>
      </c>
      <c r="P1932" s="4"/>
      <c r="Q1932" s="4"/>
      <c r="R1932" s="7">
        <v>0</v>
      </c>
      <c r="S1932" s="7">
        <v>0</v>
      </c>
      <c r="T1932" s="7">
        <f>R1932-S1932</f>
        <v>0</v>
      </c>
      <c r="U1932" s="7">
        <f>T1932*O1932</f>
        <v>0</v>
      </c>
    </row>
    <row r="1933" spans="1:21">
      <c r="A1933" s="4" t="s">
        <v>2802</v>
      </c>
      <c r="B1933" s="4" t="s">
        <v>48</v>
      </c>
      <c r="C1933" s="5">
        <v>45951.09549768519</v>
      </c>
      <c r="D1933" s="5">
        <v>45961</v>
      </c>
      <c r="E1933" s="6">
        <f>IF(AND(C1933&lt;&gt;"",D1933&lt;&gt;""),D1933-C1933,"")</f>
        <v>0</v>
      </c>
      <c r="F1933" s="4" t="s">
        <v>2803</v>
      </c>
      <c r="G1933" s="4" t="s">
        <v>2804</v>
      </c>
      <c r="H1933" s="4" t="s">
        <v>32</v>
      </c>
      <c r="I1933" s="4" t="s">
        <v>33</v>
      </c>
      <c r="J1933" s="4">
        <v>2</v>
      </c>
      <c r="K1933" s="4">
        <v>1</v>
      </c>
      <c r="L1933" s="4">
        <f>J1933+K1933</f>
        <v>0</v>
      </c>
      <c r="M1933" s="4"/>
      <c r="N1933" s="4"/>
      <c r="O1933" s="4">
        <v>0</v>
      </c>
      <c r="P1933" s="4"/>
      <c r="Q1933" s="4"/>
      <c r="R1933" s="7">
        <v>0</v>
      </c>
      <c r="S1933" s="7">
        <v>0</v>
      </c>
      <c r="T1933" s="7">
        <f>R1933-S1933</f>
        <v>0</v>
      </c>
      <c r="U1933" s="7">
        <f>T1933*O1933</f>
        <v>0</v>
      </c>
    </row>
    <row r="1934" spans="1:21">
      <c r="A1934" s="4" t="s">
        <v>2805</v>
      </c>
      <c r="B1934" s="4" t="s">
        <v>48</v>
      </c>
      <c r="C1934" s="5">
        <v>45951.0965162037</v>
      </c>
      <c r="D1934" s="5">
        <v>45961</v>
      </c>
      <c r="E1934" s="6">
        <f>IF(AND(C1934&lt;&gt;"",D1934&lt;&gt;""),D1934-C1934,"")</f>
        <v>0</v>
      </c>
      <c r="F1934" s="4" t="s">
        <v>1907</v>
      </c>
      <c r="G1934" s="4" t="s">
        <v>1908</v>
      </c>
      <c r="H1934" s="4" t="s">
        <v>32</v>
      </c>
      <c r="I1934" s="4" t="s">
        <v>33</v>
      </c>
      <c r="J1934" s="4">
        <v>2</v>
      </c>
      <c r="K1934" s="4">
        <v>0</v>
      </c>
      <c r="L1934" s="4">
        <f>J1934+K1934</f>
        <v>0</v>
      </c>
      <c r="M1934" s="4"/>
      <c r="N1934" s="4"/>
      <c r="O1934" s="4">
        <v>0</v>
      </c>
      <c r="P1934" s="4"/>
      <c r="Q1934" s="4"/>
      <c r="R1934" s="7">
        <v>0</v>
      </c>
      <c r="S1934" s="7">
        <v>0</v>
      </c>
      <c r="T1934" s="7">
        <f>R1934-S1934</f>
        <v>0</v>
      </c>
      <c r="U1934" s="7">
        <f>T1934*O1934</f>
        <v>0</v>
      </c>
    </row>
    <row r="1935" spans="1:21">
      <c r="A1935" s="4" t="s">
        <v>2806</v>
      </c>
      <c r="B1935" s="4" t="s">
        <v>48</v>
      </c>
      <c r="C1935" s="5">
        <v>45951.09677083333</v>
      </c>
      <c r="D1935" s="5">
        <v>45961</v>
      </c>
      <c r="E1935" s="6">
        <f>IF(AND(C1935&lt;&gt;"",D1935&lt;&gt;""),D1935-C1935,"")</f>
        <v>0</v>
      </c>
      <c r="F1935" s="4" t="s">
        <v>2807</v>
      </c>
      <c r="G1935" s="4" t="s">
        <v>2808</v>
      </c>
      <c r="H1935" s="4" t="s">
        <v>190</v>
      </c>
      <c r="I1935" s="4" t="s">
        <v>56</v>
      </c>
      <c r="J1935" s="4">
        <v>2</v>
      </c>
      <c r="K1935" s="4">
        <v>0</v>
      </c>
      <c r="L1935" s="4">
        <f>J1935+K1935</f>
        <v>0</v>
      </c>
      <c r="M1935" s="4"/>
      <c r="N1935" s="4"/>
      <c r="O1935" s="4">
        <v>0</v>
      </c>
      <c r="P1935" s="4"/>
      <c r="Q1935" s="4"/>
      <c r="R1935" s="7">
        <v>0</v>
      </c>
      <c r="S1935" s="7">
        <v>0</v>
      </c>
      <c r="T1935" s="7">
        <f>R1935-S1935</f>
        <v>0</v>
      </c>
      <c r="U1935" s="7">
        <f>T1935*O1935</f>
        <v>0</v>
      </c>
    </row>
    <row r="1936" spans="1:21">
      <c r="A1936" s="4" t="s">
        <v>2809</v>
      </c>
      <c r="B1936" s="4" t="s">
        <v>48</v>
      </c>
      <c r="C1936" s="5">
        <v>45951.10105324074</v>
      </c>
      <c r="D1936" s="5">
        <v>45961</v>
      </c>
      <c r="E1936" s="6">
        <f>IF(AND(C1936&lt;&gt;"",D1936&lt;&gt;""),D1936-C1936,"")</f>
        <v>0</v>
      </c>
      <c r="F1936" s="4" t="s">
        <v>2810</v>
      </c>
      <c r="G1936" s="4" t="s">
        <v>2811</v>
      </c>
      <c r="H1936" s="4" t="s">
        <v>32</v>
      </c>
      <c r="I1936" s="4" t="s">
        <v>33</v>
      </c>
      <c r="J1936" s="4">
        <v>2</v>
      </c>
      <c r="K1936" s="4">
        <v>0</v>
      </c>
      <c r="L1936" s="4">
        <f>J1936+K1936</f>
        <v>0</v>
      </c>
      <c r="M1936" s="4"/>
      <c r="N1936" s="4"/>
      <c r="O1936" s="4">
        <v>0</v>
      </c>
      <c r="P1936" s="4"/>
      <c r="Q1936" s="4"/>
      <c r="R1936" s="7">
        <v>0</v>
      </c>
      <c r="S1936" s="7">
        <v>0</v>
      </c>
      <c r="T1936" s="7">
        <f>R1936-S1936</f>
        <v>0</v>
      </c>
      <c r="U1936" s="7">
        <f>T1936*O1936</f>
        <v>0</v>
      </c>
    </row>
    <row r="1937" spans="1:21">
      <c r="A1937" s="4" t="s">
        <v>2812</v>
      </c>
      <c r="B1937" s="4" t="s">
        <v>48</v>
      </c>
      <c r="C1937" s="5">
        <v>45951.1015625</v>
      </c>
      <c r="D1937" s="5">
        <v>45961</v>
      </c>
      <c r="E1937" s="6">
        <f>IF(AND(C1937&lt;&gt;"",D1937&lt;&gt;""),D1937-C1937,"")</f>
        <v>0</v>
      </c>
      <c r="F1937" s="4" t="s">
        <v>1907</v>
      </c>
      <c r="G1937" s="4" t="s">
        <v>1908</v>
      </c>
      <c r="H1937" s="4" t="s">
        <v>32</v>
      </c>
      <c r="I1937" s="4" t="s">
        <v>33</v>
      </c>
      <c r="J1937" s="4">
        <v>2</v>
      </c>
      <c r="K1937" s="4">
        <v>0</v>
      </c>
      <c r="L1937" s="4">
        <f>J1937+K1937</f>
        <v>0</v>
      </c>
      <c r="M1937" s="4"/>
      <c r="N1937" s="4"/>
      <c r="O1937" s="4">
        <v>0</v>
      </c>
      <c r="P1937" s="4"/>
      <c r="Q1937" s="4"/>
      <c r="R1937" s="7">
        <v>0</v>
      </c>
      <c r="S1937" s="7">
        <v>0</v>
      </c>
      <c r="T1937" s="7">
        <f>R1937-S1937</f>
        <v>0</v>
      </c>
      <c r="U1937" s="7">
        <f>T1937*O1937</f>
        <v>0</v>
      </c>
    </row>
    <row r="1938" spans="1:21">
      <c r="A1938" s="4" t="s">
        <v>2813</v>
      </c>
      <c r="B1938" s="4" t="s">
        <v>48</v>
      </c>
      <c r="C1938" s="5">
        <v>45951.10421296296</v>
      </c>
      <c r="D1938" s="5">
        <v>45961</v>
      </c>
      <c r="E1938" s="6">
        <f>IF(AND(C1938&lt;&gt;"",D1938&lt;&gt;""),D1938-C1938,"")</f>
        <v>0</v>
      </c>
      <c r="F1938" s="4" t="s">
        <v>2814</v>
      </c>
      <c r="G1938" s="4" t="s">
        <v>2815</v>
      </c>
      <c r="H1938" s="4" t="s">
        <v>32</v>
      </c>
      <c r="I1938" s="4" t="s">
        <v>33</v>
      </c>
      <c r="J1938" s="4">
        <v>1</v>
      </c>
      <c r="K1938" s="4">
        <v>0</v>
      </c>
      <c r="L1938" s="4">
        <f>J1938+K1938</f>
        <v>0</v>
      </c>
      <c r="M1938" s="4"/>
      <c r="N1938" s="4"/>
      <c r="O1938" s="4">
        <v>0</v>
      </c>
      <c r="P1938" s="4"/>
      <c r="Q1938" s="4"/>
      <c r="R1938" s="7">
        <v>0</v>
      </c>
      <c r="S1938" s="7">
        <v>0</v>
      </c>
      <c r="T1938" s="7">
        <f>R1938-S1938</f>
        <v>0</v>
      </c>
      <c r="U1938" s="7">
        <f>T1938*O1938</f>
        <v>0</v>
      </c>
    </row>
    <row r="1939" spans="1:21">
      <c r="A1939" s="4" t="s">
        <v>2816</v>
      </c>
      <c r="B1939" s="4" t="s">
        <v>48</v>
      </c>
      <c r="C1939" s="5">
        <v>45951.105</v>
      </c>
      <c r="D1939" s="5">
        <v>45961</v>
      </c>
      <c r="E1939" s="6">
        <f>IF(AND(C1939&lt;&gt;"",D1939&lt;&gt;""),D1939-C1939,"")</f>
        <v>0</v>
      </c>
      <c r="F1939" s="4" t="s">
        <v>2817</v>
      </c>
      <c r="G1939" s="4" t="s">
        <v>2818</v>
      </c>
      <c r="H1939" s="4" t="s">
        <v>190</v>
      </c>
      <c r="I1939" s="4" t="s">
        <v>56</v>
      </c>
      <c r="J1939" s="4">
        <v>3</v>
      </c>
      <c r="K1939" s="4">
        <v>0</v>
      </c>
      <c r="L1939" s="4">
        <f>J1939+K1939</f>
        <v>0</v>
      </c>
      <c r="M1939" s="4"/>
      <c r="N1939" s="4"/>
      <c r="O1939" s="4">
        <v>0</v>
      </c>
      <c r="P1939" s="4"/>
      <c r="Q1939" s="4"/>
      <c r="R1939" s="7">
        <v>0</v>
      </c>
      <c r="S1939" s="7">
        <v>0</v>
      </c>
      <c r="T1939" s="7">
        <f>R1939-S1939</f>
        <v>0</v>
      </c>
      <c r="U1939" s="7">
        <f>T1939*O1939</f>
        <v>0</v>
      </c>
    </row>
    <row r="1940" spans="1:21">
      <c r="A1940" s="4" t="s">
        <v>2819</v>
      </c>
      <c r="B1940" s="4" t="s">
        <v>48</v>
      </c>
      <c r="C1940" s="5">
        <v>45951.10677083334</v>
      </c>
      <c r="D1940" s="5">
        <v>45961</v>
      </c>
      <c r="E1940" s="6">
        <f>IF(AND(C1940&lt;&gt;"",D1940&lt;&gt;""),D1940-C1940,"")</f>
        <v>0</v>
      </c>
      <c r="F1940" s="4" t="s">
        <v>809</v>
      </c>
      <c r="G1940" s="4" t="s">
        <v>810</v>
      </c>
      <c r="H1940" s="4" t="s">
        <v>32</v>
      </c>
      <c r="I1940" s="4" t="s">
        <v>33</v>
      </c>
      <c r="J1940" s="4">
        <v>2</v>
      </c>
      <c r="K1940" s="4">
        <v>0</v>
      </c>
      <c r="L1940" s="4">
        <f>J1940+K1940</f>
        <v>0</v>
      </c>
      <c r="M1940" s="4"/>
      <c r="N1940" s="4"/>
      <c r="O1940" s="4">
        <v>0</v>
      </c>
      <c r="P1940" s="4"/>
      <c r="Q1940" s="4"/>
      <c r="R1940" s="7">
        <v>0</v>
      </c>
      <c r="S1940" s="7">
        <v>0</v>
      </c>
      <c r="T1940" s="7">
        <f>R1940-S1940</f>
        <v>0</v>
      </c>
      <c r="U1940" s="7">
        <f>T1940*O1940</f>
        <v>0</v>
      </c>
    </row>
    <row r="1941" spans="1:21">
      <c r="A1941" s="4" t="s">
        <v>2820</v>
      </c>
      <c r="B1941" s="4" t="s">
        <v>48</v>
      </c>
      <c r="C1941" s="5">
        <v>45951.11131944445</v>
      </c>
      <c r="D1941" s="5">
        <v>45961</v>
      </c>
      <c r="E1941" s="6">
        <f>IF(AND(C1941&lt;&gt;"",D1941&lt;&gt;""),D1941-C1941,"")</f>
        <v>0</v>
      </c>
      <c r="F1941" s="4" t="s">
        <v>809</v>
      </c>
      <c r="G1941" s="4" t="s">
        <v>810</v>
      </c>
      <c r="H1941" s="4" t="s">
        <v>32</v>
      </c>
      <c r="I1941" s="4" t="s">
        <v>33</v>
      </c>
      <c r="J1941" s="4">
        <v>3</v>
      </c>
      <c r="K1941" s="4">
        <v>2</v>
      </c>
      <c r="L1941" s="4">
        <f>J1941+K1941</f>
        <v>0</v>
      </c>
      <c r="M1941" s="4"/>
      <c r="N1941" s="4"/>
      <c r="O1941" s="4">
        <v>0</v>
      </c>
      <c r="P1941" s="4"/>
      <c r="Q1941" s="4"/>
      <c r="R1941" s="7">
        <v>0</v>
      </c>
      <c r="S1941" s="7">
        <v>0</v>
      </c>
      <c r="T1941" s="7">
        <f>R1941-S1941</f>
        <v>0</v>
      </c>
      <c r="U1941" s="7">
        <f>T1941*O1941</f>
        <v>0</v>
      </c>
    </row>
    <row r="1942" spans="1:21">
      <c r="A1942" s="4" t="s">
        <v>2821</v>
      </c>
      <c r="B1942" s="4" t="s">
        <v>48</v>
      </c>
      <c r="C1942" s="5">
        <v>45951.11677083333</v>
      </c>
      <c r="D1942" s="5">
        <v>45961</v>
      </c>
      <c r="E1942" s="6">
        <f>IF(AND(C1942&lt;&gt;"",D1942&lt;&gt;""),D1942-C1942,"")</f>
        <v>0</v>
      </c>
      <c r="F1942" s="4" t="s">
        <v>2822</v>
      </c>
      <c r="G1942" s="4" t="s">
        <v>2823</v>
      </c>
      <c r="H1942" s="4"/>
      <c r="I1942" s="4" t="s">
        <v>56</v>
      </c>
      <c r="J1942" s="4">
        <v>3</v>
      </c>
      <c r="K1942" s="4">
        <v>0</v>
      </c>
      <c r="L1942" s="4">
        <f>J1942+K1942</f>
        <v>0</v>
      </c>
      <c r="M1942" s="4"/>
      <c r="N1942" s="4"/>
      <c r="O1942" s="4">
        <v>0</v>
      </c>
      <c r="P1942" s="4"/>
      <c r="Q1942" s="4"/>
      <c r="R1942" s="7">
        <v>0</v>
      </c>
      <c r="S1942" s="7">
        <v>0</v>
      </c>
      <c r="T1942" s="7">
        <f>R1942-S1942</f>
        <v>0</v>
      </c>
      <c r="U1942" s="7">
        <f>T1942*O1942</f>
        <v>0</v>
      </c>
    </row>
    <row r="1943" spans="1:21">
      <c r="A1943" s="4" t="s">
        <v>2824</v>
      </c>
      <c r="B1943" s="4" t="s">
        <v>39</v>
      </c>
      <c r="C1943" s="5">
        <v>45951.11854166666</v>
      </c>
      <c r="D1943" s="5">
        <v>45951</v>
      </c>
      <c r="E1943" s="6">
        <f>IF(AND(C1943&lt;&gt;"",D1943&lt;&gt;""),D1943-C1943,"")</f>
        <v>0</v>
      </c>
      <c r="F1943" s="4" t="s">
        <v>2825</v>
      </c>
      <c r="G1943" s="4" t="s">
        <v>2826</v>
      </c>
      <c r="H1943" s="4" t="s">
        <v>32</v>
      </c>
      <c r="I1943" s="4" t="s">
        <v>33</v>
      </c>
      <c r="J1943" s="4">
        <v>0</v>
      </c>
      <c r="K1943" s="4">
        <v>0</v>
      </c>
      <c r="L1943" s="4">
        <f>J1943+K1943</f>
        <v>0</v>
      </c>
      <c r="M1943" s="4" t="s">
        <v>370</v>
      </c>
      <c r="N1943" s="4"/>
      <c r="O1943" s="4">
        <v>1</v>
      </c>
      <c r="P1943" s="4" t="s">
        <v>135</v>
      </c>
      <c r="Q1943" s="4" t="s">
        <v>44</v>
      </c>
      <c r="R1943" s="7">
        <v>1000000</v>
      </c>
      <c r="S1943" s="7">
        <v>0</v>
      </c>
      <c r="T1943" s="7">
        <f>R1943-S1943</f>
        <v>0</v>
      </c>
      <c r="U1943" s="7">
        <f>T1943*O1943</f>
        <v>0</v>
      </c>
    </row>
    <row r="1944" spans="1:21">
      <c r="A1944" s="4" t="s">
        <v>2827</v>
      </c>
      <c r="B1944" s="4" t="s">
        <v>48</v>
      </c>
      <c r="C1944" s="5">
        <v>45951.15324074074</v>
      </c>
      <c r="D1944" s="5">
        <v>45961</v>
      </c>
      <c r="E1944" s="6">
        <f>IF(AND(C1944&lt;&gt;"",D1944&lt;&gt;""),D1944-C1944,"")</f>
        <v>0</v>
      </c>
      <c r="F1944" s="4" t="s">
        <v>2828</v>
      </c>
      <c r="G1944" s="4" t="s">
        <v>2829</v>
      </c>
      <c r="H1944" s="4" t="s">
        <v>32</v>
      </c>
      <c r="I1944" s="4" t="s">
        <v>33</v>
      </c>
      <c r="J1944" s="4">
        <v>3</v>
      </c>
      <c r="K1944" s="4">
        <v>0</v>
      </c>
      <c r="L1944" s="4">
        <f>J1944+K1944</f>
        <v>0</v>
      </c>
      <c r="M1944" s="4"/>
      <c r="N1944" s="4"/>
      <c r="O1944" s="4">
        <v>0</v>
      </c>
      <c r="P1944" s="4"/>
      <c r="Q1944" s="4"/>
      <c r="R1944" s="7">
        <v>0</v>
      </c>
      <c r="S1944" s="7">
        <v>0</v>
      </c>
      <c r="T1944" s="7">
        <f>R1944-S1944</f>
        <v>0</v>
      </c>
      <c r="U1944" s="7">
        <f>T1944*O1944</f>
        <v>0</v>
      </c>
    </row>
    <row r="1945" spans="1:21">
      <c r="A1945" s="4" t="s">
        <v>2830</v>
      </c>
      <c r="B1945" s="4" t="s">
        <v>103</v>
      </c>
      <c r="C1945" s="5">
        <v>45951.2130787037</v>
      </c>
      <c r="D1945" s="5">
        <v>45961</v>
      </c>
      <c r="E1945" s="6">
        <f>IF(AND(C1945&lt;&gt;"",D1945&lt;&gt;""),D1945-C1945,"")</f>
        <v>0</v>
      </c>
      <c r="F1945" s="4" t="s">
        <v>2534</v>
      </c>
      <c r="G1945" s="4"/>
      <c r="H1945" s="4"/>
      <c r="I1945" s="4" t="s">
        <v>56</v>
      </c>
      <c r="J1945" s="4">
        <v>2</v>
      </c>
      <c r="K1945" s="4">
        <v>0</v>
      </c>
      <c r="L1945" s="4">
        <f>J1945+K1945</f>
        <v>0</v>
      </c>
      <c r="M1945" s="4"/>
      <c r="N1945" s="4"/>
      <c r="O1945" s="4">
        <v>0</v>
      </c>
      <c r="P1945" s="4"/>
      <c r="Q1945" s="4"/>
      <c r="R1945" s="7">
        <v>0</v>
      </c>
      <c r="S1945" s="7">
        <v>0</v>
      </c>
      <c r="T1945" s="7">
        <f>R1945-S1945</f>
        <v>0</v>
      </c>
      <c r="U1945" s="7">
        <f>T1945*O1945</f>
        <v>0</v>
      </c>
    </row>
    <row r="1946" spans="1:21">
      <c r="A1946" s="4" t="s">
        <v>2831</v>
      </c>
      <c r="B1946" s="4" t="s">
        <v>103</v>
      </c>
      <c r="C1946" s="5">
        <v>45951.22590277778</v>
      </c>
      <c r="D1946" s="5">
        <v>45961</v>
      </c>
      <c r="E1946" s="6">
        <f>IF(AND(C1946&lt;&gt;"",D1946&lt;&gt;""),D1946-C1946,"")</f>
        <v>0</v>
      </c>
      <c r="F1946" s="4" t="s">
        <v>1343</v>
      </c>
      <c r="G1946" s="4" t="s">
        <v>2832</v>
      </c>
      <c r="H1946" s="4" t="s">
        <v>190</v>
      </c>
      <c r="I1946" s="4" t="s">
        <v>56</v>
      </c>
      <c r="J1946" s="4">
        <v>1</v>
      </c>
      <c r="K1946" s="4">
        <v>0</v>
      </c>
      <c r="L1946" s="4">
        <f>J1946+K1946</f>
        <v>0</v>
      </c>
      <c r="M1946" s="4"/>
      <c r="N1946" s="4"/>
      <c r="O1946" s="4">
        <v>0</v>
      </c>
      <c r="P1946" s="4"/>
      <c r="Q1946" s="4"/>
      <c r="R1946" s="7">
        <v>0</v>
      </c>
      <c r="S1946" s="7">
        <v>0</v>
      </c>
      <c r="T1946" s="7">
        <f>R1946-S1946</f>
        <v>0</v>
      </c>
      <c r="U1946" s="7">
        <f>T1946*O1946</f>
        <v>0</v>
      </c>
    </row>
    <row r="1947" spans="1:21">
      <c r="A1947" s="4" t="s">
        <v>2833</v>
      </c>
      <c r="B1947" s="4" t="s">
        <v>103</v>
      </c>
      <c r="C1947" s="5">
        <v>45951.25222222223</v>
      </c>
      <c r="D1947" s="5">
        <v>45961</v>
      </c>
      <c r="E1947" s="6">
        <f>IF(AND(C1947&lt;&gt;"",D1947&lt;&gt;""),D1947-C1947,"")</f>
        <v>0</v>
      </c>
      <c r="F1947" s="4" t="s">
        <v>2834</v>
      </c>
      <c r="G1947" s="4" t="s">
        <v>2835</v>
      </c>
      <c r="H1947" s="4" t="s">
        <v>190</v>
      </c>
      <c r="I1947" s="4" t="s">
        <v>56</v>
      </c>
      <c r="J1947" s="4">
        <v>1</v>
      </c>
      <c r="K1947" s="4">
        <v>1</v>
      </c>
      <c r="L1947" s="4">
        <f>J1947+K1947</f>
        <v>0</v>
      </c>
      <c r="M1947" s="4"/>
      <c r="N1947" s="4"/>
      <c r="O1947" s="4">
        <v>0</v>
      </c>
      <c r="P1947" s="4"/>
      <c r="Q1947" s="4"/>
      <c r="R1947" s="7">
        <v>0</v>
      </c>
      <c r="S1947" s="7">
        <v>0</v>
      </c>
      <c r="T1947" s="7">
        <f>R1947-S1947</f>
        <v>0</v>
      </c>
      <c r="U1947" s="7">
        <f>T1947*O1947</f>
        <v>0</v>
      </c>
    </row>
    <row r="1948" spans="1:21">
      <c r="A1948" s="4" t="s">
        <v>2836</v>
      </c>
      <c r="B1948" s="4" t="s">
        <v>103</v>
      </c>
      <c r="C1948" s="5">
        <v>45951.25238425926</v>
      </c>
      <c r="D1948" s="5">
        <v>45961</v>
      </c>
      <c r="E1948" s="6">
        <f>IF(AND(C1948&lt;&gt;"",D1948&lt;&gt;""),D1948-C1948,"")</f>
        <v>0</v>
      </c>
      <c r="F1948" s="4" t="s">
        <v>2534</v>
      </c>
      <c r="G1948" s="4" t="s">
        <v>2837</v>
      </c>
      <c r="H1948" s="4" t="s">
        <v>2581</v>
      </c>
      <c r="I1948" s="4" t="s">
        <v>56</v>
      </c>
      <c r="J1948" s="4">
        <v>1</v>
      </c>
      <c r="K1948" s="4">
        <v>1</v>
      </c>
      <c r="L1948" s="4">
        <f>J1948+K1948</f>
        <v>0</v>
      </c>
      <c r="M1948" s="4"/>
      <c r="N1948" s="4"/>
      <c r="O1948" s="4">
        <v>0</v>
      </c>
      <c r="P1948" s="4"/>
      <c r="Q1948" s="4"/>
      <c r="R1948" s="7">
        <v>0</v>
      </c>
      <c r="S1948" s="7">
        <v>0</v>
      </c>
      <c r="T1948" s="7">
        <f>R1948-S1948</f>
        <v>0</v>
      </c>
      <c r="U1948" s="7">
        <f>T1948*O1948</f>
        <v>0</v>
      </c>
    </row>
    <row r="1949" spans="1:21">
      <c r="A1949" s="4" t="s">
        <v>2838</v>
      </c>
      <c r="B1949" s="4" t="s">
        <v>103</v>
      </c>
      <c r="C1949" s="5">
        <v>45951.25509259259</v>
      </c>
      <c r="D1949" s="5">
        <v>45961</v>
      </c>
      <c r="E1949" s="6">
        <f>IF(AND(C1949&lt;&gt;"",D1949&lt;&gt;""),D1949-C1949,"")</f>
        <v>0</v>
      </c>
      <c r="F1949" s="4" t="s">
        <v>2839</v>
      </c>
      <c r="G1949" s="4" t="s">
        <v>2840</v>
      </c>
      <c r="H1949" s="4" t="s">
        <v>190</v>
      </c>
      <c r="I1949" s="4" t="s">
        <v>56</v>
      </c>
      <c r="J1949" s="4">
        <v>2</v>
      </c>
      <c r="K1949" s="4">
        <v>1</v>
      </c>
      <c r="L1949" s="4">
        <f>J1949+K1949</f>
        <v>0</v>
      </c>
      <c r="M1949" s="4"/>
      <c r="N1949" s="4"/>
      <c r="O1949" s="4">
        <v>0</v>
      </c>
      <c r="P1949" s="4"/>
      <c r="Q1949" s="4"/>
      <c r="R1949" s="7">
        <v>0</v>
      </c>
      <c r="S1949" s="7">
        <v>0</v>
      </c>
      <c r="T1949" s="7">
        <f>R1949-S1949</f>
        <v>0</v>
      </c>
      <c r="U1949" s="7">
        <f>T1949*O1949</f>
        <v>0</v>
      </c>
    </row>
    <row r="1950" spans="1:21">
      <c r="A1950" s="4" t="s">
        <v>2841</v>
      </c>
      <c r="B1950" s="4" t="s">
        <v>103</v>
      </c>
      <c r="C1950" s="5">
        <v>45951.25565972222</v>
      </c>
      <c r="D1950" s="5">
        <v>45961</v>
      </c>
      <c r="E1950" s="6">
        <f>IF(AND(C1950&lt;&gt;"",D1950&lt;&gt;""),D1950-C1950,"")</f>
        <v>0</v>
      </c>
      <c r="F1950" s="4" t="s">
        <v>2842</v>
      </c>
      <c r="G1950" s="4" t="s">
        <v>2843</v>
      </c>
      <c r="H1950" s="4" t="s">
        <v>2844</v>
      </c>
      <c r="I1950" s="4" t="s">
        <v>56</v>
      </c>
      <c r="J1950" s="4">
        <v>4</v>
      </c>
      <c r="K1950" s="4">
        <v>0</v>
      </c>
      <c r="L1950" s="4">
        <f>J1950+K1950</f>
        <v>0</v>
      </c>
      <c r="M1950" s="4"/>
      <c r="N1950" s="4"/>
      <c r="O1950" s="4">
        <v>0</v>
      </c>
      <c r="P1950" s="4"/>
      <c r="Q1950" s="4"/>
      <c r="R1950" s="7">
        <v>0</v>
      </c>
      <c r="S1950" s="7">
        <v>0</v>
      </c>
      <c r="T1950" s="7">
        <f>R1950-S1950</f>
        <v>0</v>
      </c>
      <c r="U1950" s="7">
        <f>T1950*O1950</f>
        <v>0</v>
      </c>
    </row>
    <row r="1951" spans="1:21">
      <c r="A1951" s="4" t="s">
        <v>2845</v>
      </c>
      <c r="B1951" s="4" t="s">
        <v>103</v>
      </c>
      <c r="C1951" s="5">
        <v>45951.28270833333</v>
      </c>
      <c r="D1951" s="5">
        <v>45961</v>
      </c>
      <c r="E1951" s="6">
        <f>IF(AND(C1951&lt;&gt;"",D1951&lt;&gt;""),D1951-C1951,"")</f>
        <v>0</v>
      </c>
      <c r="F1951" s="4" t="s">
        <v>2846</v>
      </c>
      <c r="G1951" s="4" t="s">
        <v>2847</v>
      </c>
      <c r="H1951" s="4" t="s">
        <v>2848</v>
      </c>
      <c r="I1951" s="4" t="s">
        <v>56</v>
      </c>
      <c r="J1951" s="4">
        <v>1</v>
      </c>
      <c r="K1951" s="4">
        <v>1</v>
      </c>
      <c r="L1951" s="4">
        <f>J1951+K1951</f>
        <v>0</v>
      </c>
      <c r="M1951" s="4"/>
      <c r="N1951" s="4"/>
      <c r="O1951" s="4">
        <v>0</v>
      </c>
      <c r="P1951" s="4"/>
      <c r="Q1951" s="4"/>
      <c r="R1951" s="7">
        <v>0</v>
      </c>
      <c r="S1951" s="7">
        <v>0</v>
      </c>
      <c r="T1951" s="7">
        <f>R1951-S1951</f>
        <v>0</v>
      </c>
      <c r="U1951" s="7">
        <f>T1951*O1951</f>
        <v>0</v>
      </c>
    </row>
    <row r="1952" spans="1:21">
      <c r="A1952" s="4" t="s">
        <v>2849</v>
      </c>
      <c r="B1952" s="4" t="s">
        <v>39</v>
      </c>
      <c r="C1952" s="5">
        <v>45951.28475694444</v>
      </c>
      <c r="D1952" s="5">
        <v>45951</v>
      </c>
      <c r="E1952" s="6">
        <f>IF(AND(C1952&lt;&gt;"",D1952&lt;&gt;""),D1952-C1952,"")</f>
        <v>0</v>
      </c>
      <c r="F1952" s="4" t="s">
        <v>2850</v>
      </c>
      <c r="G1952" s="4" t="s">
        <v>2851</v>
      </c>
      <c r="H1952" s="4" t="s">
        <v>32</v>
      </c>
      <c r="I1952" s="4" t="s">
        <v>33</v>
      </c>
      <c r="J1952" s="4">
        <v>0</v>
      </c>
      <c r="K1952" s="4">
        <v>0</v>
      </c>
      <c r="L1952" s="4">
        <f>J1952+K1952</f>
        <v>0</v>
      </c>
      <c r="M1952" s="4" t="s">
        <v>1774</v>
      </c>
      <c r="N1952" s="4"/>
      <c r="O1952" s="4">
        <v>1</v>
      </c>
      <c r="P1952" s="4" t="s">
        <v>43</v>
      </c>
      <c r="Q1952" s="4"/>
      <c r="R1952" s="7">
        <v>163000</v>
      </c>
      <c r="S1952" s="7">
        <v>0</v>
      </c>
      <c r="T1952" s="7">
        <f>R1952-S1952</f>
        <v>0</v>
      </c>
      <c r="U1952" s="7">
        <f>T1952*O1952</f>
        <v>0</v>
      </c>
    </row>
    <row r="1953" spans="1:21">
      <c r="A1953" s="4" t="s">
        <v>2849</v>
      </c>
      <c r="B1953" s="4" t="s">
        <v>39</v>
      </c>
      <c r="C1953" s="5">
        <v>45951.28475694444</v>
      </c>
      <c r="D1953" s="5">
        <v>45951</v>
      </c>
      <c r="E1953" s="6">
        <f>IF(AND(C1953&lt;&gt;"",D1953&lt;&gt;""),D1953-C1953,"")</f>
        <v>0</v>
      </c>
      <c r="F1953" s="4" t="s">
        <v>2850</v>
      </c>
      <c r="G1953" s="4" t="s">
        <v>2851</v>
      </c>
      <c r="H1953" s="4" t="s">
        <v>32</v>
      </c>
      <c r="I1953" s="4" t="s">
        <v>33</v>
      </c>
      <c r="J1953" s="4">
        <v>0</v>
      </c>
      <c r="K1953" s="4">
        <v>0</v>
      </c>
      <c r="L1953" s="4">
        <f>J1953+K1953</f>
        <v>0</v>
      </c>
      <c r="M1953" s="4" t="s">
        <v>1828</v>
      </c>
      <c r="N1953" s="4"/>
      <c r="O1953" s="4">
        <v>1</v>
      </c>
      <c r="P1953" s="4" t="s">
        <v>43</v>
      </c>
      <c r="Q1953" s="4"/>
      <c r="R1953" s="7">
        <v>121000</v>
      </c>
      <c r="S1953" s="7">
        <v>0</v>
      </c>
      <c r="T1953" s="7">
        <f>R1953-S1953</f>
        <v>0</v>
      </c>
      <c r="U1953" s="7">
        <f>T1953*O1953</f>
        <v>0</v>
      </c>
    </row>
    <row r="1954" spans="1:21">
      <c r="A1954" s="4" t="s">
        <v>2852</v>
      </c>
      <c r="B1954" s="4" t="s">
        <v>103</v>
      </c>
      <c r="C1954" s="5">
        <v>45951.29445601852</v>
      </c>
      <c r="D1954" s="5">
        <v>45961</v>
      </c>
      <c r="E1954" s="6">
        <f>IF(AND(C1954&lt;&gt;"",D1954&lt;&gt;""),D1954-C1954,"")</f>
        <v>0</v>
      </c>
      <c r="F1954" s="4" t="s">
        <v>2853</v>
      </c>
      <c r="G1954" s="4" t="s">
        <v>2854</v>
      </c>
      <c r="H1954" s="4" t="s">
        <v>2844</v>
      </c>
      <c r="I1954" s="4" t="s">
        <v>56</v>
      </c>
      <c r="J1954" s="4">
        <v>6</v>
      </c>
      <c r="K1954" s="4">
        <v>0</v>
      </c>
      <c r="L1954" s="4">
        <f>J1954+K1954</f>
        <v>0</v>
      </c>
      <c r="M1954" s="4"/>
      <c r="N1954" s="4"/>
      <c r="O1954" s="4">
        <v>0</v>
      </c>
      <c r="P1954" s="4"/>
      <c r="Q1954" s="4"/>
      <c r="R1954" s="7">
        <v>0</v>
      </c>
      <c r="S1954" s="7">
        <v>0</v>
      </c>
      <c r="T1954" s="7">
        <f>R1954-S1954</f>
        <v>0</v>
      </c>
      <c r="U1954" s="7">
        <f>T1954*O1954</f>
        <v>0</v>
      </c>
    </row>
    <row r="1955" spans="1:21">
      <c r="A1955" s="4" t="s">
        <v>2855</v>
      </c>
      <c r="B1955" s="4" t="s">
        <v>39</v>
      </c>
      <c r="C1955" s="5">
        <v>45951.30177083334</v>
      </c>
      <c r="D1955" s="5">
        <v>45951</v>
      </c>
      <c r="E1955" s="6">
        <f>IF(AND(C1955&lt;&gt;"",D1955&lt;&gt;""),D1955-C1955,"")</f>
        <v>0</v>
      </c>
      <c r="F1955" s="4" t="s">
        <v>1358</v>
      </c>
      <c r="G1955" s="4" t="s">
        <v>1359</v>
      </c>
      <c r="H1955" s="4" t="s">
        <v>32</v>
      </c>
      <c r="I1955" s="4" t="s">
        <v>33</v>
      </c>
      <c r="J1955" s="4">
        <v>0</v>
      </c>
      <c r="K1955" s="4">
        <v>0</v>
      </c>
      <c r="L1955" s="4">
        <f>J1955+K1955</f>
        <v>0</v>
      </c>
      <c r="M1955" s="4" t="s">
        <v>370</v>
      </c>
      <c r="N1955" s="4"/>
      <c r="O1955" s="4">
        <v>1</v>
      </c>
      <c r="P1955" s="4" t="s">
        <v>135</v>
      </c>
      <c r="Q1955" s="4" t="s">
        <v>44</v>
      </c>
      <c r="R1955" s="7">
        <v>1000000</v>
      </c>
      <c r="S1955" s="7">
        <v>0</v>
      </c>
      <c r="T1955" s="7">
        <f>R1955-S1955</f>
        <v>0</v>
      </c>
      <c r="U1955" s="7">
        <f>T1955*O1955</f>
        <v>0</v>
      </c>
    </row>
    <row r="1956" spans="1:21">
      <c r="A1956" s="4" t="s">
        <v>2855</v>
      </c>
      <c r="B1956" s="4" t="s">
        <v>39</v>
      </c>
      <c r="C1956" s="5">
        <v>45951.30177083334</v>
      </c>
      <c r="D1956" s="5">
        <v>45951</v>
      </c>
      <c r="E1956" s="6">
        <f>IF(AND(C1956&lt;&gt;"",D1956&lt;&gt;""),D1956-C1956,"")</f>
        <v>0</v>
      </c>
      <c r="F1956" s="4" t="s">
        <v>1358</v>
      </c>
      <c r="G1956" s="4" t="s">
        <v>1359</v>
      </c>
      <c r="H1956" s="4" t="s">
        <v>32</v>
      </c>
      <c r="I1956" s="4" t="s">
        <v>33</v>
      </c>
      <c r="J1956" s="4">
        <v>2</v>
      </c>
      <c r="K1956" s="4">
        <v>0</v>
      </c>
      <c r="L1956" s="4">
        <f>J1956+K1956</f>
        <v>0</v>
      </c>
      <c r="M1956" s="4" t="s">
        <v>80</v>
      </c>
      <c r="N1956" s="4"/>
      <c r="O1956" s="4">
        <v>2</v>
      </c>
      <c r="P1956" s="4" t="s">
        <v>135</v>
      </c>
      <c r="Q1956" s="4" t="s">
        <v>44</v>
      </c>
      <c r="R1956" s="7">
        <v>610000</v>
      </c>
      <c r="S1956" s="7">
        <v>0</v>
      </c>
      <c r="T1956" s="7">
        <f>R1956-S1956</f>
        <v>0</v>
      </c>
      <c r="U1956" s="7">
        <f>T1956*O1956</f>
        <v>0</v>
      </c>
    </row>
    <row r="1957" spans="1:21">
      <c r="A1957" s="4" t="s">
        <v>2856</v>
      </c>
      <c r="B1957" s="4" t="s">
        <v>39</v>
      </c>
      <c r="C1957" s="5">
        <v>45951.32180555556</v>
      </c>
      <c r="D1957" s="5">
        <v>45951</v>
      </c>
      <c r="E1957" s="6">
        <f>IF(AND(C1957&lt;&gt;"",D1957&lt;&gt;""),D1957-C1957,"")</f>
        <v>0</v>
      </c>
      <c r="F1957" s="4" t="s">
        <v>414</v>
      </c>
      <c r="G1957" s="4" t="s">
        <v>415</v>
      </c>
      <c r="H1957" s="4" t="s">
        <v>190</v>
      </c>
      <c r="I1957" s="4" t="s">
        <v>56</v>
      </c>
      <c r="J1957" s="4">
        <v>0</v>
      </c>
      <c r="K1957" s="4">
        <v>0</v>
      </c>
      <c r="L1957" s="4">
        <f>J1957+K1957</f>
        <v>0</v>
      </c>
      <c r="M1957" s="4" t="s">
        <v>370</v>
      </c>
      <c r="N1957" s="4"/>
      <c r="O1957" s="4">
        <v>1</v>
      </c>
      <c r="P1957" s="4" t="s">
        <v>135</v>
      </c>
      <c r="Q1957" s="4" t="s">
        <v>44</v>
      </c>
      <c r="R1957" s="7">
        <v>5000000</v>
      </c>
      <c r="S1957" s="7">
        <v>0</v>
      </c>
      <c r="T1957" s="7">
        <f>R1957-S1957</f>
        <v>0</v>
      </c>
      <c r="U1957" s="7">
        <f>T1957*O1957</f>
        <v>0</v>
      </c>
    </row>
    <row r="1958" spans="1:21">
      <c r="A1958" s="4" t="s">
        <v>2857</v>
      </c>
      <c r="B1958" s="4" t="s">
        <v>48</v>
      </c>
      <c r="C1958" s="5">
        <v>45951.32217592592</v>
      </c>
      <c r="D1958" s="5">
        <v>45961</v>
      </c>
      <c r="E1958" s="6">
        <f>IF(AND(C1958&lt;&gt;"",D1958&lt;&gt;""),D1958-C1958,"")</f>
        <v>0</v>
      </c>
      <c r="F1958" s="4" t="s">
        <v>2858</v>
      </c>
      <c r="G1958" s="4" t="s">
        <v>2859</v>
      </c>
      <c r="H1958" s="4" t="s">
        <v>190</v>
      </c>
      <c r="I1958" s="4" t="s">
        <v>56</v>
      </c>
      <c r="J1958" s="4">
        <v>3</v>
      </c>
      <c r="K1958" s="4">
        <v>0</v>
      </c>
      <c r="L1958" s="4">
        <f>J1958+K1958</f>
        <v>0</v>
      </c>
      <c r="M1958" s="4"/>
      <c r="N1958" s="4"/>
      <c r="O1958" s="4">
        <v>0</v>
      </c>
      <c r="P1958" s="4"/>
      <c r="Q1958" s="4"/>
      <c r="R1958" s="7">
        <v>0</v>
      </c>
      <c r="S1958" s="7">
        <v>0</v>
      </c>
      <c r="T1958" s="7">
        <f>R1958-S1958</f>
        <v>0</v>
      </c>
      <c r="U1958" s="7">
        <f>T1958*O1958</f>
        <v>0</v>
      </c>
    </row>
    <row r="1959" spans="1:21">
      <c r="A1959" s="4" t="s">
        <v>2860</v>
      </c>
      <c r="B1959" s="4" t="s">
        <v>39</v>
      </c>
      <c r="C1959" s="5">
        <v>45951.32854166667</v>
      </c>
      <c r="D1959" s="5">
        <v>45951</v>
      </c>
      <c r="E1959" s="6">
        <f>IF(AND(C1959&lt;&gt;"",D1959&lt;&gt;""),D1959-C1959,"")</f>
        <v>0</v>
      </c>
      <c r="F1959" s="4" t="s">
        <v>2861</v>
      </c>
      <c r="G1959" s="4" t="s">
        <v>2862</v>
      </c>
      <c r="H1959" s="4" t="s">
        <v>1262</v>
      </c>
      <c r="I1959" s="4" t="s">
        <v>56</v>
      </c>
      <c r="J1959" s="4">
        <v>0</v>
      </c>
      <c r="K1959" s="4">
        <v>0</v>
      </c>
      <c r="L1959" s="4">
        <f>J1959+K1959</f>
        <v>0</v>
      </c>
      <c r="M1959" s="4" t="s">
        <v>370</v>
      </c>
      <c r="N1959" s="4"/>
      <c r="O1959" s="4">
        <v>1</v>
      </c>
      <c r="P1959" s="4" t="s">
        <v>135</v>
      </c>
      <c r="Q1959" s="4"/>
      <c r="R1959" s="7">
        <v>1000000</v>
      </c>
      <c r="S1959" s="7">
        <v>0</v>
      </c>
      <c r="T1959" s="7">
        <f>R1959-S1959</f>
        <v>0</v>
      </c>
      <c r="U1959" s="7">
        <f>T1959*O1959</f>
        <v>0</v>
      </c>
    </row>
    <row r="1960" spans="1:21">
      <c r="A1960" s="4" t="s">
        <v>2860</v>
      </c>
      <c r="B1960" s="4" t="s">
        <v>39</v>
      </c>
      <c r="C1960" s="5">
        <v>45951.32854166667</v>
      </c>
      <c r="D1960" s="5">
        <v>45951</v>
      </c>
      <c r="E1960" s="6">
        <f>IF(AND(C1960&lt;&gt;"",D1960&lt;&gt;""),D1960-C1960,"")</f>
        <v>0</v>
      </c>
      <c r="F1960" s="4" t="s">
        <v>2861</v>
      </c>
      <c r="G1960" s="4" t="s">
        <v>2862</v>
      </c>
      <c r="H1960" s="4" t="s">
        <v>1262</v>
      </c>
      <c r="I1960" s="4" t="s">
        <v>56</v>
      </c>
      <c r="J1960" s="4">
        <v>1</v>
      </c>
      <c r="K1960" s="4">
        <v>0</v>
      </c>
      <c r="L1960" s="4">
        <f>J1960+K1960</f>
        <v>0</v>
      </c>
      <c r="M1960" s="4" t="s">
        <v>42</v>
      </c>
      <c r="N1960" s="4"/>
      <c r="O1960" s="4">
        <v>1</v>
      </c>
      <c r="P1960" s="4" t="s">
        <v>135</v>
      </c>
      <c r="Q1960" s="4"/>
      <c r="R1960" s="7">
        <v>1300000</v>
      </c>
      <c r="S1960" s="7">
        <v>0</v>
      </c>
      <c r="T1960" s="7">
        <f>R1960-S1960</f>
        <v>0</v>
      </c>
      <c r="U1960" s="7">
        <f>T1960*O1960</f>
        <v>0</v>
      </c>
    </row>
    <row r="1961" spans="1:21">
      <c r="A1961" s="4" t="s">
        <v>2863</v>
      </c>
      <c r="B1961" s="4" t="s">
        <v>39</v>
      </c>
      <c r="C1961" s="5">
        <v>45951.33025462963</v>
      </c>
      <c r="D1961" s="5">
        <v>45951</v>
      </c>
      <c r="E1961" s="6">
        <f>IF(AND(C1961&lt;&gt;"",D1961&lt;&gt;""),D1961-C1961,"")</f>
        <v>0</v>
      </c>
      <c r="F1961" s="4" t="s">
        <v>2864</v>
      </c>
      <c r="G1961" s="4" t="s">
        <v>2865</v>
      </c>
      <c r="H1961" s="4" t="s">
        <v>190</v>
      </c>
      <c r="I1961" s="4" t="s">
        <v>56</v>
      </c>
      <c r="J1961" s="4">
        <v>0</v>
      </c>
      <c r="K1961" s="4">
        <v>0</v>
      </c>
      <c r="L1961" s="4">
        <f>J1961+K1961</f>
        <v>0</v>
      </c>
      <c r="M1961" s="4" t="s">
        <v>370</v>
      </c>
      <c r="N1961" s="4"/>
      <c r="O1961" s="4">
        <v>1</v>
      </c>
      <c r="P1961" s="4" t="s">
        <v>135</v>
      </c>
      <c r="Q1961" s="4" t="s">
        <v>44</v>
      </c>
      <c r="R1961" s="7">
        <v>1000000</v>
      </c>
      <c r="S1961" s="7">
        <v>0</v>
      </c>
      <c r="T1961" s="7">
        <f>R1961-S1961</f>
        <v>0</v>
      </c>
      <c r="U1961" s="7">
        <f>T1961*O1961</f>
        <v>0</v>
      </c>
    </row>
    <row r="1962" spans="1:21">
      <c r="A1962" s="4" t="s">
        <v>2866</v>
      </c>
      <c r="B1962" s="4" t="s">
        <v>39</v>
      </c>
      <c r="C1962" s="5">
        <v>45951.33334490741</v>
      </c>
      <c r="D1962" s="5">
        <v>45951</v>
      </c>
      <c r="E1962" s="6">
        <f>IF(AND(C1962&lt;&gt;"",D1962&lt;&gt;""),D1962-C1962,"")</f>
        <v>0</v>
      </c>
      <c r="F1962" s="4" t="s">
        <v>2867</v>
      </c>
      <c r="G1962" s="4" t="s">
        <v>2868</v>
      </c>
      <c r="H1962" s="4" t="s">
        <v>32</v>
      </c>
      <c r="I1962" s="4" t="s">
        <v>33</v>
      </c>
      <c r="J1962" s="4">
        <v>0</v>
      </c>
      <c r="K1962" s="4">
        <v>0</v>
      </c>
      <c r="L1962" s="4">
        <f>J1962+K1962</f>
        <v>0</v>
      </c>
      <c r="M1962" s="4" t="s">
        <v>370</v>
      </c>
      <c r="N1962" s="4"/>
      <c r="O1962" s="4">
        <v>1</v>
      </c>
      <c r="P1962" s="4" t="s">
        <v>135</v>
      </c>
      <c r="Q1962" s="4" t="s">
        <v>44</v>
      </c>
      <c r="R1962" s="7">
        <v>1000000</v>
      </c>
      <c r="S1962" s="7">
        <v>0</v>
      </c>
      <c r="T1962" s="7">
        <f>R1962-S1962</f>
        <v>0</v>
      </c>
      <c r="U1962" s="7">
        <f>T1962*O1962</f>
        <v>0</v>
      </c>
    </row>
    <row r="1963" spans="1:21">
      <c r="A1963" s="4" t="s">
        <v>2866</v>
      </c>
      <c r="B1963" s="4" t="s">
        <v>39</v>
      </c>
      <c r="C1963" s="5">
        <v>45951.33334490741</v>
      </c>
      <c r="D1963" s="5">
        <v>45951</v>
      </c>
      <c r="E1963" s="6">
        <f>IF(AND(C1963&lt;&gt;"",D1963&lt;&gt;""),D1963-C1963,"")</f>
        <v>0</v>
      </c>
      <c r="F1963" s="4" t="s">
        <v>2867</v>
      </c>
      <c r="G1963" s="4" t="s">
        <v>2868</v>
      </c>
      <c r="H1963" s="4" t="s">
        <v>32</v>
      </c>
      <c r="I1963" s="4" t="s">
        <v>33</v>
      </c>
      <c r="J1963" s="4">
        <v>2</v>
      </c>
      <c r="K1963" s="4">
        <v>0</v>
      </c>
      <c r="L1963" s="4">
        <f>J1963+K1963</f>
        <v>0</v>
      </c>
      <c r="M1963" s="4" t="s">
        <v>42</v>
      </c>
      <c r="N1963" s="4"/>
      <c r="O1963" s="4">
        <v>2</v>
      </c>
      <c r="P1963" s="4" t="s">
        <v>135</v>
      </c>
      <c r="Q1963" s="4" t="s">
        <v>44</v>
      </c>
      <c r="R1963" s="7">
        <v>370000</v>
      </c>
      <c r="S1963" s="7">
        <v>37000</v>
      </c>
      <c r="T1963" s="7">
        <f>R1963-S1963</f>
        <v>0</v>
      </c>
      <c r="U1963" s="7">
        <f>T1963*O1963</f>
        <v>0</v>
      </c>
    </row>
    <row r="1964" spans="1:21">
      <c r="A1964" s="4" t="s">
        <v>2866</v>
      </c>
      <c r="B1964" s="4" t="s">
        <v>39</v>
      </c>
      <c r="C1964" s="5">
        <v>45951.33334490741</v>
      </c>
      <c r="D1964" s="5">
        <v>45951</v>
      </c>
      <c r="E1964" s="6">
        <f>IF(AND(C1964&lt;&gt;"",D1964&lt;&gt;""),D1964-C1964,"")</f>
        <v>0</v>
      </c>
      <c r="F1964" s="4" t="s">
        <v>2867</v>
      </c>
      <c r="G1964" s="4" t="s">
        <v>2868</v>
      </c>
      <c r="H1964" s="4" t="s">
        <v>32</v>
      </c>
      <c r="I1964" s="4" t="s">
        <v>33</v>
      </c>
      <c r="J1964" s="4">
        <v>0</v>
      </c>
      <c r="K1964" s="4">
        <v>2</v>
      </c>
      <c r="L1964" s="4">
        <f>J1964+K1964</f>
        <v>0</v>
      </c>
      <c r="M1964" s="4" t="s">
        <v>46</v>
      </c>
      <c r="N1964" s="4"/>
      <c r="O1964" s="4">
        <v>2</v>
      </c>
      <c r="P1964" s="4" t="s">
        <v>135</v>
      </c>
      <c r="Q1964" s="4" t="s">
        <v>44</v>
      </c>
      <c r="R1964" s="7">
        <v>325000</v>
      </c>
      <c r="S1964" s="7">
        <v>32500</v>
      </c>
      <c r="T1964" s="7">
        <f>R1964-S1964</f>
        <v>0</v>
      </c>
      <c r="U1964" s="7">
        <f>T1964*O1964</f>
        <v>0</v>
      </c>
    </row>
    <row r="1965" spans="1:21">
      <c r="A1965" s="4" t="s">
        <v>2869</v>
      </c>
      <c r="B1965" s="4" t="s">
        <v>39</v>
      </c>
      <c r="C1965" s="5">
        <v>45951.33553240741</v>
      </c>
      <c r="D1965" s="5">
        <v>45951</v>
      </c>
      <c r="E1965" s="6">
        <f>IF(AND(C1965&lt;&gt;"",D1965&lt;&gt;""),D1965-C1965,"")</f>
        <v>0</v>
      </c>
      <c r="F1965" s="4" t="s">
        <v>2861</v>
      </c>
      <c r="G1965" s="4" t="s">
        <v>2862</v>
      </c>
      <c r="H1965" s="4" t="s">
        <v>1262</v>
      </c>
      <c r="I1965" s="4" t="s">
        <v>56</v>
      </c>
      <c r="J1965" s="4">
        <v>0</v>
      </c>
      <c r="K1965" s="4">
        <v>0</v>
      </c>
      <c r="L1965" s="4">
        <f>J1965+K1965</f>
        <v>0</v>
      </c>
      <c r="M1965" s="4" t="s">
        <v>370</v>
      </c>
      <c r="N1965" s="4"/>
      <c r="O1965" s="4">
        <v>1</v>
      </c>
      <c r="P1965" s="4" t="s">
        <v>135</v>
      </c>
      <c r="Q1965" s="4"/>
      <c r="R1965" s="7">
        <v>5000000</v>
      </c>
      <c r="S1965" s="7">
        <v>0</v>
      </c>
      <c r="T1965" s="7">
        <f>R1965-S1965</f>
        <v>0</v>
      </c>
      <c r="U1965" s="7">
        <f>T1965*O1965</f>
        <v>0</v>
      </c>
    </row>
    <row r="1966" spans="1:21">
      <c r="A1966" s="4" t="s">
        <v>2870</v>
      </c>
      <c r="B1966" s="4" t="s">
        <v>39</v>
      </c>
      <c r="C1966" s="5">
        <v>45951.34002314815</v>
      </c>
      <c r="D1966" s="5">
        <v>45951</v>
      </c>
      <c r="E1966" s="6">
        <f>IF(AND(C1966&lt;&gt;"",D1966&lt;&gt;""),D1966-C1966,"")</f>
        <v>0</v>
      </c>
      <c r="F1966" s="4" t="s">
        <v>2871</v>
      </c>
      <c r="G1966" s="4" t="s">
        <v>2872</v>
      </c>
      <c r="H1966" s="4" t="s">
        <v>32</v>
      </c>
      <c r="I1966" s="4" t="s">
        <v>33</v>
      </c>
      <c r="J1966" s="4">
        <v>2</v>
      </c>
      <c r="K1966" s="4">
        <v>0</v>
      </c>
      <c r="L1966" s="4">
        <f>J1966+K1966</f>
        <v>0</v>
      </c>
      <c r="M1966" s="4" t="s">
        <v>80</v>
      </c>
      <c r="N1966" s="4"/>
      <c r="O1966" s="4">
        <v>2</v>
      </c>
      <c r="P1966" s="4" t="s">
        <v>135</v>
      </c>
      <c r="Q1966" s="4" t="s">
        <v>44</v>
      </c>
      <c r="R1966" s="7">
        <v>610000</v>
      </c>
      <c r="S1966" s="7">
        <v>61000</v>
      </c>
      <c r="T1966" s="7">
        <f>R1966-S1966</f>
        <v>0</v>
      </c>
      <c r="U1966" s="7">
        <f>T1966*O1966</f>
        <v>0</v>
      </c>
    </row>
    <row r="1967" spans="1:21">
      <c r="A1967" s="4" t="s">
        <v>2870</v>
      </c>
      <c r="B1967" s="4" t="s">
        <v>39</v>
      </c>
      <c r="C1967" s="5">
        <v>45951.34002314815</v>
      </c>
      <c r="D1967" s="5">
        <v>45951</v>
      </c>
      <c r="E1967" s="6">
        <f>IF(AND(C1967&lt;&gt;"",D1967&lt;&gt;""),D1967-C1967,"")</f>
        <v>0</v>
      </c>
      <c r="F1967" s="4" t="s">
        <v>2871</v>
      </c>
      <c r="G1967" s="4" t="s">
        <v>2872</v>
      </c>
      <c r="H1967" s="4" t="s">
        <v>32</v>
      </c>
      <c r="I1967" s="4" t="s">
        <v>33</v>
      </c>
      <c r="J1967" s="4">
        <v>0</v>
      </c>
      <c r="K1967" s="4">
        <v>2</v>
      </c>
      <c r="L1967" s="4">
        <f>J1967+K1967</f>
        <v>0</v>
      </c>
      <c r="M1967" s="4" t="s">
        <v>81</v>
      </c>
      <c r="N1967" s="4"/>
      <c r="O1967" s="4">
        <v>2</v>
      </c>
      <c r="P1967" s="4" t="s">
        <v>135</v>
      </c>
      <c r="Q1967" s="4" t="s">
        <v>44</v>
      </c>
      <c r="R1967" s="7">
        <v>495000</v>
      </c>
      <c r="S1967" s="7">
        <v>49500</v>
      </c>
      <c r="T1967" s="7">
        <f>R1967-S1967</f>
        <v>0</v>
      </c>
      <c r="U1967" s="7">
        <f>T1967*O1967</f>
        <v>0</v>
      </c>
    </row>
    <row r="1968" spans="1:21">
      <c r="A1968" s="4" t="s">
        <v>2870</v>
      </c>
      <c r="B1968" s="4" t="s">
        <v>39</v>
      </c>
      <c r="C1968" s="5">
        <v>45951.34002314815</v>
      </c>
      <c r="D1968" s="5">
        <v>45951</v>
      </c>
      <c r="E1968" s="6">
        <f>IF(AND(C1968&lt;&gt;"",D1968&lt;&gt;""),D1968-C1968,"")</f>
        <v>0</v>
      </c>
      <c r="F1968" s="4" t="s">
        <v>2871</v>
      </c>
      <c r="G1968" s="4" t="s">
        <v>2872</v>
      </c>
      <c r="H1968" s="4" t="s">
        <v>32</v>
      </c>
      <c r="I1968" s="4" t="s">
        <v>33</v>
      </c>
      <c r="J1968" s="4">
        <v>0</v>
      </c>
      <c r="K1968" s="4">
        <v>0</v>
      </c>
      <c r="L1968" s="4">
        <f>J1968+K1968</f>
        <v>0</v>
      </c>
      <c r="M1968" s="4" t="s">
        <v>370</v>
      </c>
      <c r="N1968" s="4"/>
      <c r="O1968" s="4">
        <v>1</v>
      </c>
      <c r="P1968" s="4" t="s">
        <v>135</v>
      </c>
      <c r="Q1968" s="4" t="s">
        <v>44</v>
      </c>
      <c r="R1968" s="7">
        <v>1000000</v>
      </c>
      <c r="S1968" s="7">
        <v>0</v>
      </c>
      <c r="T1968" s="7">
        <f>R1968-S1968</f>
        <v>0</v>
      </c>
      <c r="U1968" s="7">
        <f>T1968*O1968</f>
        <v>0</v>
      </c>
    </row>
    <row r="1969" spans="1:21">
      <c r="A1969" s="4" t="s">
        <v>2873</v>
      </c>
      <c r="B1969" s="4" t="s">
        <v>39</v>
      </c>
      <c r="C1969" s="5">
        <v>45951.34324074074</v>
      </c>
      <c r="D1969" s="5">
        <v>45951</v>
      </c>
      <c r="E1969" s="6">
        <f>IF(AND(C1969&lt;&gt;"",D1969&lt;&gt;""),D1969-C1969,"")</f>
        <v>0</v>
      </c>
      <c r="F1969" s="4" t="s">
        <v>2874</v>
      </c>
      <c r="G1969" s="4" t="s">
        <v>2875</v>
      </c>
      <c r="H1969" s="4" t="s">
        <v>190</v>
      </c>
      <c r="I1969" s="4" t="s">
        <v>56</v>
      </c>
      <c r="J1969" s="4">
        <v>0</v>
      </c>
      <c r="K1969" s="4">
        <v>0</v>
      </c>
      <c r="L1969" s="4">
        <f>J1969+K1969</f>
        <v>0</v>
      </c>
      <c r="M1969" s="4" t="s">
        <v>370</v>
      </c>
      <c r="N1969" s="4"/>
      <c r="O1969" s="4">
        <v>1</v>
      </c>
      <c r="P1969" s="4" t="s">
        <v>43</v>
      </c>
      <c r="Q1969" s="4" t="s">
        <v>44</v>
      </c>
      <c r="R1969" s="7">
        <v>1000000</v>
      </c>
      <c r="S1969" s="7">
        <v>0</v>
      </c>
      <c r="T1969" s="7">
        <f>R1969-S1969</f>
        <v>0</v>
      </c>
      <c r="U1969" s="7">
        <f>T1969*O1969</f>
        <v>0</v>
      </c>
    </row>
    <row r="1970" spans="1:21">
      <c r="A1970" s="4" t="s">
        <v>2873</v>
      </c>
      <c r="B1970" s="4" t="s">
        <v>39</v>
      </c>
      <c r="C1970" s="5">
        <v>45951.34324074074</v>
      </c>
      <c r="D1970" s="5">
        <v>45951</v>
      </c>
      <c r="E1970" s="6">
        <f>IF(AND(C1970&lt;&gt;"",D1970&lt;&gt;""),D1970-C1970,"")</f>
        <v>0</v>
      </c>
      <c r="F1970" s="4" t="s">
        <v>2874</v>
      </c>
      <c r="G1970" s="4" t="s">
        <v>2875</v>
      </c>
      <c r="H1970" s="4" t="s">
        <v>190</v>
      </c>
      <c r="I1970" s="4" t="s">
        <v>56</v>
      </c>
      <c r="J1970" s="4">
        <v>1</v>
      </c>
      <c r="K1970" s="4">
        <v>0</v>
      </c>
      <c r="L1970" s="4">
        <f>J1970+K1970</f>
        <v>0</v>
      </c>
      <c r="M1970" s="4" t="s">
        <v>1645</v>
      </c>
      <c r="N1970" s="4"/>
      <c r="O1970" s="4">
        <v>1</v>
      </c>
      <c r="P1970" s="4" t="s">
        <v>43</v>
      </c>
      <c r="Q1970" s="4" t="s">
        <v>44</v>
      </c>
      <c r="R1970" s="7">
        <v>2100000</v>
      </c>
      <c r="S1970" s="7">
        <v>0</v>
      </c>
      <c r="T1970" s="7">
        <f>R1970-S1970</f>
        <v>0</v>
      </c>
      <c r="U1970" s="7">
        <f>T1970*O1970</f>
        <v>0</v>
      </c>
    </row>
    <row r="1971" spans="1:21">
      <c r="A1971" s="4" t="s">
        <v>2876</v>
      </c>
      <c r="B1971" s="4" t="s">
        <v>39</v>
      </c>
      <c r="C1971" s="5">
        <v>45951.34552083333</v>
      </c>
      <c r="D1971" s="5">
        <v>45951</v>
      </c>
      <c r="E1971" s="6">
        <f>IF(AND(C1971&lt;&gt;"",D1971&lt;&gt;""),D1971-C1971,"")</f>
        <v>0</v>
      </c>
      <c r="F1971" s="4" t="s">
        <v>2877</v>
      </c>
      <c r="G1971" s="4" t="s">
        <v>2878</v>
      </c>
      <c r="H1971" s="4" t="s">
        <v>2879</v>
      </c>
      <c r="I1971" s="4" t="s">
        <v>56</v>
      </c>
      <c r="J1971" s="4">
        <v>0</v>
      </c>
      <c r="K1971" s="4">
        <v>0</v>
      </c>
      <c r="L1971" s="4">
        <f>J1971+K1971</f>
        <v>0</v>
      </c>
      <c r="M1971" s="4" t="s">
        <v>370</v>
      </c>
      <c r="N1971" s="4"/>
      <c r="O1971" s="4">
        <v>1</v>
      </c>
      <c r="P1971" s="4" t="s">
        <v>135</v>
      </c>
      <c r="Q1971" s="4"/>
      <c r="R1971" s="7">
        <v>1000000</v>
      </c>
      <c r="S1971" s="7">
        <v>0</v>
      </c>
      <c r="T1971" s="7">
        <f>R1971-S1971</f>
        <v>0</v>
      </c>
      <c r="U1971" s="7">
        <f>T1971*O1971</f>
        <v>0</v>
      </c>
    </row>
    <row r="1972" spans="1:21">
      <c r="A1972" s="4" t="s">
        <v>2880</v>
      </c>
      <c r="B1972" s="4" t="s">
        <v>48</v>
      </c>
      <c r="C1972" s="5">
        <v>45951.34722222222</v>
      </c>
      <c r="D1972" s="5">
        <v>45961</v>
      </c>
      <c r="E1972" s="6">
        <f>IF(AND(C1972&lt;&gt;"",D1972&lt;&gt;""),D1972-C1972,"")</f>
        <v>0</v>
      </c>
      <c r="F1972" s="4" t="s">
        <v>2881</v>
      </c>
      <c r="G1972" s="4" t="s">
        <v>2882</v>
      </c>
      <c r="H1972" s="4" t="s">
        <v>32</v>
      </c>
      <c r="I1972" s="4" t="s">
        <v>33</v>
      </c>
      <c r="J1972" s="4">
        <v>5</v>
      </c>
      <c r="K1972" s="4">
        <v>0</v>
      </c>
      <c r="L1972" s="4">
        <f>J1972+K1972</f>
        <v>0</v>
      </c>
      <c r="M1972" s="4"/>
      <c r="N1972" s="4"/>
      <c r="O1972" s="4">
        <v>0</v>
      </c>
      <c r="P1972" s="4"/>
      <c r="Q1972" s="4"/>
      <c r="R1972" s="7">
        <v>0</v>
      </c>
      <c r="S1972" s="7">
        <v>0</v>
      </c>
      <c r="T1972" s="7">
        <f>R1972-S1972</f>
        <v>0</v>
      </c>
      <c r="U1972" s="7">
        <f>T1972*O1972</f>
        <v>0</v>
      </c>
    </row>
    <row r="1973" spans="1:21">
      <c r="A1973" s="4" t="s">
        <v>2883</v>
      </c>
      <c r="B1973" s="4" t="s">
        <v>39</v>
      </c>
      <c r="C1973" s="5">
        <v>45951.3491087963</v>
      </c>
      <c r="D1973" s="5">
        <v>45951</v>
      </c>
      <c r="E1973" s="6">
        <f>IF(AND(C1973&lt;&gt;"",D1973&lt;&gt;""),D1973-C1973,"")</f>
        <v>0</v>
      </c>
      <c r="F1973" s="4" t="s">
        <v>2884</v>
      </c>
      <c r="G1973" s="4" t="s">
        <v>2885</v>
      </c>
      <c r="H1973" s="4" t="s">
        <v>32</v>
      </c>
      <c r="I1973" s="4" t="s">
        <v>33</v>
      </c>
      <c r="J1973" s="4">
        <v>1</v>
      </c>
      <c r="K1973" s="4">
        <v>0</v>
      </c>
      <c r="L1973" s="4">
        <f>J1973+K1973</f>
        <v>0</v>
      </c>
      <c r="M1973" s="4" t="s">
        <v>1645</v>
      </c>
      <c r="N1973" s="4"/>
      <c r="O1973" s="4">
        <v>1</v>
      </c>
      <c r="P1973" s="4" t="s">
        <v>135</v>
      </c>
      <c r="Q1973" s="4"/>
      <c r="R1973" s="7">
        <v>2100000</v>
      </c>
      <c r="S1973" s="7">
        <v>0</v>
      </c>
      <c r="T1973" s="7">
        <f>R1973-S1973</f>
        <v>0</v>
      </c>
      <c r="U1973" s="7">
        <f>T1973*O1973</f>
        <v>0</v>
      </c>
    </row>
    <row r="1974" spans="1:21">
      <c r="A1974" s="4" t="s">
        <v>2886</v>
      </c>
      <c r="B1974" s="4" t="s">
        <v>39</v>
      </c>
      <c r="C1974" s="5">
        <v>45951.34915509259</v>
      </c>
      <c r="D1974" s="5">
        <v>45951</v>
      </c>
      <c r="E1974" s="6">
        <f>IF(AND(C1974&lt;&gt;"",D1974&lt;&gt;""),D1974-C1974,"")</f>
        <v>0</v>
      </c>
      <c r="F1974" s="4" t="s">
        <v>2887</v>
      </c>
      <c r="G1974" s="4" t="s">
        <v>2888</v>
      </c>
      <c r="H1974" s="4" t="s">
        <v>32</v>
      </c>
      <c r="I1974" s="4" t="s">
        <v>33</v>
      </c>
      <c r="J1974" s="4">
        <v>1</v>
      </c>
      <c r="K1974" s="4">
        <v>0</v>
      </c>
      <c r="L1974" s="4">
        <f>J1974+K1974</f>
        <v>0</v>
      </c>
      <c r="M1974" s="4" t="s">
        <v>80</v>
      </c>
      <c r="N1974" s="4"/>
      <c r="O1974" s="4">
        <v>1</v>
      </c>
      <c r="P1974" s="4" t="s">
        <v>43</v>
      </c>
      <c r="Q1974" s="4" t="s">
        <v>44</v>
      </c>
      <c r="R1974" s="7">
        <v>610000</v>
      </c>
      <c r="S1974" s="7">
        <v>0</v>
      </c>
      <c r="T1974" s="7">
        <f>R1974-S1974</f>
        <v>0</v>
      </c>
      <c r="U1974" s="7">
        <f>T1974*O1974</f>
        <v>0</v>
      </c>
    </row>
    <row r="1975" spans="1:21">
      <c r="A1975" s="4" t="s">
        <v>2886</v>
      </c>
      <c r="B1975" s="4" t="s">
        <v>39</v>
      </c>
      <c r="C1975" s="5">
        <v>45951.34915509259</v>
      </c>
      <c r="D1975" s="5">
        <v>45951</v>
      </c>
      <c r="E1975" s="6">
        <f>IF(AND(C1975&lt;&gt;"",D1975&lt;&gt;""),D1975-C1975,"")</f>
        <v>0</v>
      </c>
      <c r="F1975" s="4" t="s">
        <v>2887</v>
      </c>
      <c r="G1975" s="4" t="s">
        <v>2888</v>
      </c>
      <c r="H1975" s="4" t="s">
        <v>32</v>
      </c>
      <c r="I1975" s="4" t="s">
        <v>33</v>
      </c>
      <c r="J1975" s="4">
        <v>0</v>
      </c>
      <c r="K1975" s="4">
        <v>1</v>
      </c>
      <c r="L1975" s="4">
        <f>J1975+K1975</f>
        <v>0</v>
      </c>
      <c r="M1975" s="4" t="s">
        <v>81</v>
      </c>
      <c r="N1975" s="4"/>
      <c r="O1975" s="4">
        <v>1</v>
      </c>
      <c r="P1975" s="4" t="s">
        <v>43</v>
      </c>
      <c r="Q1975" s="4" t="s">
        <v>44</v>
      </c>
      <c r="R1975" s="7">
        <v>495000</v>
      </c>
      <c r="S1975" s="7">
        <v>0</v>
      </c>
      <c r="T1975" s="7">
        <f>R1975-S1975</f>
        <v>0</v>
      </c>
      <c r="U1975" s="7">
        <f>T1975*O1975</f>
        <v>0</v>
      </c>
    </row>
    <row r="1976" spans="1:21">
      <c r="A1976" s="4" t="s">
        <v>2886</v>
      </c>
      <c r="B1976" s="4" t="s">
        <v>39</v>
      </c>
      <c r="C1976" s="5">
        <v>45951.34915509259</v>
      </c>
      <c r="D1976" s="5">
        <v>45951</v>
      </c>
      <c r="E1976" s="6">
        <f>IF(AND(C1976&lt;&gt;"",D1976&lt;&gt;""),D1976-C1976,"")</f>
        <v>0</v>
      </c>
      <c r="F1976" s="4" t="s">
        <v>2887</v>
      </c>
      <c r="G1976" s="4" t="s">
        <v>2888</v>
      </c>
      <c r="H1976" s="4" t="s">
        <v>32</v>
      </c>
      <c r="I1976" s="4" t="s">
        <v>33</v>
      </c>
      <c r="J1976" s="4">
        <v>0</v>
      </c>
      <c r="K1976" s="4">
        <v>0</v>
      </c>
      <c r="L1976" s="4">
        <f>J1976+K1976</f>
        <v>0</v>
      </c>
      <c r="M1976" s="4" t="s">
        <v>370</v>
      </c>
      <c r="N1976" s="4"/>
      <c r="O1976" s="4">
        <v>1</v>
      </c>
      <c r="P1976" s="4" t="s">
        <v>43</v>
      </c>
      <c r="Q1976" s="4" t="s">
        <v>44</v>
      </c>
      <c r="R1976" s="7">
        <v>1000000</v>
      </c>
      <c r="S1976" s="7">
        <v>0</v>
      </c>
      <c r="T1976" s="7">
        <f>R1976-S1976</f>
        <v>0</v>
      </c>
      <c r="U1976" s="7">
        <f>T1976*O1976</f>
        <v>0</v>
      </c>
    </row>
    <row r="1977" spans="1:21">
      <c r="A1977" s="4" t="s">
        <v>2889</v>
      </c>
      <c r="B1977" s="4" t="s">
        <v>48</v>
      </c>
      <c r="C1977" s="5">
        <v>45951.34931712963</v>
      </c>
      <c r="D1977" s="5">
        <v>45961</v>
      </c>
      <c r="E1977" s="6">
        <f>IF(AND(C1977&lt;&gt;"",D1977&lt;&gt;""),D1977-C1977,"")</f>
        <v>0</v>
      </c>
      <c r="F1977" s="4" t="s">
        <v>2890</v>
      </c>
      <c r="G1977" s="4" t="s">
        <v>2891</v>
      </c>
      <c r="H1977" s="4" t="s">
        <v>32</v>
      </c>
      <c r="I1977" s="4" t="s">
        <v>33</v>
      </c>
      <c r="J1977" s="4">
        <v>4</v>
      </c>
      <c r="K1977" s="4">
        <v>0</v>
      </c>
      <c r="L1977" s="4">
        <f>J1977+K1977</f>
        <v>0</v>
      </c>
      <c r="M1977" s="4"/>
      <c r="N1977" s="4"/>
      <c r="O1977" s="4">
        <v>0</v>
      </c>
      <c r="P1977" s="4"/>
      <c r="Q1977" s="4"/>
      <c r="R1977" s="7">
        <v>0</v>
      </c>
      <c r="S1977" s="7">
        <v>0</v>
      </c>
      <c r="T1977" s="7">
        <f>R1977-S1977</f>
        <v>0</v>
      </c>
      <c r="U1977" s="7">
        <f>T1977*O1977</f>
        <v>0</v>
      </c>
    </row>
    <row r="1978" spans="1:21">
      <c r="A1978" s="4" t="s">
        <v>2892</v>
      </c>
      <c r="B1978" s="4" t="s">
        <v>39</v>
      </c>
      <c r="C1978" s="5">
        <v>45951.355</v>
      </c>
      <c r="D1978" s="5">
        <v>45951</v>
      </c>
      <c r="E1978" s="6">
        <f>IF(AND(C1978&lt;&gt;"",D1978&lt;&gt;""),D1978-C1978,"")</f>
        <v>0</v>
      </c>
      <c r="F1978" s="4" t="s">
        <v>2893</v>
      </c>
      <c r="G1978" s="4" t="s">
        <v>2894</v>
      </c>
      <c r="H1978" s="4" t="s">
        <v>32</v>
      </c>
      <c r="I1978" s="4" t="s">
        <v>33</v>
      </c>
      <c r="J1978" s="4">
        <v>1</v>
      </c>
      <c r="K1978" s="4">
        <v>0</v>
      </c>
      <c r="L1978" s="4">
        <f>J1978+K1978</f>
        <v>0</v>
      </c>
      <c r="M1978" s="4" t="s">
        <v>1645</v>
      </c>
      <c r="N1978" s="4"/>
      <c r="O1978" s="4">
        <v>1</v>
      </c>
      <c r="P1978" s="4" t="s">
        <v>135</v>
      </c>
      <c r="Q1978" s="4" t="s">
        <v>44</v>
      </c>
      <c r="R1978" s="7">
        <v>2100000</v>
      </c>
      <c r="S1978" s="7">
        <v>0</v>
      </c>
      <c r="T1978" s="7">
        <f>R1978-S1978</f>
        <v>0</v>
      </c>
      <c r="U1978" s="7">
        <f>T1978*O1978</f>
        <v>0</v>
      </c>
    </row>
    <row r="1979" spans="1:21">
      <c r="A1979" s="4" t="s">
        <v>2892</v>
      </c>
      <c r="B1979" s="4" t="s">
        <v>39</v>
      </c>
      <c r="C1979" s="5">
        <v>45951.355</v>
      </c>
      <c r="D1979" s="5">
        <v>45951</v>
      </c>
      <c r="E1979" s="6">
        <f>IF(AND(C1979&lt;&gt;"",D1979&lt;&gt;""),D1979-C1979,"")</f>
        <v>0</v>
      </c>
      <c r="F1979" s="4" t="s">
        <v>2893</v>
      </c>
      <c r="G1979" s="4" t="s">
        <v>2894</v>
      </c>
      <c r="H1979" s="4" t="s">
        <v>32</v>
      </c>
      <c r="I1979" s="4" t="s">
        <v>33</v>
      </c>
      <c r="J1979" s="4">
        <v>0</v>
      </c>
      <c r="K1979" s="4">
        <v>0</v>
      </c>
      <c r="L1979" s="4">
        <f>J1979+K1979</f>
        <v>0</v>
      </c>
      <c r="M1979" s="4" t="s">
        <v>370</v>
      </c>
      <c r="N1979" s="4"/>
      <c r="O1979" s="4">
        <v>1</v>
      </c>
      <c r="P1979" s="4" t="s">
        <v>135</v>
      </c>
      <c r="Q1979" s="4" t="s">
        <v>44</v>
      </c>
      <c r="R1979" s="7">
        <v>1000000</v>
      </c>
      <c r="S1979" s="7">
        <v>0</v>
      </c>
      <c r="T1979" s="7">
        <f>R1979-S1979</f>
        <v>0</v>
      </c>
      <c r="U1979" s="7">
        <f>T1979*O1979</f>
        <v>0</v>
      </c>
    </row>
    <row r="1980" spans="1:21">
      <c r="A1980" s="4" t="s">
        <v>2895</v>
      </c>
      <c r="B1980" s="4" t="s">
        <v>39</v>
      </c>
      <c r="C1980" s="5">
        <v>45951.35648148148</v>
      </c>
      <c r="D1980" s="5">
        <v>45951</v>
      </c>
      <c r="E1980" s="6">
        <f>IF(AND(C1980&lt;&gt;"",D1980&lt;&gt;""),D1980-C1980,"")</f>
        <v>0</v>
      </c>
      <c r="F1980" s="4" t="s">
        <v>2887</v>
      </c>
      <c r="G1980" s="4" t="s">
        <v>2888</v>
      </c>
      <c r="H1980" s="4" t="s">
        <v>32</v>
      </c>
      <c r="I1980" s="4" t="s">
        <v>33</v>
      </c>
      <c r="J1980" s="4">
        <v>2</v>
      </c>
      <c r="K1980" s="4">
        <v>0</v>
      </c>
      <c r="L1980" s="4">
        <f>J1980+K1980</f>
        <v>0</v>
      </c>
      <c r="M1980" s="4" t="s">
        <v>80</v>
      </c>
      <c r="N1980" s="4"/>
      <c r="O1980" s="4">
        <v>2</v>
      </c>
      <c r="P1980" s="4" t="s">
        <v>135</v>
      </c>
      <c r="Q1980" s="4" t="s">
        <v>44</v>
      </c>
      <c r="R1980" s="7">
        <v>610000</v>
      </c>
      <c r="S1980" s="7">
        <v>0</v>
      </c>
      <c r="T1980" s="7">
        <f>R1980-S1980</f>
        <v>0</v>
      </c>
      <c r="U1980" s="7">
        <f>T1980*O1980</f>
        <v>0</v>
      </c>
    </row>
    <row r="1981" spans="1:21">
      <c r="A1981" s="4" t="s">
        <v>2895</v>
      </c>
      <c r="B1981" s="4" t="s">
        <v>39</v>
      </c>
      <c r="C1981" s="5">
        <v>45951.35648148148</v>
      </c>
      <c r="D1981" s="5">
        <v>45951</v>
      </c>
      <c r="E1981" s="6">
        <f>IF(AND(C1981&lt;&gt;"",D1981&lt;&gt;""),D1981-C1981,"")</f>
        <v>0</v>
      </c>
      <c r="F1981" s="4" t="s">
        <v>2887</v>
      </c>
      <c r="G1981" s="4" t="s">
        <v>2888</v>
      </c>
      <c r="H1981" s="4" t="s">
        <v>32</v>
      </c>
      <c r="I1981" s="4" t="s">
        <v>33</v>
      </c>
      <c r="J1981" s="4">
        <v>0</v>
      </c>
      <c r="K1981" s="4">
        <v>0</v>
      </c>
      <c r="L1981" s="4">
        <f>J1981+K1981</f>
        <v>0</v>
      </c>
      <c r="M1981" s="4" t="s">
        <v>370</v>
      </c>
      <c r="N1981" s="4"/>
      <c r="O1981" s="4">
        <v>1</v>
      </c>
      <c r="P1981" s="4" t="s">
        <v>135</v>
      </c>
      <c r="Q1981" s="4" t="s">
        <v>44</v>
      </c>
      <c r="R1981" s="7">
        <v>500000</v>
      </c>
      <c r="S1981" s="7">
        <v>0</v>
      </c>
      <c r="T1981" s="7">
        <f>R1981-S1981</f>
        <v>0</v>
      </c>
      <c r="U1981" s="7">
        <f>T1981*O1981</f>
        <v>0</v>
      </c>
    </row>
    <row r="1982" spans="1:21">
      <c r="A1982" s="4" t="s">
        <v>2896</v>
      </c>
      <c r="B1982" s="4" t="s">
        <v>39</v>
      </c>
      <c r="C1982" s="5">
        <v>45951.36931712963</v>
      </c>
      <c r="D1982" s="5">
        <v>45951</v>
      </c>
      <c r="E1982" s="6">
        <f>IF(AND(C1982&lt;&gt;"",D1982&lt;&gt;""),D1982-C1982,"")</f>
        <v>0</v>
      </c>
      <c r="F1982" s="4" t="s">
        <v>2897</v>
      </c>
      <c r="G1982" s="4" t="s">
        <v>2898</v>
      </c>
      <c r="H1982" s="4" t="s">
        <v>32</v>
      </c>
      <c r="I1982" s="4" t="s">
        <v>33</v>
      </c>
      <c r="J1982" s="4">
        <v>0</v>
      </c>
      <c r="K1982" s="4">
        <v>0</v>
      </c>
      <c r="L1982" s="4">
        <f>J1982+K1982</f>
        <v>0</v>
      </c>
      <c r="M1982" s="4" t="s">
        <v>370</v>
      </c>
      <c r="N1982" s="4"/>
      <c r="O1982" s="4">
        <v>1</v>
      </c>
      <c r="P1982" s="4" t="s">
        <v>135</v>
      </c>
      <c r="Q1982" s="4"/>
      <c r="R1982" s="7">
        <v>20000000</v>
      </c>
      <c r="S1982" s="7">
        <v>0</v>
      </c>
      <c r="T1982" s="7">
        <f>R1982-S1982</f>
        <v>0</v>
      </c>
      <c r="U1982" s="7">
        <f>T1982*O1982</f>
        <v>0</v>
      </c>
    </row>
    <row r="1983" spans="1:21">
      <c r="A1983" s="4" t="s">
        <v>2899</v>
      </c>
      <c r="B1983" s="4" t="s">
        <v>39</v>
      </c>
      <c r="C1983" s="5">
        <v>45951.37326388889</v>
      </c>
      <c r="D1983" s="5">
        <v>45951</v>
      </c>
      <c r="E1983" s="6">
        <f>IF(AND(C1983&lt;&gt;"",D1983&lt;&gt;""),D1983-C1983,"")</f>
        <v>0</v>
      </c>
      <c r="F1983" s="4" t="s">
        <v>2900</v>
      </c>
      <c r="G1983" s="4" t="s">
        <v>2901</v>
      </c>
      <c r="H1983" s="4" t="s">
        <v>32</v>
      </c>
      <c r="I1983" s="4" t="s">
        <v>33</v>
      </c>
      <c r="J1983" s="4">
        <v>0</v>
      </c>
      <c r="K1983" s="4">
        <v>0</v>
      </c>
      <c r="L1983" s="4">
        <f>J1983+K1983</f>
        <v>0</v>
      </c>
      <c r="M1983" s="4" t="s">
        <v>370</v>
      </c>
      <c r="N1983" s="4"/>
      <c r="O1983" s="4">
        <v>1</v>
      </c>
      <c r="P1983" s="4" t="s">
        <v>135</v>
      </c>
      <c r="Q1983" s="4"/>
      <c r="R1983" s="7">
        <v>10000000</v>
      </c>
      <c r="S1983" s="7">
        <v>0</v>
      </c>
      <c r="T1983" s="7">
        <f>R1983-S1983</f>
        <v>0</v>
      </c>
      <c r="U1983" s="7">
        <f>T1983*O1983</f>
        <v>0</v>
      </c>
    </row>
    <row r="1984" spans="1:21">
      <c r="A1984" s="4" t="s">
        <v>2902</v>
      </c>
      <c r="B1984" s="4" t="s">
        <v>39</v>
      </c>
      <c r="C1984" s="5">
        <v>45951.38827546296</v>
      </c>
      <c r="D1984" s="5">
        <v>45951</v>
      </c>
      <c r="E1984" s="6">
        <f>IF(AND(C1984&lt;&gt;"",D1984&lt;&gt;""),D1984-C1984,"")</f>
        <v>0</v>
      </c>
      <c r="F1984" s="4" t="s">
        <v>2903</v>
      </c>
      <c r="G1984" s="4" t="s">
        <v>2904</v>
      </c>
      <c r="H1984" s="4" t="s">
        <v>2905</v>
      </c>
      <c r="I1984" s="4" t="s">
        <v>56</v>
      </c>
      <c r="J1984" s="4">
        <v>2</v>
      </c>
      <c r="K1984" s="4">
        <v>0</v>
      </c>
      <c r="L1984" s="4">
        <f>J1984+K1984</f>
        <v>0</v>
      </c>
      <c r="M1984" s="4" t="s">
        <v>1645</v>
      </c>
      <c r="N1984" s="4"/>
      <c r="O1984" s="4">
        <v>2</v>
      </c>
      <c r="P1984" s="4" t="s">
        <v>135</v>
      </c>
      <c r="Q1984" s="4" t="s">
        <v>44</v>
      </c>
      <c r="R1984" s="7">
        <v>2100000</v>
      </c>
      <c r="S1984" s="7">
        <v>0</v>
      </c>
      <c r="T1984" s="7">
        <f>R1984-S1984</f>
        <v>0</v>
      </c>
      <c r="U1984" s="7">
        <f>T1984*O1984</f>
        <v>0</v>
      </c>
    </row>
    <row r="1985" spans="1:21">
      <c r="A1985" s="4" t="s">
        <v>2902</v>
      </c>
      <c r="B1985" s="4" t="s">
        <v>39</v>
      </c>
      <c r="C1985" s="5">
        <v>45951.38827546296</v>
      </c>
      <c r="D1985" s="5">
        <v>45951</v>
      </c>
      <c r="E1985" s="6">
        <f>IF(AND(C1985&lt;&gt;"",D1985&lt;&gt;""),D1985-C1985,"")</f>
        <v>0</v>
      </c>
      <c r="F1985" s="4" t="s">
        <v>2903</v>
      </c>
      <c r="G1985" s="4" t="s">
        <v>2904</v>
      </c>
      <c r="H1985" s="4" t="s">
        <v>2905</v>
      </c>
      <c r="I1985" s="4" t="s">
        <v>56</v>
      </c>
      <c r="J1985" s="4">
        <v>0</v>
      </c>
      <c r="K1985" s="4">
        <v>0</v>
      </c>
      <c r="L1985" s="4">
        <f>J1985+K1985</f>
        <v>0</v>
      </c>
      <c r="M1985" s="4" t="s">
        <v>370</v>
      </c>
      <c r="N1985" s="4"/>
      <c r="O1985" s="4">
        <v>1</v>
      </c>
      <c r="P1985" s="4" t="s">
        <v>135</v>
      </c>
      <c r="Q1985" s="4" t="s">
        <v>44</v>
      </c>
      <c r="R1985" s="7">
        <v>1000000</v>
      </c>
      <c r="S1985" s="7">
        <v>0</v>
      </c>
      <c r="T1985" s="7">
        <f>R1985-S1985</f>
        <v>0</v>
      </c>
      <c r="U1985" s="7">
        <f>T1985*O1985</f>
        <v>0</v>
      </c>
    </row>
    <row r="1986" spans="1:21">
      <c r="A1986" s="4" t="s">
        <v>2906</v>
      </c>
      <c r="B1986" s="4" t="s">
        <v>39</v>
      </c>
      <c r="C1986" s="5">
        <v>45951.38893518518</v>
      </c>
      <c r="D1986" s="5">
        <v>45951</v>
      </c>
      <c r="E1986" s="6">
        <f>IF(AND(C1986&lt;&gt;"",D1986&lt;&gt;""),D1986-C1986,"")</f>
        <v>0</v>
      </c>
      <c r="F1986" s="4" t="s">
        <v>2907</v>
      </c>
      <c r="G1986" s="4" t="s">
        <v>2908</v>
      </c>
      <c r="H1986" s="4" t="s">
        <v>190</v>
      </c>
      <c r="I1986" s="4" t="s">
        <v>56</v>
      </c>
      <c r="J1986" s="4">
        <v>1</v>
      </c>
      <c r="K1986" s="4">
        <v>0</v>
      </c>
      <c r="L1986" s="4">
        <f>J1986+K1986</f>
        <v>0</v>
      </c>
      <c r="M1986" s="4" t="s">
        <v>80</v>
      </c>
      <c r="N1986" s="4"/>
      <c r="O1986" s="4">
        <v>1</v>
      </c>
      <c r="P1986" s="4" t="s">
        <v>135</v>
      </c>
      <c r="Q1986" s="4" t="s">
        <v>44</v>
      </c>
      <c r="R1986" s="7">
        <v>610000</v>
      </c>
      <c r="S1986" s="7">
        <v>0</v>
      </c>
      <c r="T1986" s="7">
        <f>R1986-S1986</f>
        <v>0</v>
      </c>
      <c r="U1986" s="7">
        <f>T1986*O1986</f>
        <v>0</v>
      </c>
    </row>
    <row r="1987" spans="1:21">
      <c r="A1987" s="4" t="s">
        <v>2906</v>
      </c>
      <c r="B1987" s="4" t="s">
        <v>39</v>
      </c>
      <c r="C1987" s="5">
        <v>45951.38893518518</v>
      </c>
      <c r="D1987" s="5">
        <v>45951</v>
      </c>
      <c r="E1987" s="6">
        <f>IF(AND(C1987&lt;&gt;"",D1987&lt;&gt;""),D1987-C1987,"")</f>
        <v>0</v>
      </c>
      <c r="F1987" s="4" t="s">
        <v>2907</v>
      </c>
      <c r="G1987" s="4" t="s">
        <v>2908</v>
      </c>
      <c r="H1987" s="4" t="s">
        <v>190</v>
      </c>
      <c r="I1987" s="4" t="s">
        <v>56</v>
      </c>
      <c r="J1987" s="4">
        <v>0</v>
      </c>
      <c r="K1987" s="4">
        <v>0</v>
      </c>
      <c r="L1987" s="4">
        <f>J1987+K1987</f>
        <v>0</v>
      </c>
      <c r="M1987" s="4" t="s">
        <v>370</v>
      </c>
      <c r="N1987" s="4"/>
      <c r="O1987" s="4">
        <v>1</v>
      </c>
      <c r="P1987" s="4" t="s">
        <v>135</v>
      </c>
      <c r="Q1987" s="4" t="s">
        <v>44</v>
      </c>
      <c r="R1987" s="7">
        <v>500000</v>
      </c>
      <c r="S1987" s="7">
        <v>0</v>
      </c>
      <c r="T1987" s="7">
        <f>R1987-S1987</f>
        <v>0</v>
      </c>
      <c r="U1987" s="7">
        <f>T1987*O1987</f>
        <v>0</v>
      </c>
    </row>
    <row r="1988" spans="1:21">
      <c r="A1988" s="4" t="s">
        <v>2909</v>
      </c>
      <c r="B1988" s="4" t="s">
        <v>39</v>
      </c>
      <c r="C1988" s="5">
        <v>45951.41081018518</v>
      </c>
      <c r="D1988" s="5">
        <v>45951</v>
      </c>
      <c r="E1988" s="6">
        <f>IF(AND(C1988&lt;&gt;"",D1988&lt;&gt;""),D1988-C1988,"")</f>
        <v>0</v>
      </c>
      <c r="F1988" s="4" t="s">
        <v>2910</v>
      </c>
      <c r="G1988" s="4" t="s">
        <v>2911</v>
      </c>
      <c r="H1988" s="4" t="s">
        <v>32</v>
      </c>
      <c r="I1988" s="4" t="s">
        <v>33</v>
      </c>
      <c r="J1988" s="4">
        <v>1</v>
      </c>
      <c r="K1988" s="4">
        <v>0</v>
      </c>
      <c r="L1988" s="4">
        <f>J1988+K1988</f>
        <v>0</v>
      </c>
      <c r="M1988" s="4" t="s">
        <v>1645</v>
      </c>
      <c r="N1988" s="4"/>
      <c r="O1988" s="4">
        <v>1</v>
      </c>
      <c r="P1988" s="4" t="s">
        <v>135</v>
      </c>
      <c r="Q1988" s="4"/>
      <c r="R1988" s="7">
        <v>2100000</v>
      </c>
      <c r="S1988" s="7">
        <v>0</v>
      </c>
      <c r="T1988" s="7">
        <f>R1988-S1988</f>
        <v>0</v>
      </c>
      <c r="U1988" s="7">
        <f>T1988*O1988</f>
        <v>0</v>
      </c>
    </row>
    <row r="1989" spans="1:21">
      <c r="A1989" s="4" t="s">
        <v>2909</v>
      </c>
      <c r="B1989" s="4" t="s">
        <v>39</v>
      </c>
      <c r="C1989" s="5">
        <v>45951.41081018518</v>
      </c>
      <c r="D1989" s="5">
        <v>45951</v>
      </c>
      <c r="E1989" s="6">
        <f>IF(AND(C1989&lt;&gt;"",D1989&lt;&gt;""),D1989-C1989,"")</f>
        <v>0</v>
      </c>
      <c r="F1989" s="4" t="s">
        <v>2910</v>
      </c>
      <c r="G1989" s="4" t="s">
        <v>2911</v>
      </c>
      <c r="H1989" s="4" t="s">
        <v>32</v>
      </c>
      <c r="I1989" s="4" t="s">
        <v>33</v>
      </c>
      <c r="J1989" s="4">
        <v>2</v>
      </c>
      <c r="K1989" s="4">
        <v>0</v>
      </c>
      <c r="L1989" s="4">
        <f>J1989+K1989</f>
        <v>0</v>
      </c>
      <c r="M1989" s="4" t="s">
        <v>1645</v>
      </c>
      <c r="N1989" s="4"/>
      <c r="O1989" s="4">
        <v>2</v>
      </c>
      <c r="P1989" s="4" t="s">
        <v>135</v>
      </c>
      <c r="Q1989" s="4"/>
      <c r="R1989" s="7">
        <v>2100000</v>
      </c>
      <c r="S1989" s="7">
        <v>0</v>
      </c>
      <c r="T1989" s="7">
        <f>R1989-S1989</f>
        <v>0</v>
      </c>
      <c r="U1989" s="7">
        <f>T1989*O1989</f>
        <v>0</v>
      </c>
    </row>
    <row r="1990" spans="1:21">
      <c r="A1990" s="4" t="s">
        <v>2912</v>
      </c>
      <c r="B1990" s="4" t="s">
        <v>39</v>
      </c>
      <c r="C1990" s="5">
        <v>45951.41157407407</v>
      </c>
      <c r="D1990" s="5">
        <v>45951</v>
      </c>
      <c r="E1990" s="6">
        <f>IF(AND(C1990&lt;&gt;"",D1990&lt;&gt;""),D1990-C1990,"")</f>
        <v>0</v>
      </c>
      <c r="F1990" s="4" t="s">
        <v>2913</v>
      </c>
      <c r="G1990" s="4" t="s">
        <v>2914</v>
      </c>
      <c r="H1990" s="4" t="s">
        <v>32</v>
      </c>
      <c r="I1990" s="4" t="s">
        <v>33</v>
      </c>
      <c r="J1990" s="4">
        <v>4</v>
      </c>
      <c r="K1990" s="4">
        <v>0</v>
      </c>
      <c r="L1990" s="4">
        <f>J1990+K1990</f>
        <v>0</v>
      </c>
      <c r="M1990" s="4" t="s">
        <v>1645</v>
      </c>
      <c r="N1990" s="4"/>
      <c r="O1990" s="4">
        <v>4</v>
      </c>
      <c r="P1990" s="4" t="s">
        <v>135</v>
      </c>
      <c r="Q1990" s="4"/>
      <c r="R1990" s="7">
        <v>2100000</v>
      </c>
      <c r="S1990" s="7">
        <v>0</v>
      </c>
      <c r="T1990" s="7">
        <f>R1990-S1990</f>
        <v>0</v>
      </c>
      <c r="U1990" s="7">
        <f>T1990*O1990</f>
        <v>0</v>
      </c>
    </row>
    <row r="1991" spans="1:21">
      <c r="A1991" s="4" t="s">
        <v>2915</v>
      </c>
      <c r="B1991" s="4" t="s">
        <v>39</v>
      </c>
      <c r="C1991" s="5">
        <v>45951.4121875</v>
      </c>
      <c r="D1991" s="5">
        <v>45951</v>
      </c>
      <c r="E1991" s="6">
        <f>IF(AND(C1991&lt;&gt;"",D1991&lt;&gt;""),D1991-C1991,"")</f>
        <v>0</v>
      </c>
      <c r="F1991" s="4" t="s">
        <v>2916</v>
      </c>
      <c r="G1991" s="4" t="s">
        <v>2917</v>
      </c>
      <c r="H1991" s="4" t="s">
        <v>32</v>
      </c>
      <c r="I1991" s="4" t="s">
        <v>33</v>
      </c>
      <c r="J1991" s="4">
        <v>1</v>
      </c>
      <c r="K1991" s="4">
        <v>0</v>
      </c>
      <c r="L1991" s="4">
        <f>J1991+K1991</f>
        <v>0</v>
      </c>
      <c r="M1991" s="4" t="s">
        <v>1645</v>
      </c>
      <c r="N1991" s="4"/>
      <c r="O1991" s="4">
        <v>1</v>
      </c>
      <c r="P1991" s="4" t="s">
        <v>135</v>
      </c>
      <c r="Q1991" s="4"/>
      <c r="R1991" s="7">
        <v>2100000</v>
      </c>
      <c r="S1991" s="7">
        <v>0</v>
      </c>
      <c r="T1991" s="7">
        <f>R1991-S1991</f>
        <v>0</v>
      </c>
      <c r="U1991" s="7">
        <f>T1991*O1991</f>
        <v>0</v>
      </c>
    </row>
    <row r="1992" spans="1:21">
      <c r="A1992" s="4" t="s">
        <v>2915</v>
      </c>
      <c r="B1992" s="4" t="s">
        <v>39</v>
      </c>
      <c r="C1992" s="5">
        <v>45951.4121875</v>
      </c>
      <c r="D1992" s="5">
        <v>45951</v>
      </c>
      <c r="E1992" s="6">
        <f>IF(AND(C1992&lt;&gt;"",D1992&lt;&gt;""),D1992-C1992,"")</f>
        <v>0</v>
      </c>
      <c r="F1992" s="4" t="s">
        <v>2916</v>
      </c>
      <c r="G1992" s="4" t="s">
        <v>2917</v>
      </c>
      <c r="H1992" s="4" t="s">
        <v>32</v>
      </c>
      <c r="I1992" s="4" t="s">
        <v>33</v>
      </c>
      <c r="J1992" s="4">
        <v>1</v>
      </c>
      <c r="K1992" s="4">
        <v>0</v>
      </c>
      <c r="L1992" s="4">
        <f>J1992+K1992</f>
        <v>0</v>
      </c>
      <c r="M1992" s="4" t="s">
        <v>1645</v>
      </c>
      <c r="N1992" s="4"/>
      <c r="O1992" s="4">
        <v>1</v>
      </c>
      <c r="P1992" s="4" t="s">
        <v>135</v>
      </c>
      <c r="Q1992" s="4"/>
      <c r="R1992" s="7">
        <v>2100000</v>
      </c>
      <c r="S1992" s="7">
        <v>0</v>
      </c>
      <c r="T1992" s="7">
        <f>R1992-S1992</f>
        <v>0</v>
      </c>
      <c r="U1992" s="7">
        <f>T1992*O1992</f>
        <v>0</v>
      </c>
    </row>
    <row r="1993" spans="1:21">
      <c r="A1993" s="4" t="s">
        <v>2915</v>
      </c>
      <c r="B1993" s="4" t="s">
        <v>39</v>
      </c>
      <c r="C1993" s="5">
        <v>45951.4121875</v>
      </c>
      <c r="D1993" s="5">
        <v>45951</v>
      </c>
      <c r="E1993" s="6">
        <f>IF(AND(C1993&lt;&gt;"",D1993&lt;&gt;""),D1993-C1993,"")</f>
        <v>0</v>
      </c>
      <c r="F1993" s="4" t="s">
        <v>2916</v>
      </c>
      <c r="G1993" s="4" t="s">
        <v>2917</v>
      </c>
      <c r="H1993" s="4" t="s">
        <v>32</v>
      </c>
      <c r="I1993" s="4" t="s">
        <v>33</v>
      </c>
      <c r="J1993" s="4">
        <v>1</v>
      </c>
      <c r="K1993" s="4">
        <v>0</v>
      </c>
      <c r="L1993" s="4">
        <f>J1993+K1993</f>
        <v>0</v>
      </c>
      <c r="M1993" s="4" t="s">
        <v>1645</v>
      </c>
      <c r="N1993" s="4"/>
      <c r="O1993" s="4">
        <v>1</v>
      </c>
      <c r="P1993" s="4" t="s">
        <v>135</v>
      </c>
      <c r="Q1993" s="4"/>
      <c r="R1993" s="7">
        <v>2100000</v>
      </c>
      <c r="S1993" s="7">
        <v>0</v>
      </c>
      <c r="T1993" s="7">
        <f>R1993-S1993</f>
        <v>0</v>
      </c>
      <c r="U1993" s="7">
        <f>T1993*O1993</f>
        <v>0</v>
      </c>
    </row>
    <row r="1994" spans="1:21">
      <c r="A1994" s="4" t="s">
        <v>2918</v>
      </c>
      <c r="B1994" s="4" t="s">
        <v>39</v>
      </c>
      <c r="C1994" s="5">
        <v>45951.4137962963</v>
      </c>
      <c r="D1994" s="5">
        <v>45951</v>
      </c>
      <c r="E1994" s="6">
        <f>IF(AND(C1994&lt;&gt;"",D1994&lt;&gt;""),D1994-C1994,"")</f>
        <v>0</v>
      </c>
      <c r="F1994" s="4" t="s">
        <v>2639</v>
      </c>
      <c r="G1994" s="4" t="s">
        <v>2640</v>
      </c>
      <c r="H1994" s="4" t="s">
        <v>32</v>
      </c>
      <c r="I1994" s="4" t="s">
        <v>33</v>
      </c>
      <c r="J1994" s="4">
        <v>3</v>
      </c>
      <c r="K1994" s="4">
        <v>0</v>
      </c>
      <c r="L1994" s="4">
        <f>J1994+K1994</f>
        <v>0</v>
      </c>
      <c r="M1994" s="4" t="s">
        <v>1645</v>
      </c>
      <c r="N1994" s="4"/>
      <c r="O1994" s="4">
        <v>3</v>
      </c>
      <c r="P1994" s="4" t="s">
        <v>135</v>
      </c>
      <c r="Q1994" s="4"/>
      <c r="R1994" s="7">
        <v>2100000</v>
      </c>
      <c r="S1994" s="7">
        <v>0</v>
      </c>
      <c r="T1994" s="7">
        <f>R1994-S1994</f>
        <v>0</v>
      </c>
      <c r="U1994" s="7">
        <f>T1994*O1994</f>
        <v>0</v>
      </c>
    </row>
    <row r="1995" spans="1:21">
      <c r="A1995" s="4" t="s">
        <v>2919</v>
      </c>
      <c r="B1995" s="4" t="s">
        <v>39</v>
      </c>
      <c r="C1995" s="5">
        <v>45951.41650462963</v>
      </c>
      <c r="D1995" s="5">
        <v>45951</v>
      </c>
      <c r="E1995" s="6">
        <f>IF(AND(C1995&lt;&gt;"",D1995&lt;&gt;""),D1995-C1995,"")</f>
        <v>0</v>
      </c>
      <c r="F1995" s="4" t="s">
        <v>2920</v>
      </c>
      <c r="G1995" s="4" t="s">
        <v>2921</v>
      </c>
      <c r="H1995" s="4" t="s">
        <v>32</v>
      </c>
      <c r="I1995" s="4" t="s">
        <v>33</v>
      </c>
      <c r="J1995" s="4">
        <v>2</v>
      </c>
      <c r="K1995" s="4">
        <v>0</v>
      </c>
      <c r="L1995" s="4">
        <f>J1995+K1995</f>
        <v>0</v>
      </c>
      <c r="M1995" s="4" t="s">
        <v>1645</v>
      </c>
      <c r="N1995" s="4"/>
      <c r="O1995" s="4">
        <v>2</v>
      </c>
      <c r="P1995" s="4" t="s">
        <v>135</v>
      </c>
      <c r="Q1995" s="4" t="s">
        <v>44</v>
      </c>
      <c r="R1995" s="7">
        <v>2100000</v>
      </c>
      <c r="S1995" s="7">
        <v>0</v>
      </c>
      <c r="T1995" s="7">
        <f>R1995-S1995</f>
        <v>0</v>
      </c>
      <c r="U1995" s="7">
        <f>T1995*O1995</f>
        <v>0</v>
      </c>
    </row>
    <row r="1996" spans="1:21">
      <c r="A1996" s="4" t="s">
        <v>2922</v>
      </c>
      <c r="B1996" s="4" t="s">
        <v>39</v>
      </c>
      <c r="C1996" s="5">
        <v>45951.41660879629</v>
      </c>
      <c r="D1996" s="5">
        <v>45951</v>
      </c>
      <c r="E1996" s="6">
        <f>IF(AND(C1996&lt;&gt;"",D1996&lt;&gt;""),D1996-C1996,"")</f>
        <v>0</v>
      </c>
      <c r="F1996" s="4" t="s">
        <v>78</v>
      </c>
      <c r="G1996" s="4" t="s">
        <v>79</v>
      </c>
      <c r="H1996" s="4"/>
      <c r="I1996" s="4" t="s">
        <v>56</v>
      </c>
      <c r="J1996" s="4">
        <v>2</v>
      </c>
      <c r="K1996" s="4">
        <v>0</v>
      </c>
      <c r="L1996" s="4">
        <f>J1996+K1996</f>
        <v>0</v>
      </c>
      <c r="M1996" s="4" t="s">
        <v>1645</v>
      </c>
      <c r="N1996" s="4"/>
      <c r="O1996" s="4">
        <v>2</v>
      </c>
      <c r="P1996" s="4" t="s">
        <v>135</v>
      </c>
      <c r="Q1996" s="4"/>
      <c r="R1996" s="7">
        <v>2100000</v>
      </c>
      <c r="S1996" s="7">
        <v>0</v>
      </c>
      <c r="T1996" s="7">
        <f>R1996-S1996</f>
        <v>0</v>
      </c>
      <c r="U1996" s="7">
        <f>T1996*O1996</f>
        <v>0</v>
      </c>
    </row>
    <row r="1997" spans="1:21">
      <c r="A1997" s="4" t="s">
        <v>2923</v>
      </c>
      <c r="B1997" s="4" t="s">
        <v>39</v>
      </c>
      <c r="C1997" s="5">
        <v>45951.42594907407</v>
      </c>
      <c r="D1997" s="5">
        <v>45951</v>
      </c>
      <c r="E1997" s="6">
        <f>IF(AND(C1997&lt;&gt;"",D1997&lt;&gt;""),D1997-C1997,"")</f>
        <v>0</v>
      </c>
      <c r="F1997" s="4" t="s">
        <v>2924</v>
      </c>
      <c r="G1997" s="4" t="s">
        <v>2925</v>
      </c>
      <c r="H1997" s="4" t="s">
        <v>32</v>
      </c>
      <c r="I1997" s="4" t="s">
        <v>33</v>
      </c>
      <c r="J1997" s="4">
        <v>0</v>
      </c>
      <c r="K1997" s="4">
        <v>0</v>
      </c>
      <c r="L1997" s="4">
        <f>J1997+K1997</f>
        <v>0</v>
      </c>
      <c r="M1997" s="4" t="s">
        <v>370</v>
      </c>
      <c r="N1997" s="4"/>
      <c r="O1997" s="4">
        <v>1</v>
      </c>
      <c r="P1997" s="4" t="s">
        <v>135</v>
      </c>
      <c r="Q1997" s="4" t="s">
        <v>44</v>
      </c>
      <c r="R1997" s="7">
        <v>2000000</v>
      </c>
      <c r="S1997" s="7">
        <v>0</v>
      </c>
      <c r="T1997" s="7">
        <f>R1997-S1997</f>
        <v>0</v>
      </c>
      <c r="U1997" s="7">
        <f>T1997*O1997</f>
        <v>0</v>
      </c>
    </row>
    <row r="1998" spans="1:21">
      <c r="A1998" s="4" t="s">
        <v>2926</v>
      </c>
      <c r="B1998" s="4" t="s">
        <v>39</v>
      </c>
      <c r="C1998" s="5">
        <v>45951.42648148148</v>
      </c>
      <c r="D1998" s="5">
        <v>45951</v>
      </c>
      <c r="E1998" s="6">
        <f>IF(AND(C1998&lt;&gt;"",D1998&lt;&gt;""),D1998-C1998,"")</f>
        <v>0</v>
      </c>
      <c r="F1998" s="4" t="s">
        <v>2927</v>
      </c>
      <c r="G1998" s="4" t="s">
        <v>2928</v>
      </c>
      <c r="H1998" s="4" t="s">
        <v>32</v>
      </c>
      <c r="I1998" s="4" t="s">
        <v>33</v>
      </c>
      <c r="J1998" s="4">
        <v>0</v>
      </c>
      <c r="K1998" s="4">
        <v>0</v>
      </c>
      <c r="L1998" s="4">
        <f>J1998+K1998</f>
        <v>0</v>
      </c>
      <c r="M1998" s="4" t="s">
        <v>370</v>
      </c>
      <c r="N1998" s="4"/>
      <c r="O1998" s="4">
        <v>1</v>
      </c>
      <c r="P1998" s="4" t="s">
        <v>135</v>
      </c>
      <c r="Q1998" s="4" t="s">
        <v>44</v>
      </c>
      <c r="R1998" s="7">
        <v>2000000</v>
      </c>
      <c r="S1998" s="7">
        <v>0</v>
      </c>
      <c r="T1998" s="7">
        <f>R1998-S1998</f>
        <v>0</v>
      </c>
      <c r="U1998" s="7">
        <f>T1998*O1998</f>
        <v>0</v>
      </c>
    </row>
    <row r="1999" spans="1:21">
      <c r="A1999" s="4" t="s">
        <v>2929</v>
      </c>
      <c r="B1999" s="4" t="s">
        <v>39</v>
      </c>
      <c r="C1999" s="5">
        <v>45951.42693287037</v>
      </c>
      <c r="D1999" s="5">
        <v>45951</v>
      </c>
      <c r="E1999" s="6">
        <f>IF(AND(C1999&lt;&gt;"",D1999&lt;&gt;""),D1999-C1999,"")</f>
        <v>0</v>
      </c>
      <c r="F1999" s="4" t="s">
        <v>2930</v>
      </c>
      <c r="G1999" s="4" t="s">
        <v>2931</v>
      </c>
      <c r="H1999" s="4" t="s">
        <v>32</v>
      </c>
      <c r="I1999" s="4" t="s">
        <v>33</v>
      </c>
      <c r="J1999" s="4">
        <v>0</v>
      </c>
      <c r="K1999" s="4">
        <v>0</v>
      </c>
      <c r="L1999" s="4">
        <f>J1999+K1999</f>
        <v>0</v>
      </c>
      <c r="M1999" s="4" t="s">
        <v>370</v>
      </c>
      <c r="N1999" s="4"/>
      <c r="O1999" s="4">
        <v>1</v>
      </c>
      <c r="P1999" s="4" t="s">
        <v>135</v>
      </c>
      <c r="Q1999" s="4" t="s">
        <v>44</v>
      </c>
      <c r="R1999" s="7">
        <v>2000000</v>
      </c>
      <c r="S1999" s="7">
        <v>0</v>
      </c>
      <c r="T1999" s="7">
        <f>R1999-S1999</f>
        <v>0</v>
      </c>
      <c r="U1999" s="7">
        <f>T1999*O1999</f>
        <v>0</v>
      </c>
    </row>
    <row r="2000" spans="1:21">
      <c r="A2000" s="4" t="s">
        <v>2932</v>
      </c>
      <c r="B2000" s="4" t="s">
        <v>39</v>
      </c>
      <c r="C2000" s="5">
        <v>45951.42739583334</v>
      </c>
      <c r="D2000" s="5">
        <v>45951</v>
      </c>
      <c r="E2000" s="6">
        <f>IF(AND(C2000&lt;&gt;"",D2000&lt;&gt;""),D2000-C2000,"")</f>
        <v>0</v>
      </c>
      <c r="F2000" s="4" t="s">
        <v>2933</v>
      </c>
      <c r="G2000" s="4" t="s">
        <v>2934</v>
      </c>
      <c r="H2000" s="4" t="s">
        <v>32</v>
      </c>
      <c r="I2000" s="4" t="s">
        <v>33</v>
      </c>
      <c r="J2000" s="4">
        <v>0</v>
      </c>
      <c r="K2000" s="4">
        <v>0</v>
      </c>
      <c r="L2000" s="4">
        <f>J2000+K2000</f>
        <v>0</v>
      </c>
      <c r="M2000" s="4" t="s">
        <v>370</v>
      </c>
      <c r="N2000" s="4"/>
      <c r="O2000" s="4">
        <v>1</v>
      </c>
      <c r="P2000" s="4" t="s">
        <v>135</v>
      </c>
      <c r="Q2000" s="4" t="s">
        <v>44</v>
      </c>
      <c r="R2000" s="7">
        <v>2000000</v>
      </c>
      <c r="S2000" s="7">
        <v>0</v>
      </c>
      <c r="T2000" s="7">
        <f>R2000-S2000</f>
        <v>0</v>
      </c>
      <c r="U2000" s="7">
        <f>T2000*O2000</f>
        <v>0</v>
      </c>
    </row>
    <row r="2001" spans="1:21">
      <c r="A2001" s="4" t="s">
        <v>2935</v>
      </c>
      <c r="B2001" s="4" t="s">
        <v>39</v>
      </c>
      <c r="C2001" s="5">
        <v>45951.42888888889</v>
      </c>
      <c r="D2001" s="5">
        <v>45951</v>
      </c>
      <c r="E2001" s="6">
        <f>IF(AND(C2001&lt;&gt;"",D2001&lt;&gt;""),D2001-C2001,"")</f>
        <v>0</v>
      </c>
      <c r="F2001" s="4" t="s">
        <v>78</v>
      </c>
      <c r="G2001" s="4" t="s">
        <v>79</v>
      </c>
      <c r="H2001" s="4"/>
      <c r="I2001" s="4" t="s">
        <v>56</v>
      </c>
      <c r="J2001" s="4">
        <v>2</v>
      </c>
      <c r="K2001" s="4">
        <v>0</v>
      </c>
      <c r="L2001" s="4">
        <f>J2001+K2001</f>
        <v>0</v>
      </c>
      <c r="M2001" s="4" t="s">
        <v>1645</v>
      </c>
      <c r="N2001" s="4"/>
      <c r="O2001" s="4">
        <v>2</v>
      </c>
      <c r="P2001" s="4" t="s">
        <v>135</v>
      </c>
      <c r="Q2001" s="4"/>
      <c r="R2001" s="7">
        <v>2100000</v>
      </c>
      <c r="S2001" s="7">
        <v>0</v>
      </c>
      <c r="T2001" s="7">
        <f>R2001-S2001</f>
        <v>0</v>
      </c>
      <c r="U2001" s="7">
        <f>T2001*O2001</f>
        <v>0</v>
      </c>
    </row>
    <row r="2002" spans="1:21">
      <c r="A2002" s="4" t="s">
        <v>2936</v>
      </c>
      <c r="B2002" s="4" t="s">
        <v>39</v>
      </c>
      <c r="C2002" s="5">
        <v>45951.43780092592</v>
      </c>
      <c r="D2002" s="5">
        <v>45951</v>
      </c>
      <c r="E2002" s="6">
        <f>IF(AND(C2002&lt;&gt;"",D2002&lt;&gt;""),D2002-C2002,"")</f>
        <v>0</v>
      </c>
      <c r="F2002" s="4" t="s">
        <v>2850</v>
      </c>
      <c r="G2002" s="4" t="s">
        <v>2851</v>
      </c>
      <c r="H2002" s="4" t="s">
        <v>32</v>
      </c>
      <c r="I2002" s="4" t="s">
        <v>33</v>
      </c>
      <c r="J2002" s="4">
        <v>2</v>
      </c>
      <c r="K2002" s="4">
        <v>0</v>
      </c>
      <c r="L2002" s="4">
        <f>J2002+K2002</f>
        <v>0</v>
      </c>
      <c r="M2002" s="4" t="s">
        <v>2291</v>
      </c>
      <c r="N2002" s="4"/>
      <c r="O2002" s="4">
        <v>2</v>
      </c>
      <c r="P2002" s="4" t="s">
        <v>135</v>
      </c>
      <c r="Q2002" s="4" t="s">
        <v>44</v>
      </c>
      <c r="R2002" s="7">
        <v>1300000</v>
      </c>
      <c r="S2002" s="7">
        <v>0</v>
      </c>
      <c r="T2002" s="7">
        <f>R2002-S2002</f>
        <v>0</v>
      </c>
      <c r="U2002" s="7">
        <f>T2002*O2002</f>
        <v>0</v>
      </c>
    </row>
    <row r="2003" spans="1:21">
      <c r="A2003" s="4" t="s">
        <v>2937</v>
      </c>
      <c r="B2003" s="4" t="s">
        <v>39</v>
      </c>
      <c r="C2003" s="5">
        <v>45951.44876157407</v>
      </c>
      <c r="D2003" s="5">
        <v>45951</v>
      </c>
      <c r="E2003" s="6">
        <f>IF(AND(C2003&lt;&gt;"",D2003&lt;&gt;""),D2003-C2003,"")</f>
        <v>0</v>
      </c>
      <c r="F2003" s="4" t="s">
        <v>2793</v>
      </c>
      <c r="G2003" s="4" t="s">
        <v>2794</v>
      </c>
      <c r="H2003" s="4" t="s">
        <v>32</v>
      </c>
      <c r="I2003" s="4" t="s">
        <v>33</v>
      </c>
      <c r="J2003" s="4">
        <v>2</v>
      </c>
      <c r="K2003" s="4">
        <v>0</v>
      </c>
      <c r="L2003" s="4">
        <f>J2003+K2003</f>
        <v>0</v>
      </c>
      <c r="M2003" s="4" t="s">
        <v>1645</v>
      </c>
      <c r="N2003" s="4"/>
      <c r="O2003" s="4">
        <v>2</v>
      </c>
      <c r="P2003" s="4" t="s">
        <v>135</v>
      </c>
      <c r="Q2003" s="4"/>
      <c r="R2003" s="7">
        <v>2100000</v>
      </c>
      <c r="S2003" s="7">
        <v>0</v>
      </c>
      <c r="T2003" s="7">
        <f>R2003-S2003</f>
        <v>0</v>
      </c>
      <c r="U2003" s="7">
        <f>T2003*O2003</f>
        <v>0</v>
      </c>
    </row>
    <row r="2004" spans="1:21">
      <c r="A2004" s="4" t="s">
        <v>2937</v>
      </c>
      <c r="B2004" s="4" t="s">
        <v>39</v>
      </c>
      <c r="C2004" s="5">
        <v>45951.44876157407</v>
      </c>
      <c r="D2004" s="5">
        <v>45951</v>
      </c>
      <c r="E2004" s="6">
        <f>IF(AND(C2004&lt;&gt;"",D2004&lt;&gt;""),D2004-C2004,"")</f>
        <v>0</v>
      </c>
      <c r="F2004" s="4" t="s">
        <v>2793</v>
      </c>
      <c r="G2004" s="4" t="s">
        <v>2794</v>
      </c>
      <c r="H2004" s="4" t="s">
        <v>32</v>
      </c>
      <c r="I2004" s="4" t="s">
        <v>33</v>
      </c>
      <c r="J2004" s="4">
        <v>3</v>
      </c>
      <c r="K2004" s="4">
        <v>0</v>
      </c>
      <c r="L2004" s="4">
        <f>J2004+K2004</f>
        <v>0</v>
      </c>
      <c r="M2004" s="4" t="s">
        <v>1645</v>
      </c>
      <c r="N2004" s="4"/>
      <c r="O2004" s="4">
        <v>3</v>
      </c>
      <c r="P2004" s="4" t="s">
        <v>135</v>
      </c>
      <c r="Q2004" s="4"/>
      <c r="R2004" s="7">
        <v>2100000</v>
      </c>
      <c r="S2004" s="7">
        <v>0</v>
      </c>
      <c r="T2004" s="7">
        <f>R2004-S2004</f>
        <v>0</v>
      </c>
      <c r="U2004" s="7">
        <f>T2004*O2004</f>
        <v>0</v>
      </c>
    </row>
    <row r="2005" spans="1:21">
      <c r="A2005" s="4" t="s">
        <v>2938</v>
      </c>
      <c r="B2005" s="4" t="s">
        <v>48</v>
      </c>
      <c r="C2005" s="5">
        <v>45951.53512731481</v>
      </c>
      <c r="D2005" s="5">
        <v>45961</v>
      </c>
      <c r="E2005" s="6">
        <f>IF(AND(C2005&lt;&gt;"",D2005&lt;&gt;""),D2005-C2005,"")</f>
        <v>0</v>
      </c>
      <c r="F2005" s="4" t="s">
        <v>162</v>
      </c>
      <c r="G2005" s="4" t="s">
        <v>163</v>
      </c>
      <c r="H2005" s="4" t="s">
        <v>32</v>
      </c>
      <c r="I2005" s="4" t="s">
        <v>33</v>
      </c>
      <c r="J2005" s="4">
        <v>5</v>
      </c>
      <c r="K2005" s="4">
        <v>0</v>
      </c>
      <c r="L2005" s="4">
        <f>J2005+K2005</f>
        <v>0</v>
      </c>
      <c r="M2005" s="4"/>
      <c r="N2005" s="4"/>
      <c r="O2005" s="4">
        <v>0</v>
      </c>
      <c r="P2005" s="4"/>
      <c r="Q2005" s="4"/>
      <c r="R2005" s="7">
        <v>0</v>
      </c>
      <c r="S2005" s="7">
        <v>0</v>
      </c>
      <c r="T2005" s="7">
        <f>R2005-S2005</f>
        <v>0</v>
      </c>
      <c r="U2005" s="7">
        <f>T2005*O2005</f>
        <v>0</v>
      </c>
    </row>
    <row r="2006" spans="1:21">
      <c r="A2006" s="4" t="s">
        <v>2939</v>
      </c>
      <c r="B2006" s="4" t="s">
        <v>48</v>
      </c>
      <c r="C2006" s="5">
        <v>45951.54998842593</v>
      </c>
      <c r="D2006" s="5">
        <v>45961</v>
      </c>
      <c r="E2006" s="6">
        <f>IF(AND(C2006&lt;&gt;"",D2006&lt;&gt;""),D2006-C2006,"")</f>
        <v>0</v>
      </c>
      <c r="F2006" s="4" t="s">
        <v>64</v>
      </c>
      <c r="G2006" s="4" t="s">
        <v>2940</v>
      </c>
      <c r="H2006" s="4" t="s">
        <v>32</v>
      </c>
      <c r="I2006" s="4" t="s">
        <v>33</v>
      </c>
      <c r="J2006" s="4">
        <v>2</v>
      </c>
      <c r="K2006" s="4">
        <v>2</v>
      </c>
      <c r="L2006" s="4">
        <f>J2006+K2006</f>
        <v>0</v>
      </c>
      <c r="M2006" s="4"/>
      <c r="N2006" s="4"/>
      <c r="O2006" s="4">
        <v>0</v>
      </c>
      <c r="P2006" s="4"/>
      <c r="Q2006" s="4"/>
      <c r="R2006" s="7">
        <v>0</v>
      </c>
      <c r="S2006" s="7">
        <v>0</v>
      </c>
      <c r="T2006" s="7">
        <f>R2006-S2006</f>
        <v>0</v>
      </c>
      <c r="U2006" s="7">
        <f>T2006*O2006</f>
        <v>0</v>
      </c>
    </row>
    <row r="2007" spans="1:21">
      <c r="A2007" s="4" t="s">
        <v>2941</v>
      </c>
      <c r="B2007" s="4" t="s">
        <v>29</v>
      </c>
      <c r="C2007" s="5">
        <v>45951.5521875</v>
      </c>
      <c r="D2007" s="5">
        <v>45961</v>
      </c>
      <c r="E2007" s="6">
        <f>IF(AND(C2007&lt;&gt;"",D2007&lt;&gt;""),D2007-C2007,"")</f>
        <v>0</v>
      </c>
      <c r="F2007" s="4" t="s">
        <v>307</v>
      </c>
      <c r="G2007" s="4" t="s">
        <v>308</v>
      </c>
      <c r="H2007" s="4" t="s">
        <v>190</v>
      </c>
      <c r="I2007" s="4" t="s">
        <v>56</v>
      </c>
      <c r="J2007" s="4">
        <v>1</v>
      </c>
      <c r="K2007" s="4">
        <v>0</v>
      </c>
      <c r="L2007" s="4">
        <f>J2007+K2007</f>
        <v>0</v>
      </c>
      <c r="M2007" s="4"/>
      <c r="N2007" s="4"/>
      <c r="O2007" s="4">
        <v>0</v>
      </c>
      <c r="P2007" s="4"/>
      <c r="Q2007" s="4"/>
      <c r="R2007" s="7">
        <v>0</v>
      </c>
      <c r="S2007" s="7">
        <v>0</v>
      </c>
      <c r="T2007" s="7">
        <f>R2007-S2007</f>
        <v>0</v>
      </c>
      <c r="U2007" s="7">
        <f>T2007*O2007</f>
        <v>0</v>
      </c>
    </row>
    <row r="2008" spans="1:21">
      <c r="A2008" s="4" t="s">
        <v>2942</v>
      </c>
      <c r="B2008" s="4" t="s">
        <v>29</v>
      </c>
      <c r="C2008" s="5">
        <v>45951.55231481481</v>
      </c>
      <c r="D2008" s="5">
        <v>45961</v>
      </c>
      <c r="E2008" s="6">
        <f>IF(AND(C2008&lt;&gt;"",D2008&lt;&gt;""),D2008-C2008,"")</f>
        <v>0</v>
      </c>
      <c r="F2008" s="4" t="s">
        <v>307</v>
      </c>
      <c r="G2008" s="4" t="s">
        <v>308</v>
      </c>
      <c r="H2008" s="4" t="s">
        <v>190</v>
      </c>
      <c r="I2008" s="4" t="s">
        <v>56</v>
      </c>
      <c r="J2008" s="4">
        <v>1</v>
      </c>
      <c r="K2008" s="4">
        <v>0</v>
      </c>
      <c r="L2008" s="4">
        <f>J2008+K2008</f>
        <v>0</v>
      </c>
      <c r="M2008" s="4"/>
      <c r="N2008" s="4"/>
      <c r="O2008" s="4">
        <v>0</v>
      </c>
      <c r="P2008" s="4"/>
      <c r="Q2008" s="4"/>
      <c r="R2008" s="7">
        <v>0</v>
      </c>
      <c r="S2008" s="7">
        <v>0</v>
      </c>
      <c r="T2008" s="7">
        <f>R2008-S2008</f>
        <v>0</v>
      </c>
      <c r="U2008" s="7">
        <f>T2008*O2008</f>
        <v>0</v>
      </c>
    </row>
    <row r="2009" spans="1:21">
      <c r="A2009" s="4" t="s">
        <v>2943</v>
      </c>
      <c r="B2009" s="4" t="s">
        <v>48</v>
      </c>
      <c r="C2009" s="5">
        <v>45951.55296296296</v>
      </c>
      <c r="D2009" s="5">
        <v>45961</v>
      </c>
      <c r="E2009" s="6">
        <f>IF(AND(C2009&lt;&gt;"",D2009&lt;&gt;""),D2009-C2009,"")</f>
        <v>0</v>
      </c>
      <c r="F2009" s="4" t="s">
        <v>2944</v>
      </c>
      <c r="G2009" s="4" t="s">
        <v>2945</v>
      </c>
      <c r="H2009" s="4" t="s">
        <v>32</v>
      </c>
      <c r="I2009" s="4" t="s">
        <v>33</v>
      </c>
      <c r="J2009" s="4">
        <v>2</v>
      </c>
      <c r="K2009" s="4">
        <v>2</v>
      </c>
      <c r="L2009" s="4">
        <f>J2009+K2009</f>
        <v>0</v>
      </c>
      <c r="M2009" s="4"/>
      <c r="N2009" s="4"/>
      <c r="O2009" s="4">
        <v>0</v>
      </c>
      <c r="P2009" s="4"/>
      <c r="Q2009" s="4"/>
      <c r="R2009" s="7">
        <v>0</v>
      </c>
      <c r="S2009" s="7">
        <v>0</v>
      </c>
      <c r="T2009" s="7">
        <f>R2009-S2009</f>
        <v>0</v>
      </c>
      <c r="U2009" s="7">
        <f>T2009*O2009</f>
        <v>0</v>
      </c>
    </row>
    <row r="2010" spans="1:21">
      <c r="A2010" s="4" t="s">
        <v>2946</v>
      </c>
      <c r="B2010" s="4" t="s">
        <v>48</v>
      </c>
      <c r="C2010" s="5">
        <v>45951.55751157407</v>
      </c>
      <c r="D2010" s="5">
        <v>45961</v>
      </c>
      <c r="E2010" s="6">
        <f>IF(AND(C2010&lt;&gt;"",D2010&lt;&gt;""),D2010-C2010,"")</f>
        <v>0</v>
      </c>
      <c r="F2010" s="4" t="s">
        <v>2947</v>
      </c>
      <c r="G2010" s="4" t="s">
        <v>2948</v>
      </c>
      <c r="H2010" s="4" t="s">
        <v>32</v>
      </c>
      <c r="I2010" s="4" t="s">
        <v>33</v>
      </c>
      <c r="J2010" s="4">
        <v>2</v>
      </c>
      <c r="K2010" s="4">
        <v>2</v>
      </c>
      <c r="L2010" s="4">
        <f>J2010+K2010</f>
        <v>0</v>
      </c>
      <c r="M2010" s="4"/>
      <c r="N2010" s="4"/>
      <c r="O2010" s="4">
        <v>0</v>
      </c>
      <c r="P2010" s="4"/>
      <c r="Q2010" s="4"/>
      <c r="R2010" s="7">
        <v>0</v>
      </c>
      <c r="S2010" s="7">
        <v>0</v>
      </c>
      <c r="T2010" s="7">
        <f>R2010-S2010</f>
        <v>0</v>
      </c>
      <c r="U2010" s="7">
        <f>T2010*O2010</f>
        <v>0</v>
      </c>
    </row>
    <row r="2011" spans="1:21">
      <c r="A2011" s="4" t="s">
        <v>2949</v>
      </c>
      <c r="B2011" s="4" t="s">
        <v>39</v>
      </c>
      <c r="C2011" s="5">
        <v>45951.58283564815</v>
      </c>
      <c r="D2011" s="5">
        <v>45951</v>
      </c>
      <c r="E2011" s="6">
        <f>IF(AND(C2011&lt;&gt;"",D2011&lt;&gt;""),D2011-C2011,"")</f>
        <v>0</v>
      </c>
      <c r="F2011" s="4" t="s">
        <v>2950</v>
      </c>
      <c r="G2011" s="4" t="s">
        <v>2951</v>
      </c>
      <c r="H2011" s="4" t="s">
        <v>32</v>
      </c>
      <c r="I2011" s="4" t="s">
        <v>33</v>
      </c>
      <c r="J2011" s="4">
        <v>0</v>
      </c>
      <c r="K2011" s="4">
        <v>0</v>
      </c>
      <c r="L2011" s="4">
        <f>J2011+K2011</f>
        <v>0</v>
      </c>
      <c r="M2011" s="4" t="s">
        <v>370</v>
      </c>
      <c r="N2011" s="4"/>
      <c r="O2011" s="4">
        <v>1</v>
      </c>
      <c r="P2011" s="4" t="s">
        <v>135</v>
      </c>
      <c r="Q2011" s="4" t="s">
        <v>44</v>
      </c>
      <c r="R2011" s="7">
        <v>20000000</v>
      </c>
      <c r="S2011" s="7">
        <v>0</v>
      </c>
      <c r="T2011" s="7">
        <f>R2011-S2011</f>
        <v>0</v>
      </c>
      <c r="U2011" s="7">
        <f>T2011*O2011</f>
        <v>0</v>
      </c>
    </row>
    <row r="2012" spans="1:21">
      <c r="A2012" s="4" t="s">
        <v>2952</v>
      </c>
      <c r="B2012" s="4" t="s">
        <v>48</v>
      </c>
      <c r="C2012" s="5">
        <v>45951.60984953704</v>
      </c>
      <c r="D2012" s="5">
        <v>45961</v>
      </c>
      <c r="E2012" s="6">
        <f>IF(AND(C2012&lt;&gt;"",D2012&lt;&gt;""),D2012-C2012,"")</f>
        <v>0</v>
      </c>
      <c r="F2012" s="4" t="s">
        <v>64</v>
      </c>
      <c r="G2012" s="4" t="s">
        <v>2953</v>
      </c>
      <c r="H2012" s="4" t="s">
        <v>32</v>
      </c>
      <c r="I2012" s="4" t="s">
        <v>33</v>
      </c>
      <c r="J2012" s="4">
        <v>2</v>
      </c>
      <c r="K2012" s="4">
        <v>2</v>
      </c>
      <c r="L2012" s="4">
        <f>J2012+K2012</f>
        <v>0</v>
      </c>
      <c r="M2012" s="4"/>
      <c r="N2012" s="4"/>
      <c r="O2012" s="4">
        <v>0</v>
      </c>
      <c r="P2012" s="4"/>
      <c r="Q2012" s="4"/>
      <c r="R2012" s="7">
        <v>0</v>
      </c>
      <c r="S2012" s="7">
        <v>0</v>
      </c>
      <c r="T2012" s="7">
        <f>R2012-S2012</f>
        <v>0</v>
      </c>
      <c r="U2012" s="7">
        <f>T2012*O2012</f>
        <v>0</v>
      </c>
    </row>
    <row r="2013" spans="1:21">
      <c r="A2013" s="4" t="s">
        <v>2954</v>
      </c>
      <c r="B2013" s="4" t="s">
        <v>48</v>
      </c>
      <c r="C2013" s="5">
        <v>45951.61671296296</v>
      </c>
      <c r="D2013" s="5">
        <v>45961</v>
      </c>
      <c r="E2013" s="6">
        <f>IF(AND(C2013&lt;&gt;"",D2013&lt;&gt;""),D2013-C2013,"")</f>
        <v>0</v>
      </c>
      <c r="F2013" s="4" t="s">
        <v>64</v>
      </c>
      <c r="G2013" s="4" t="s">
        <v>2955</v>
      </c>
      <c r="H2013" s="4" t="s">
        <v>32</v>
      </c>
      <c r="I2013" s="4" t="s">
        <v>33</v>
      </c>
      <c r="J2013" s="4">
        <v>6</v>
      </c>
      <c r="K2013" s="4">
        <v>4</v>
      </c>
      <c r="L2013" s="4">
        <f>J2013+K2013</f>
        <v>0</v>
      </c>
      <c r="M2013" s="4"/>
      <c r="N2013" s="4"/>
      <c r="O2013" s="4">
        <v>0</v>
      </c>
      <c r="P2013" s="4"/>
      <c r="Q2013" s="4"/>
      <c r="R2013" s="7">
        <v>0</v>
      </c>
      <c r="S2013" s="7">
        <v>0</v>
      </c>
      <c r="T2013" s="7">
        <f>R2013-S2013</f>
        <v>0</v>
      </c>
      <c r="U2013" s="7">
        <f>T2013*O2013</f>
        <v>0</v>
      </c>
    </row>
    <row r="2014" spans="1:21">
      <c r="A2014" s="4" t="s">
        <v>2956</v>
      </c>
      <c r="B2014" s="4" t="s">
        <v>29</v>
      </c>
      <c r="C2014" s="5">
        <v>45952.07774305555</v>
      </c>
      <c r="D2014" s="5">
        <v>45961</v>
      </c>
      <c r="E2014" s="6">
        <f>IF(AND(C2014&lt;&gt;"",D2014&lt;&gt;""),D2014-C2014,"")</f>
        <v>0</v>
      </c>
      <c r="F2014" s="4" t="s">
        <v>2957</v>
      </c>
      <c r="G2014" s="4" t="s">
        <v>2958</v>
      </c>
      <c r="H2014" s="4"/>
      <c r="I2014" s="4" t="s">
        <v>56</v>
      </c>
      <c r="J2014" s="4">
        <v>2</v>
      </c>
      <c r="K2014" s="4">
        <v>0</v>
      </c>
      <c r="L2014" s="4">
        <f>J2014+K2014</f>
        <v>0</v>
      </c>
      <c r="M2014" s="4"/>
      <c r="N2014" s="4"/>
      <c r="O2014" s="4">
        <v>0</v>
      </c>
      <c r="P2014" s="4"/>
      <c r="Q2014" s="4"/>
      <c r="R2014" s="7">
        <v>0</v>
      </c>
      <c r="S2014" s="7">
        <v>0</v>
      </c>
      <c r="T2014" s="7">
        <f>R2014-S2014</f>
        <v>0</v>
      </c>
      <c r="U2014" s="7">
        <f>T2014*O2014</f>
        <v>0</v>
      </c>
    </row>
    <row r="2015" spans="1:21">
      <c r="A2015" s="4" t="s">
        <v>2959</v>
      </c>
      <c r="B2015" s="4" t="s">
        <v>103</v>
      </c>
      <c r="C2015" s="5">
        <v>45952.09127314815</v>
      </c>
      <c r="D2015" s="5">
        <v>45961</v>
      </c>
      <c r="E2015" s="6">
        <f>IF(AND(C2015&lt;&gt;"",D2015&lt;&gt;""),D2015-C2015,"")</f>
        <v>0</v>
      </c>
      <c r="F2015" s="4" t="s">
        <v>2960</v>
      </c>
      <c r="G2015" s="4" t="s">
        <v>2961</v>
      </c>
      <c r="H2015" s="4" t="s">
        <v>2962</v>
      </c>
      <c r="I2015" s="4" t="s">
        <v>56</v>
      </c>
      <c r="J2015" s="4">
        <v>5</v>
      </c>
      <c r="K2015" s="4">
        <v>0</v>
      </c>
      <c r="L2015" s="4">
        <f>J2015+K2015</f>
        <v>0</v>
      </c>
      <c r="M2015" s="4"/>
      <c r="N2015" s="4"/>
      <c r="O2015" s="4">
        <v>0</v>
      </c>
      <c r="P2015" s="4"/>
      <c r="Q2015" s="4"/>
      <c r="R2015" s="7">
        <v>0</v>
      </c>
      <c r="S2015" s="7">
        <v>0</v>
      </c>
      <c r="T2015" s="7">
        <f>R2015-S2015</f>
        <v>0</v>
      </c>
      <c r="U2015" s="7">
        <f>T2015*O2015</f>
        <v>0</v>
      </c>
    </row>
    <row r="2016" spans="1:21">
      <c r="A2016" s="4" t="s">
        <v>2963</v>
      </c>
      <c r="B2016" s="4" t="s">
        <v>29</v>
      </c>
      <c r="C2016" s="5">
        <v>45952.09155092593</v>
      </c>
      <c r="D2016" s="5">
        <v>45961</v>
      </c>
      <c r="E2016" s="6">
        <f>IF(AND(C2016&lt;&gt;"",D2016&lt;&gt;""),D2016-C2016,"")</f>
        <v>0</v>
      </c>
      <c r="F2016" s="4" t="s">
        <v>2964</v>
      </c>
      <c r="G2016" s="4" t="s">
        <v>2965</v>
      </c>
      <c r="H2016" s="4"/>
      <c r="I2016" s="4" t="s">
        <v>56</v>
      </c>
      <c r="J2016" s="4">
        <v>2</v>
      </c>
      <c r="K2016" s="4">
        <v>0</v>
      </c>
      <c r="L2016" s="4">
        <f>J2016+K2016</f>
        <v>0</v>
      </c>
      <c r="M2016" s="4"/>
      <c r="N2016" s="4"/>
      <c r="O2016" s="4">
        <v>0</v>
      </c>
      <c r="P2016" s="4"/>
      <c r="Q2016" s="4"/>
      <c r="R2016" s="7">
        <v>0</v>
      </c>
      <c r="S2016" s="7">
        <v>0</v>
      </c>
      <c r="T2016" s="7">
        <f>R2016-S2016</f>
        <v>0</v>
      </c>
      <c r="U2016" s="7">
        <f>T2016*O2016</f>
        <v>0</v>
      </c>
    </row>
    <row r="2017" spans="1:21">
      <c r="A2017" s="4" t="s">
        <v>2963</v>
      </c>
      <c r="B2017" s="4" t="s">
        <v>29</v>
      </c>
      <c r="C2017" s="5">
        <v>45952.0915625</v>
      </c>
      <c r="D2017" s="5">
        <v>45961</v>
      </c>
      <c r="E2017" s="6">
        <f>IF(AND(C2017&lt;&gt;"",D2017&lt;&gt;""),D2017-C2017,"")</f>
        <v>0</v>
      </c>
      <c r="F2017" s="4" t="s">
        <v>2966</v>
      </c>
      <c r="G2017" s="4" t="s">
        <v>2967</v>
      </c>
      <c r="H2017" s="4"/>
      <c r="I2017" s="4" t="s">
        <v>56</v>
      </c>
      <c r="J2017" s="4">
        <v>2</v>
      </c>
      <c r="K2017" s="4">
        <v>0</v>
      </c>
      <c r="L2017" s="4">
        <f>J2017+K2017</f>
        <v>0</v>
      </c>
      <c r="M2017" s="4"/>
      <c r="N2017" s="4"/>
      <c r="O2017" s="4">
        <v>0</v>
      </c>
      <c r="P2017" s="4"/>
      <c r="Q2017" s="4"/>
      <c r="R2017" s="7">
        <v>0</v>
      </c>
      <c r="S2017" s="7">
        <v>0</v>
      </c>
      <c r="T2017" s="7">
        <f>R2017-S2017</f>
        <v>0</v>
      </c>
      <c r="U2017" s="7">
        <f>T2017*O2017</f>
        <v>0</v>
      </c>
    </row>
    <row r="2018" spans="1:21">
      <c r="A2018" s="4" t="s">
        <v>2968</v>
      </c>
      <c r="B2018" s="4" t="s">
        <v>29</v>
      </c>
      <c r="C2018" s="5">
        <v>45952.0915625</v>
      </c>
      <c r="D2018" s="5">
        <v>45961</v>
      </c>
      <c r="E2018" s="6">
        <f>IF(AND(C2018&lt;&gt;"",D2018&lt;&gt;""),D2018-C2018,"")</f>
        <v>0</v>
      </c>
      <c r="F2018" s="4" t="s">
        <v>2969</v>
      </c>
      <c r="G2018" s="4" t="s">
        <v>2970</v>
      </c>
      <c r="H2018" s="4"/>
      <c r="I2018" s="4" t="s">
        <v>56</v>
      </c>
      <c r="J2018" s="4">
        <v>2</v>
      </c>
      <c r="K2018" s="4">
        <v>0</v>
      </c>
      <c r="L2018" s="4">
        <f>J2018+K2018</f>
        <v>0</v>
      </c>
      <c r="M2018" s="4"/>
      <c r="N2018" s="4"/>
      <c r="O2018" s="4">
        <v>0</v>
      </c>
      <c r="P2018" s="4"/>
      <c r="Q2018" s="4"/>
      <c r="R2018" s="7">
        <v>0</v>
      </c>
      <c r="S2018" s="7">
        <v>0</v>
      </c>
      <c r="T2018" s="7">
        <f>R2018-S2018</f>
        <v>0</v>
      </c>
      <c r="U2018" s="7">
        <f>T2018*O2018</f>
        <v>0</v>
      </c>
    </row>
    <row r="2019" spans="1:21">
      <c r="A2019" s="4" t="s">
        <v>2971</v>
      </c>
      <c r="B2019" s="4" t="s">
        <v>39</v>
      </c>
      <c r="C2019" s="5">
        <v>45952.09746527778</v>
      </c>
      <c r="D2019" s="5">
        <v>45952</v>
      </c>
      <c r="E2019" s="6">
        <f>IF(AND(C2019&lt;&gt;"",D2019&lt;&gt;""),D2019-C2019,"")</f>
        <v>0</v>
      </c>
      <c r="F2019" s="4" t="s">
        <v>2972</v>
      </c>
      <c r="G2019" s="4" t="s">
        <v>2973</v>
      </c>
      <c r="H2019" s="4" t="s">
        <v>190</v>
      </c>
      <c r="I2019" s="4" t="s">
        <v>56</v>
      </c>
      <c r="J2019" s="4">
        <v>2</v>
      </c>
      <c r="K2019" s="4">
        <v>0</v>
      </c>
      <c r="L2019" s="4">
        <f>J2019+K2019</f>
        <v>0</v>
      </c>
      <c r="M2019" s="4" t="s">
        <v>1645</v>
      </c>
      <c r="N2019" s="4"/>
      <c r="O2019" s="4">
        <v>2</v>
      </c>
      <c r="P2019" s="4" t="s">
        <v>43</v>
      </c>
      <c r="Q2019" s="4" t="s">
        <v>44</v>
      </c>
      <c r="R2019" s="7">
        <v>2100000</v>
      </c>
      <c r="S2019" s="7">
        <v>0</v>
      </c>
      <c r="T2019" s="7">
        <f>R2019-S2019</f>
        <v>0</v>
      </c>
      <c r="U2019" s="7">
        <f>T2019*O2019</f>
        <v>0</v>
      </c>
    </row>
    <row r="2020" spans="1:21">
      <c r="A2020" s="4" t="s">
        <v>2971</v>
      </c>
      <c r="B2020" s="4" t="s">
        <v>39</v>
      </c>
      <c r="C2020" s="5">
        <v>45952.09746527778</v>
      </c>
      <c r="D2020" s="5">
        <v>45952</v>
      </c>
      <c r="E2020" s="6">
        <f>IF(AND(C2020&lt;&gt;"",D2020&lt;&gt;""),D2020-C2020,"")</f>
        <v>0</v>
      </c>
      <c r="F2020" s="4" t="s">
        <v>2972</v>
      </c>
      <c r="G2020" s="4" t="s">
        <v>2973</v>
      </c>
      <c r="H2020" s="4" t="s">
        <v>190</v>
      </c>
      <c r="I2020" s="4" t="s">
        <v>56</v>
      </c>
      <c r="J2020" s="4">
        <v>0</v>
      </c>
      <c r="K2020" s="4">
        <v>0</v>
      </c>
      <c r="L2020" s="4">
        <f>J2020+K2020</f>
        <v>0</v>
      </c>
      <c r="M2020" s="4" t="s">
        <v>370</v>
      </c>
      <c r="N2020" s="4"/>
      <c r="O2020" s="4">
        <v>1</v>
      </c>
      <c r="P2020" s="4" t="s">
        <v>43</v>
      </c>
      <c r="Q2020" s="4" t="s">
        <v>44</v>
      </c>
      <c r="R2020" s="7">
        <v>5000000</v>
      </c>
      <c r="S2020" s="7">
        <v>0</v>
      </c>
      <c r="T2020" s="7">
        <f>R2020-S2020</f>
        <v>0</v>
      </c>
      <c r="U2020" s="7">
        <f>T2020*O2020</f>
        <v>0</v>
      </c>
    </row>
    <row r="2021" spans="1:21">
      <c r="A2021" s="4" t="s">
        <v>2974</v>
      </c>
      <c r="B2021" s="4" t="s">
        <v>48</v>
      </c>
      <c r="C2021" s="5">
        <v>45952.10177083333</v>
      </c>
      <c r="D2021" s="5">
        <v>45961</v>
      </c>
      <c r="E2021" s="6">
        <f>IF(AND(C2021&lt;&gt;"",D2021&lt;&gt;""),D2021-C2021,"")</f>
        <v>0</v>
      </c>
      <c r="F2021" s="4" t="s">
        <v>2975</v>
      </c>
      <c r="G2021" s="4" t="s">
        <v>2976</v>
      </c>
      <c r="H2021" s="4" t="s">
        <v>32</v>
      </c>
      <c r="I2021" s="4" t="s">
        <v>33</v>
      </c>
      <c r="J2021" s="4">
        <v>2</v>
      </c>
      <c r="K2021" s="4">
        <v>2</v>
      </c>
      <c r="L2021" s="4">
        <f>J2021+K2021</f>
        <v>0</v>
      </c>
      <c r="M2021" s="4"/>
      <c r="N2021" s="4"/>
      <c r="O2021" s="4">
        <v>0</v>
      </c>
      <c r="P2021" s="4"/>
      <c r="Q2021" s="4"/>
      <c r="R2021" s="7">
        <v>0</v>
      </c>
      <c r="S2021" s="7">
        <v>0</v>
      </c>
      <c r="T2021" s="7">
        <f>R2021-S2021</f>
        <v>0</v>
      </c>
      <c r="U2021" s="7">
        <f>T2021*O2021</f>
        <v>0</v>
      </c>
    </row>
    <row r="2022" spans="1:21">
      <c r="A2022" s="4" t="s">
        <v>2977</v>
      </c>
      <c r="B2022" s="4" t="s">
        <v>39</v>
      </c>
      <c r="C2022" s="5">
        <v>45952.10614583334</v>
      </c>
      <c r="D2022" s="5">
        <v>45952</v>
      </c>
      <c r="E2022" s="6">
        <f>IF(AND(C2022&lt;&gt;"",D2022&lt;&gt;""),D2022-C2022,"")</f>
        <v>0</v>
      </c>
      <c r="F2022" s="4" t="s">
        <v>2978</v>
      </c>
      <c r="G2022" s="4" t="s">
        <v>2979</v>
      </c>
      <c r="H2022" s="4" t="s">
        <v>177</v>
      </c>
      <c r="I2022" s="4" t="s">
        <v>56</v>
      </c>
      <c r="J2022" s="4">
        <v>0</v>
      </c>
      <c r="K2022" s="4">
        <v>0</v>
      </c>
      <c r="L2022" s="4">
        <f>J2022+K2022</f>
        <v>0</v>
      </c>
      <c r="M2022" s="4" t="s">
        <v>370</v>
      </c>
      <c r="N2022" s="4"/>
      <c r="O2022" s="4">
        <v>1</v>
      </c>
      <c r="P2022" s="4" t="s">
        <v>135</v>
      </c>
      <c r="Q2022" s="4" t="s">
        <v>44</v>
      </c>
      <c r="R2022" s="7">
        <v>5000000</v>
      </c>
      <c r="S2022" s="7">
        <v>0</v>
      </c>
      <c r="T2022" s="7">
        <f>R2022-S2022</f>
        <v>0</v>
      </c>
      <c r="U2022" s="7">
        <f>T2022*O2022</f>
        <v>0</v>
      </c>
    </row>
    <row r="2023" spans="1:21">
      <c r="A2023" s="4" t="s">
        <v>2977</v>
      </c>
      <c r="B2023" s="4" t="s">
        <v>39</v>
      </c>
      <c r="C2023" s="5">
        <v>45952.10614583334</v>
      </c>
      <c r="D2023" s="5">
        <v>45952</v>
      </c>
      <c r="E2023" s="6">
        <f>IF(AND(C2023&lt;&gt;"",D2023&lt;&gt;""),D2023-C2023,"")</f>
        <v>0</v>
      </c>
      <c r="F2023" s="4" t="s">
        <v>2978</v>
      </c>
      <c r="G2023" s="4" t="s">
        <v>2979</v>
      </c>
      <c r="H2023" s="4" t="s">
        <v>177</v>
      </c>
      <c r="I2023" s="4" t="s">
        <v>56</v>
      </c>
      <c r="J2023" s="4">
        <v>2</v>
      </c>
      <c r="K2023" s="4">
        <v>0</v>
      </c>
      <c r="L2023" s="4">
        <f>J2023+K2023</f>
        <v>0</v>
      </c>
      <c r="M2023" s="4" t="s">
        <v>42</v>
      </c>
      <c r="N2023" s="4"/>
      <c r="O2023" s="4">
        <v>2</v>
      </c>
      <c r="P2023" s="4" t="s">
        <v>135</v>
      </c>
      <c r="Q2023" s="4" t="s">
        <v>44</v>
      </c>
      <c r="R2023" s="7">
        <v>370000</v>
      </c>
      <c r="S2023" s="7">
        <v>0</v>
      </c>
      <c r="T2023" s="7">
        <f>R2023-S2023</f>
        <v>0</v>
      </c>
      <c r="U2023" s="7">
        <f>T2023*O2023</f>
        <v>0</v>
      </c>
    </row>
    <row r="2024" spans="1:21">
      <c r="A2024" s="4" t="s">
        <v>2980</v>
      </c>
      <c r="B2024" s="4" t="s">
        <v>39</v>
      </c>
      <c r="C2024" s="5">
        <v>45952.155</v>
      </c>
      <c r="D2024" s="5">
        <v>45952</v>
      </c>
      <c r="E2024" s="6">
        <f>IF(AND(C2024&lt;&gt;"",D2024&lt;&gt;""),D2024-C2024,"")</f>
        <v>0</v>
      </c>
      <c r="F2024" s="4" t="s">
        <v>2981</v>
      </c>
      <c r="G2024" s="4" t="s">
        <v>2982</v>
      </c>
      <c r="H2024" s="4" t="s">
        <v>32</v>
      </c>
      <c r="I2024" s="4" t="s">
        <v>33</v>
      </c>
      <c r="J2024" s="4">
        <v>0</v>
      </c>
      <c r="K2024" s="4">
        <v>0</v>
      </c>
      <c r="L2024" s="4">
        <f>J2024+K2024</f>
        <v>0</v>
      </c>
      <c r="M2024" s="4" t="s">
        <v>370</v>
      </c>
      <c r="N2024" s="4"/>
      <c r="O2024" s="4">
        <v>1</v>
      </c>
      <c r="P2024" s="4" t="s">
        <v>135</v>
      </c>
      <c r="Q2024" s="4"/>
      <c r="R2024" s="7">
        <v>1000000</v>
      </c>
      <c r="S2024" s="7">
        <v>0</v>
      </c>
      <c r="T2024" s="7">
        <f>R2024-S2024</f>
        <v>0</v>
      </c>
      <c r="U2024" s="7">
        <f>T2024*O2024</f>
        <v>0</v>
      </c>
    </row>
    <row r="2025" spans="1:21">
      <c r="A2025" s="4" t="s">
        <v>2980</v>
      </c>
      <c r="B2025" s="4" t="s">
        <v>39</v>
      </c>
      <c r="C2025" s="5">
        <v>45952.155</v>
      </c>
      <c r="D2025" s="5">
        <v>45952</v>
      </c>
      <c r="E2025" s="6">
        <f>IF(AND(C2025&lt;&gt;"",D2025&lt;&gt;""),D2025-C2025,"")</f>
        <v>0</v>
      </c>
      <c r="F2025" s="4" t="s">
        <v>2981</v>
      </c>
      <c r="G2025" s="4" t="s">
        <v>2982</v>
      </c>
      <c r="H2025" s="4" t="s">
        <v>32</v>
      </c>
      <c r="I2025" s="4" t="s">
        <v>33</v>
      </c>
      <c r="J2025" s="4">
        <v>0</v>
      </c>
      <c r="K2025" s="4">
        <v>0</v>
      </c>
      <c r="L2025" s="4">
        <f>J2025+K2025</f>
        <v>0</v>
      </c>
      <c r="M2025" s="4" t="s">
        <v>370</v>
      </c>
      <c r="N2025" s="4"/>
      <c r="O2025" s="4">
        <v>1</v>
      </c>
      <c r="P2025" s="4" t="s">
        <v>135</v>
      </c>
      <c r="Q2025" s="4"/>
      <c r="R2025" s="7">
        <v>1000000</v>
      </c>
      <c r="S2025" s="7">
        <v>0</v>
      </c>
      <c r="T2025" s="7">
        <f>R2025-S2025</f>
        <v>0</v>
      </c>
      <c r="U2025" s="7">
        <f>T2025*O2025</f>
        <v>0</v>
      </c>
    </row>
    <row r="2026" spans="1:21">
      <c r="A2026" s="4" t="s">
        <v>2983</v>
      </c>
      <c r="B2026" s="4" t="s">
        <v>103</v>
      </c>
      <c r="C2026" s="5">
        <v>45952.22692129629</v>
      </c>
      <c r="D2026" s="5">
        <v>45961</v>
      </c>
      <c r="E2026" s="6">
        <f>IF(AND(C2026&lt;&gt;"",D2026&lt;&gt;""),D2026-C2026,"")</f>
        <v>0</v>
      </c>
      <c r="F2026" s="4" t="s">
        <v>2984</v>
      </c>
      <c r="G2026" s="4" t="s">
        <v>2985</v>
      </c>
      <c r="H2026" s="4" t="s">
        <v>190</v>
      </c>
      <c r="I2026" s="4" t="s">
        <v>56</v>
      </c>
      <c r="J2026" s="4">
        <v>5</v>
      </c>
      <c r="K2026" s="4">
        <v>3</v>
      </c>
      <c r="L2026" s="4">
        <f>J2026+K2026</f>
        <v>0</v>
      </c>
      <c r="M2026" s="4"/>
      <c r="N2026" s="4"/>
      <c r="O2026" s="4">
        <v>0</v>
      </c>
      <c r="P2026" s="4"/>
      <c r="Q2026" s="4"/>
      <c r="R2026" s="7">
        <v>0</v>
      </c>
      <c r="S2026" s="7">
        <v>0</v>
      </c>
      <c r="T2026" s="7">
        <f>R2026-S2026</f>
        <v>0</v>
      </c>
      <c r="U2026" s="7">
        <f>T2026*O2026</f>
        <v>0</v>
      </c>
    </row>
    <row r="2027" spans="1:21">
      <c r="A2027" s="4" t="s">
        <v>2986</v>
      </c>
      <c r="B2027" s="4" t="s">
        <v>103</v>
      </c>
      <c r="C2027" s="5">
        <v>45952.22700231482</v>
      </c>
      <c r="D2027" s="5">
        <v>45961</v>
      </c>
      <c r="E2027" s="6">
        <f>IF(AND(C2027&lt;&gt;"",D2027&lt;&gt;""),D2027-C2027,"")</f>
        <v>0</v>
      </c>
      <c r="F2027" s="4" t="s">
        <v>2987</v>
      </c>
      <c r="G2027" s="4" t="s">
        <v>2988</v>
      </c>
      <c r="H2027" s="4" t="s">
        <v>190</v>
      </c>
      <c r="I2027" s="4" t="s">
        <v>56</v>
      </c>
      <c r="J2027" s="4">
        <v>2</v>
      </c>
      <c r="K2027" s="4">
        <v>0</v>
      </c>
      <c r="L2027" s="4">
        <f>J2027+K2027</f>
        <v>0</v>
      </c>
      <c r="M2027" s="4"/>
      <c r="N2027" s="4"/>
      <c r="O2027" s="4">
        <v>0</v>
      </c>
      <c r="P2027" s="4"/>
      <c r="Q2027" s="4"/>
      <c r="R2027" s="7">
        <v>0</v>
      </c>
      <c r="S2027" s="7">
        <v>0</v>
      </c>
      <c r="T2027" s="7">
        <f>R2027-S2027</f>
        <v>0</v>
      </c>
      <c r="U2027" s="7">
        <f>T2027*O2027</f>
        <v>0</v>
      </c>
    </row>
    <row r="2028" spans="1:21">
      <c r="A2028" s="4" t="s">
        <v>2989</v>
      </c>
      <c r="B2028" s="4" t="s">
        <v>103</v>
      </c>
      <c r="C2028" s="5">
        <v>45952.22721064815</v>
      </c>
      <c r="D2028" s="5">
        <v>45961</v>
      </c>
      <c r="E2028" s="6">
        <f>IF(AND(C2028&lt;&gt;"",D2028&lt;&gt;""),D2028-C2028,"")</f>
        <v>0</v>
      </c>
      <c r="F2028" s="4" t="s">
        <v>2990</v>
      </c>
      <c r="G2028" s="4" t="s">
        <v>2991</v>
      </c>
      <c r="H2028" s="4" t="s">
        <v>2844</v>
      </c>
      <c r="I2028" s="4" t="s">
        <v>56</v>
      </c>
      <c r="J2028" s="4">
        <v>1</v>
      </c>
      <c r="K2028" s="4">
        <v>0</v>
      </c>
      <c r="L2028" s="4">
        <f>J2028+K2028</f>
        <v>0</v>
      </c>
      <c r="M2028" s="4"/>
      <c r="N2028" s="4"/>
      <c r="O2028" s="4">
        <v>0</v>
      </c>
      <c r="P2028" s="4"/>
      <c r="Q2028" s="4"/>
      <c r="R2028" s="7">
        <v>0</v>
      </c>
      <c r="S2028" s="7">
        <v>0</v>
      </c>
      <c r="T2028" s="7">
        <f>R2028-S2028</f>
        <v>0</v>
      </c>
      <c r="U2028" s="7">
        <f>T2028*O2028</f>
        <v>0</v>
      </c>
    </row>
    <row r="2029" spans="1:21">
      <c r="A2029" s="4" t="s">
        <v>2992</v>
      </c>
      <c r="B2029" s="4" t="s">
        <v>103</v>
      </c>
      <c r="C2029" s="5">
        <v>45952.22902777778</v>
      </c>
      <c r="D2029" s="5">
        <v>45961</v>
      </c>
      <c r="E2029" s="6">
        <f>IF(AND(C2029&lt;&gt;"",D2029&lt;&gt;""),D2029-C2029,"")</f>
        <v>0</v>
      </c>
      <c r="F2029" s="4" t="s">
        <v>2993</v>
      </c>
      <c r="G2029" s="4" t="s">
        <v>2994</v>
      </c>
      <c r="H2029" s="4" t="s">
        <v>2995</v>
      </c>
      <c r="I2029" s="4" t="s">
        <v>56</v>
      </c>
      <c r="J2029" s="4">
        <v>1</v>
      </c>
      <c r="K2029" s="4">
        <v>0</v>
      </c>
      <c r="L2029" s="4">
        <f>J2029+K2029</f>
        <v>0</v>
      </c>
      <c r="M2029" s="4"/>
      <c r="N2029" s="4"/>
      <c r="O2029" s="4">
        <v>0</v>
      </c>
      <c r="P2029" s="4"/>
      <c r="Q2029" s="4"/>
      <c r="R2029" s="7">
        <v>0</v>
      </c>
      <c r="S2029" s="7">
        <v>0</v>
      </c>
      <c r="T2029" s="7">
        <f>R2029-S2029</f>
        <v>0</v>
      </c>
      <c r="U2029" s="7">
        <f>T2029*O2029</f>
        <v>0</v>
      </c>
    </row>
    <row r="2030" spans="1:21">
      <c r="A2030" s="4" t="s">
        <v>2996</v>
      </c>
      <c r="B2030" s="4" t="s">
        <v>103</v>
      </c>
      <c r="C2030" s="5">
        <v>45952.23415509259</v>
      </c>
      <c r="D2030" s="5">
        <v>45961</v>
      </c>
      <c r="E2030" s="6">
        <f>IF(AND(C2030&lt;&gt;"",D2030&lt;&gt;""),D2030-C2030,"")</f>
        <v>0</v>
      </c>
      <c r="F2030" s="4" t="s">
        <v>2997</v>
      </c>
      <c r="G2030" s="4" t="s">
        <v>2998</v>
      </c>
      <c r="H2030" s="4" t="s">
        <v>2999</v>
      </c>
      <c r="I2030" s="4" t="s">
        <v>56</v>
      </c>
      <c r="J2030" s="4">
        <v>2</v>
      </c>
      <c r="K2030" s="4">
        <v>0</v>
      </c>
      <c r="L2030" s="4">
        <f>J2030+K2030</f>
        <v>0</v>
      </c>
      <c r="M2030" s="4"/>
      <c r="N2030" s="4"/>
      <c r="O2030" s="4">
        <v>0</v>
      </c>
      <c r="P2030" s="4"/>
      <c r="Q2030" s="4"/>
      <c r="R2030" s="7">
        <v>0</v>
      </c>
      <c r="S2030" s="7">
        <v>0</v>
      </c>
      <c r="T2030" s="7">
        <f>R2030-S2030</f>
        <v>0</v>
      </c>
      <c r="U2030" s="7">
        <f>T2030*O2030</f>
        <v>0</v>
      </c>
    </row>
    <row r="2031" spans="1:21">
      <c r="A2031" s="4" t="s">
        <v>3000</v>
      </c>
      <c r="B2031" s="4" t="s">
        <v>103</v>
      </c>
      <c r="C2031" s="5">
        <v>45952.240625</v>
      </c>
      <c r="D2031" s="5">
        <v>45961</v>
      </c>
      <c r="E2031" s="6">
        <f>IF(AND(C2031&lt;&gt;"",D2031&lt;&gt;""),D2031-C2031,"")</f>
        <v>0</v>
      </c>
      <c r="F2031" s="4" t="s">
        <v>3001</v>
      </c>
      <c r="G2031" s="4" t="s">
        <v>3002</v>
      </c>
      <c r="H2031" s="4" t="s">
        <v>2310</v>
      </c>
      <c r="I2031" s="4" t="s">
        <v>56</v>
      </c>
      <c r="J2031" s="4">
        <v>6</v>
      </c>
      <c r="K2031" s="4">
        <v>4</v>
      </c>
      <c r="L2031" s="4">
        <f>J2031+K2031</f>
        <v>0</v>
      </c>
      <c r="M2031" s="4"/>
      <c r="N2031" s="4"/>
      <c r="O2031" s="4">
        <v>0</v>
      </c>
      <c r="P2031" s="4"/>
      <c r="Q2031" s="4"/>
      <c r="R2031" s="7">
        <v>0</v>
      </c>
      <c r="S2031" s="7">
        <v>0</v>
      </c>
      <c r="T2031" s="7">
        <f>R2031-S2031</f>
        <v>0</v>
      </c>
      <c r="U2031" s="7">
        <f>T2031*O2031</f>
        <v>0</v>
      </c>
    </row>
    <row r="2032" spans="1:21">
      <c r="A2032" s="4" t="s">
        <v>3003</v>
      </c>
      <c r="B2032" s="4" t="s">
        <v>103</v>
      </c>
      <c r="C2032" s="5">
        <v>45952.24071759259</v>
      </c>
      <c r="D2032" s="5">
        <v>45961</v>
      </c>
      <c r="E2032" s="6">
        <f>IF(AND(C2032&lt;&gt;"",D2032&lt;&gt;""),D2032-C2032,"")</f>
        <v>0</v>
      </c>
      <c r="F2032" s="4" t="s">
        <v>3004</v>
      </c>
      <c r="G2032" s="4" t="s">
        <v>3005</v>
      </c>
      <c r="H2032" s="4" t="s">
        <v>1933</v>
      </c>
      <c r="I2032" s="4" t="s">
        <v>56</v>
      </c>
      <c r="J2032" s="4">
        <v>2</v>
      </c>
      <c r="K2032" s="4">
        <v>0</v>
      </c>
      <c r="L2032" s="4">
        <f>J2032+K2032</f>
        <v>0</v>
      </c>
      <c r="M2032" s="4"/>
      <c r="N2032" s="4"/>
      <c r="O2032" s="4">
        <v>0</v>
      </c>
      <c r="P2032" s="4"/>
      <c r="Q2032" s="4"/>
      <c r="R2032" s="7">
        <v>0</v>
      </c>
      <c r="S2032" s="7">
        <v>0</v>
      </c>
      <c r="T2032" s="7">
        <f>R2032-S2032</f>
        <v>0</v>
      </c>
      <c r="U2032" s="7">
        <f>T2032*O2032</f>
        <v>0</v>
      </c>
    </row>
    <row r="2033" spans="1:21">
      <c r="A2033" s="4" t="s">
        <v>3006</v>
      </c>
      <c r="B2033" s="4" t="s">
        <v>39</v>
      </c>
      <c r="C2033" s="5">
        <v>45952.25614583334</v>
      </c>
      <c r="D2033" s="5">
        <v>45952</v>
      </c>
      <c r="E2033" s="6">
        <f>IF(AND(C2033&lt;&gt;"",D2033&lt;&gt;""),D2033-C2033,"")</f>
        <v>0</v>
      </c>
      <c r="F2033" s="4" t="s">
        <v>431</v>
      </c>
      <c r="G2033" s="4" t="s">
        <v>432</v>
      </c>
      <c r="H2033" s="4" t="s">
        <v>32</v>
      </c>
      <c r="I2033" s="4" t="s">
        <v>33</v>
      </c>
      <c r="J2033" s="4">
        <v>0</v>
      </c>
      <c r="K2033" s="4">
        <v>1</v>
      </c>
      <c r="L2033" s="4">
        <f>J2033+K2033</f>
        <v>0</v>
      </c>
      <c r="M2033" s="4" t="s">
        <v>46</v>
      </c>
      <c r="N2033" s="4"/>
      <c r="O2033" s="4">
        <v>1</v>
      </c>
      <c r="P2033" s="4" t="s">
        <v>135</v>
      </c>
      <c r="Q2033" s="4" t="s">
        <v>44</v>
      </c>
      <c r="R2033" s="7">
        <v>325000</v>
      </c>
      <c r="S2033" s="7">
        <v>0</v>
      </c>
      <c r="T2033" s="7">
        <f>R2033-S2033</f>
        <v>0</v>
      </c>
      <c r="U2033" s="7">
        <f>T2033*O2033</f>
        <v>0</v>
      </c>
    </row>
    <row r="2034" spans="1:21">
      <c r="A2034" s="4" t="s">
        <v>3006</v>
      </c>
      <c r="B2034" s="4" t="s">
        <v>39</v>
      </c>
      <c r="C2034" s="5">
        <v>45952.25614583334</v>
      </c>
      <c r="D2034" s="5">
        <v>45952</v>
      </c>
      <c r="E2034" s="6">
        <f>IF(AND(C2034&lt;&gt;"",D2034&lt;&gt;""),D2034-C2034,"")</f>
        <v>0</v>
      </c>
      <c r="F2034" s="4" t="s">
        <v>431</v>
      </c>
      <c r="G2034" s="4" t="s">
        <v>432</v>
      </c>
      <c r="H2034" s="4" t="s">
        <v>32</v>
      </c>
      <c r="I2034" s="4" t="s">
        <v>33</v>
      </c>
      <c r="J2034" s="4">
        <v>3</v>
      </c>
      <c r="K2034" s="4">
        <v>0</v>
      </c>
      <c r="L2034" s="4">
        <f>J2034+K2034</f>
        <v>0</v>
      </c>
      <c r="M2034" s="4" t="s">
        <v>42</v>
      </c>
      <c r="N2034" s="4"/>
      <c r="O2034" s="4">
        <v>3</v>
      </c>
      <c r="P2034" s="4" t="s">
        <v>135</v>
      </c>
      <c r="Q2034" s="4" t="s">
        <v>44</v>
      </c>
      <c r="R2034" s="7">
        <v>370000</v>
      </c>
      <c r="S2034" s="7">
        <v>0</v>
      </c>
      <c r="T2034" s="7">
        <f>R2034-S2034</f>
        <v>0</v>
      </c>
      <c r="U2034" s="7">
        <f>T2034*O2034</f>
        <v>0</v>
      </c>
    </row>
    <row r="2035" spans="1:21">
      <c r="A2035" s="4" t="s">
        <v>3006</v>
      </c>
      <c r="B2035" s="4" t="s">
        <v>39</v>
      </c>
      <c r="C2035" s="5">
        <v>45952.25614583334</v>
      </c>
      <c r="D2035" s="5">
        <v>45952</v>
      </c>
      <c r="E2035" s="6">
        <f>IF(AND(C2035&lt;&gt;"",D2035&lt;&gt;""),D2035-C2035,"")</f>
        <v>0</v>
      </c>
      <c r="F2035" s="4" t="s">
        <v>431</v>
      </c>
      <c r="G2035" s="4" t="s">
        <v>432</v>
      </c>
      <c r="H2035" s="4" t="s">
        <v>32</v>
      </c>
      <c r="I2035" s="4" t="s">
        <v>33</v>
      </c>
      <c r="J2035" s="4">
        <v>0</v>
      </c>
      <c r="K2035" s="4">
        <v>0</v>
      </c>
      <c r="L2035" s="4">
        <f>J2035+K2035</f>
        <v>0</v>
      </c>
      <c r="M2035" s="4" t="s">
        <v>370</v>
      </c>
      <c r="N2035" s="4"/>
      <c r="O2035" s="4">
        <v>1</v>
      </c>
      <c r="P2035" s="4" t="s">
        <v>135</v>
      </c>
      <c r="Q2035" s="4" t="s">
        <v>44</v>
      </c>
      <c r="R2035" s="7">
        <v>500000</v>
      </c>
      <c r="S2035" s="7">
        <v>0</v>
      </c>
      <c r="T2035" s="7">
        <f>R2035-S2035</f>
        <v>0</v>
      </c>
      <c r="U2035" s="7">
        <f>T2035*O2035</f>
        <v>0</v>
      </c>
    </row>
    <row r="2036" spans="1:21">
      <c r="A2036" s="4" t="s">
        <v>3007</v>
      </c>
      <c r="B2036" s="4" t="s">
        <v>39</v>
      </c>
      <c r="C2036" s="5">
        <v>45952.28244212963</v>
      </c>
      <c r="D2036" s="5">
        <v>45952</v>
      </c>
      <c r="E2036" s="6">
        <f>IF(AND(C2036&lt;&gt;"",D2036&lt;&gt;""),D2036-C2036,"")</f>
        <v>0</v>
      </c>
      <c r="F2036" s="4" t="s">
        <v>1358</v>
      </c>
      <c r="G2036" s="4" t="s">
        <v>1359</v>
      </c>
      <c r="H2036" s="4" t="s">
        <v>32</v>
      </c>
      <c r="I2036" s="4" t="s">
        <v>33</v>
      </c>
      <c r="J2036" s="4">
        <v>0</v>
      </c>
      <c r="K2036" s="4">
        <v>0</v>
      </c>
      <c r="L2036" s="4">
        <f>J2036+K2036</f>
        <v>0</v>
      </c>
      <c r="M2036" s="4" t="s">
        <v>370</v>
      </c>
      <c r="N2036" s="4"/>
      <c r="O2036" s="4">
        <v>1</v>
      </c>
      <c r="P2036" s="4" t="s">
        <v>43</v>
      </c>
      <c r="Q2036" s="4" t="s">
        <v>44</v>
      </c>
      <c r="R2036" s="7">
        <v>2000000</v>
      </c>
      <c r="S2036" s="7">
        <v>0</v>
      </c>
      <c r="T2036" s="7">
        <f>R2036-S2036</f>
        <v>0</v>
      </c>
      <c r="U2036" s="7">
        <f>T2036*O2036</f>
        <v>0</v>
      </c>
    </row>
    <row r="2037" spans="1:21">
      <c r="A2037" s="4" t="s">
        <v>3008</v>
      </c>
      <c r="B2037" s="4" t="s">
        <v>39</v>
      </c>
      <c r="C2037" s="5">
        <v>45952.28368055556</v>
      </c>
      <c r="D2037" s="5">
        <v>45952</v>
      </c>
      <c r="E2037" s="6">
        <f>IF(AND(C2037&lt;&gt;"",D2037&lt;&gt;""),D2037-C2037,"")</f>
        <v>0</v>
      </c>
      <c r="F2037" s="4" t="s">
        <v>172</v>
      </c>
      <c r="G2037" s="4" t="s">
        <v>173</v>
      </c>
      <c r="H2037" s="4" t="s">
        <v>32</v>
      </c>
      <c r="I2037" s="4" t="s">
        <v>33</v>
      </c>
      <c r="J2037" s="4">
        <v>0</v>
      </c>
      <c r="K2037" s="4">
        <v>0</v>
      </c>
      <c r="L2037" s="4">
        <f>J2037+K2037</f>
        <v>0</v>
      </c>
      <c r="M2037" s="4" t="s">
        <v>370</v>
      </c>
      <c r="N2037" s="4"/>
      <c r="O2037" s="4">
        <v>1</v>
      </c>
      <c r="P2037" s="4" t="s">
        <v>135</v>
      </c>
      <c r="Q2037" s="4" t="s">
        <v>44</v>
      </c>
      <c r="R2037" s="7">
        <v>2000000</v>
      </c>
      <c r="S2037" s="7">
        <v>0</v>
      </c>
      <c r="T2037" s="7">
        <f>R2037-S2037</f>
        <v>0</v>
      </c>
      <c r="U2037" s="7">
        <f>T2037*O2037</f>
        <v>0</v>
      </c>
    </row>
    <row r="2038" spans="1:21">
      <c r="A2038" s="4" t="s">
        <v>3009</v>
      </c>
      <c r="B2038" s="4" t="s">
        <v>39</v>
      </c>
      <c r="C2038" s="5">
        <v>45952.29915509259</v>
      </c>
      <c r="D2038" s="5">
        <v>45952</v>
      </c>
      <c r="E2038" s="6">
        <f>IF(AND(C2038&lt;&gt;"",D2038&lt;&gt;""),D2038-C2038,"")</f>
        <v>0</v>
      </c>
      <c r="F2038" s="4" t="s">
        <v>3010</v>
      </c>
      <c r="G2038" s="4" t="s">
        <v>3011</v>
      </c>
      <c r="H2038" s="4" t="s">
        <v>177</v>
      </c>
      <c r="I2038" s="4" t="s">
        <v>56</v>
      </c>
      <c r="J2038" s="4">
        <v>3</v>
      </c>
      <c r="K2038" s="4">
        <v>0</v>
      </c>
      <c r="L2038" s="4">
        <f>J2038+K2038</f>
        <v>0</v>
      </c>
      <c r="M2038" s="4" t="s">
        <v>42</v>
      </c>
      <c r="N2038" s="4"/>
      <c r="O2038" s="4">
        <v>3</v>
      </c>
      <c r="P2038" s="4" t="s">
        <v>135</v>
      </c>
      <c r="Q2038" s="4" t="s">
        <v>44</v>
      </c>
      <c r="R2038" s="7">
        <v>370000</v>
      </c>
      <c r="S2038" s="7">
        <v>0</v>
      </c>
      <c r="T2038" s="7">
        <f>R2038-S2038</f>
        <v>0</v>
      </c>
      <c r="U2038" s="7">
        <f>T2038*O2038</f>
        <v>0</v>
      </c>
    </row>
    <row r="2039" spans="1:21">
      <c r="A2039" s="4" t="s">
        <v>3009</v>
      </c>
      <c r="B2039" s="4" t="s">
        <v>39</v>
      </c>
      <c r="C2039" s="5">
        <v>45952.29915509259</v>
      </c>
      <c r="D2039" s="5">
        <v>45952</v>
      </c>
      <c r="E2039" s="6">
        <f>IF(AND(C2039&lt;&gt;"",D2039&lt;&gt;""),D2039-C2039,"")</f>
        <v>0</v>
      </c>
      <c r="F2039" s="4" t="s">
        <v>3010</v>
      </c>
      <c r="G2039" s="4" t="s">
        <v>3011</v>
      </c>
      <c r="H2039" s="4" t="s">
        <v>177</v>
      </c>
      <c r="I2039" s="4" t="s">
        <v>56</v>
      </c>
      <c r="J2039" s="4">
        <v>0</v>
      </c>
      <c r="K2039" s="4">
        <v>0</v>
      </c>
      <c r="L2039" s="4">
        <f>J2039+K2039</f>
        <v>0</v>
      </c>
      <c r="M2039" s="4" t="s">
        <v>370</v>
      </c>
      <c r="N2039" s="4"/>
      <c r="O2039" s="4">
        <v>1</v>
      </c>
      <c r="P2039" s="4" t="s">
        <v>135</v>
      </c>
      <c r="Q2039" s="4" t="s">
        <v>44</v>
      </c>
      <c r="R2039" s="7">
        <v>500000</v>
      </c>
      <c r="S2039" s="7">
        <v>0</v>
      </c>
      <c r="T2039" s="7">
        <f>R2039-S2039</f>
        <v>0</v>
      </c>
      <c r="U2039" s="7">
        <f>T2039*O2039</f>
        <v>0</v>
      </c>
    </row>
    <row r="2040" spans="1:21">
      <c r="A2040" s="4" t="s">
        <v>3009</v>
      </c>
      <c r="B2040" s="4" t="s">
        <v>39</v>
      </c>
      <c r="C2040" s="5">
        <v>45952.29915509259</v>
      </c>
      <c r="D2040" s="5">
        <v>45952</v>
      </c>
      <c r="E2040" s="6">
        <f>IF(AND(C2040&lt;&gt;"",D2040&lt;&gt;""),D2040-C2040,"")</f>
        <v>0</v>
      </c>
      <c r="F2040" s="4" t="s">
        <v>3010</v>
      </c>
      <c r="G2040" s="4" t="s">
        <v>3011</v>
      </c>
      <c r="H2040" s="4" t="s">
        <v>177</v>
      </c>
      <c r="I2040" s="4" t="s">
        <v>56</v>
      </c>
      <c r="J2040" s="4">
        <v>0</v>
      </c>
      <c r="K2040" s="4">
        <v>2</v>
      </c>
      <c r="L2040" s="4">
        <f>J2040+K2040</f>
        <v>0</v>
      </c>
      <c r="M2040" s="4" t="s">
        <v>46</v>
      </c>
      <c r="N2040" s="4"/>
      <c r="O2040" s="4">
        <v>2</v>
      </c>
      <c r="P2040" s="4" t="s">
        <v>135</v>
      </c>
      <c r="Q2040" s="4" t="s">
        <v>44</v>
      </c>
      <c r="R2040" s="7">
        <v>325000</v>
      </c>
      <c r="S2040" s="7">
        <v>0</v>
      </c>
      <c r="T2040" s="7">
        <f>R2040-S2040</f>
        <v>0</v>
      </c>
      <c r="U2040" s="7">
        <f>T2040*O2040</f>
        <v>0</v>
      </c>
    </row>
    <row r="2041" spans="1:21">
      <c r="A2041" s="4" t="s">
        <v>3012</v>
      </c>
      <c r="B2041" s="4" t="s">
        <v>39</v>
      </c>
      <c r="C2041" s="5">
        <v>45952.29922453704</v>
      </c>
      <c r="D2041" s="5">
        <v>45952</v>
      </c>
      <c r="E2041" s="6">
        <f>IF(AND(C2041&lt;&gt;"",D2041&lt;&gt;""),D2041-C2041,"")</f>
        <v>0</v>
      </c>
      <c r="F2041" s="4" t="s">
        <v>3013</v>
      </c>
      <c r="G2041" s="4" t="s">
        <v>3014</v>
      </c>
      <c r="H2041" s="4" t="s">
        <v>32</v>
      </c>
      <c r="I2041" s="4" t="s">
        <v>33</v>
      </c>
      <c r="J2041" s="4">
        <v>0</v>
      </c>
      <c r="K2041" s="4">
        <v>2</v>
      </c>
      <c r="L2041" s="4">
        <f>J2041+K2041</f>
        <v>0</v>
      </c>
      <c r="M2041" s="4" t="s">
        <v>81</v>
      </c>
      <c r="N2041" s="4"/>
      <c r="O2041" s="4">
        <v>2</v>
      </c>
      <c r="P2041" s="4" t="s">
        <v>135</v>
      </c>
      <c r="Q2041" s="4" t="s">
        <v>44</v>
      </c>
      <c r="R2041" s="7">
        <v>495000</v>
      </c>
      <c r="S2041" s="7">
        <v>0</v>
      </c>
      <c r="T2041" s="7">
        <f>R2041-S2041</f>
        <v>0</v>
      </c>
      <c r="U2041" s="7">
        <f>T2041*O2041</f>
        <v>0</v>
      </c>
    </row>
    <row r="2042" spans="1:21">
      <c r="A2042" s="4" t="s">
        <v>3012</v>
      </c>
      <c r="B2042" s="4" t="s">
        <v>39</v>
      </c>
      <c r="C2042" s="5">
        <v>45952.29922453704</v>
      </c>
      <c r="D2042" s="5">
        <v>45952</v>
      </c>
      <c r="E2042" s="6">
        <f>IF(AND(C2042&lt;&gt;"",D2042&lt;&gt;""),D2042-C2042,"")</f>
        <v>0</v>
      </c>
      <c r="F2042" s="4" t="s">
        <v>3013</v>
      </c>
      <c r="G2042" s="4" t="s">
        <v>3014</v>
      </c>
      <c r="H2042" s="4" t="s">
        <v>32</v>
      </c>
      <c r="I2042" s="4" t="s">
        <v>33</v>
      </c>
      <c r="J2042" s="4">
        <v>3</v>
      </c>
      <c r="K2042" s="4">
        <v>0</v>
      </c>
      <c r="L2042" s="4">
        <f>J2042+K2042</f>
        <v>0</v>
      </c>
      <c r="M2042" s="4" t="s">
        <v>80</v>
      </c>
      <c r="N2042" s="4"/>
      <c r="O2042" s="4">
        <v>3</v>
      </c>
      <c r="P2042" s="4" t="s">
        <v>135</v>
      </c>
      <c r="Q2042" s="4" t="s">
        <v>44</v>
      </c>
      <c r="R2042" s="7">
        <v>610000</v>
      </c>
      <c r="S2042" s="7">
        <v>0</v>
      </c>
      <c r="T2042" s="7">
        <f>R2042-S2042</f>
        <v>0</v>
      </c>
      <c r="U2042" s="7">
        <f>T2042*O2042</f>
        <v>0</v>
      </c>
    </row>
    <row r="2043" spans="1:21">
      <c r="A2043" s="4" t="s">
        <v>3012</v>
      </c>
      <c r="B2043" s="4" t="s">
        <v>39</v>
      </c>
      <c r="C2043" s="5">
        <v>45952.29922453704</v>
      </c>
      <c r="D2043" s="5">
        <v>45952</v>
      </c>
      <c r="E2043" s="6">
        <f>IF(AND(C2043&lt;&gt;"",D2043&lt;&gt;""),D2043-C2043,"")</f>
        <v>0</v>
      </c>
      <c r="F2043" s="4" t="s">
        <v>3013</v>
      </c>
      <c r="G2043" s="4" t="s">
        <v>3014</v>
      </c>
      <c r="H2043" s="4" t="s">
        <v>32</v>
      </c>
      <c r="I2043" s="4" t="s">
        <v>33</v>
      </c>
      <c r="J2043" s="4">
        <v>0</v>
      </c>
      <c r="K2043" s="4">
        <v>0</v>
      </c>
      <c r="L2043" s="4">
        <f>J2043+K2043</f>
        <v>0</v>
      </c>
      <c r="M2043" s="4" t="s">
        <v>370</v>
      </c>
      <c r="N2043" s="4"/>
      <c r="O2043" s="4">
        <v>1</v>
      </c>
      <c r="P2043" s="4" t="s">
        <v>135</v>
      </c>
      <c r="Q2043" s="4" t="s">
        <v>44</v>
      </c>
      <c r="R2043" s="7">
        <v>500000</v>
      </c>
      <c r="S2043" s="7">
        <v>0</v>
      </c>
      <c r="T2043" s="7">
        <f>R2043-S2043</f>
        <v>0</v>
      </c>
      <c r="U2043" s="7">
        <f>T2043*O2043</f>
        <v>0</v>
      </c>
    </row>
    <row r="2044" spans="1:21">
      <c r="A2044" s="4" t="s">
        <v>3015</v>
      </c>
      <c r="B2044" s="4" t="s">
        <v>39</v>
      </c>
      <c r="C2044" s="5">
        <v>45952.299375</v>
      </c>
      <c r="D2044" s="5">
        <v>45952</v>
      </c>
      <c r="E2044" s="6">
        <f>IF(AND(C2044&lt;&gt;"",D2044&lt;&gt;""),D2044-C2044,"")</f>
        <v>0</v>
      </c>
      <c r="F2044" s="4" t="s">
        <v>3016</v>
      </c>
      <c r="G2044" s="4" t="s">
        <v>3017</v>
      </c>
      <c r="H2044" s="4" t="s">
        <v>32</v>
      </c>
      <c r="I2044" s="4" t="s">
        <v>33</v>
      </c>
      <c r="J2044" s="4">
        <v>0</v>
      </c>
      <c r="K2044" s="4">
        <v>2</v>
      </c>
      <c r="L2044" s="4">
        <f>J2044+K2044</f>
        <v>0</v>
      </c>
      <c r="M2044" s="4" t="s">
        <v>81</v>
      </c>
      <c r="N2044" s="4"/>
      <c r="O2044" s="4">
        <v>2</v>
      </c>
      <c r="P2044" s="4" t="s">
        <v>135</v>
      </c>
      <c r="Q2044" s="4" t="s">
        <v>44</v>
      </c>
      <c r="R2044" s="7">
        <v>495000</v>
      </c>
      <c r="S2044" s="7">
        <v>0</v>
      </c>
      <c r="T2044" s="7">
        <f>R2044-S2044</f>
        <v>0</v>
      </c>
      <c r="U2044" s="7">
        <f>T2044*O2044</f>
        <v>0</v>
      </c>
    </row>
    <row r="2045" spans="1:21">
      <c r="A2045" s="4" t="s">
        <v>3015</v>
      </c>
      <c r="B2045" s="4" t="s">
        <v>39</v>
      </c>
      <c r="C2045" s="5">
        <v>45952.299375</v>
      </c>
      <c r="D2045" s="5">
        <v>45952</v>
      </c>
      <c r="E2045" s="6">
        <f>IF(AND(C2045&lt;&gt;"",D2045&lt;&gt;""),D2045-C2045,"")</f>
        <v>0</v>
      </c>
      <c r="F2045" s="4" t="s">
        <v>3016</v>
      </c>
      <c r="G2045" s="4" t="s">
        <v>3017</v>
      </c>
      <c r="H2045" s="4" t="s">
        <v>32</v>
      </c>
      <c r="I2045" s="4" t="s">
        <v>33</v>
      </c>
      <c r="J2045" s="4">
        <v>0</v>
      </c>
      <c r="K2045" s="4">
        <v>0</v>
      </c>
      <c r="L2045" s="4">
        <f>J2045+K2045</f>
        <v>0</v>
      </c>
      <c r="M2045" s="4" t="s">
        <v>370</v>
      </c>
      <c r="N2045" s="4"/>
      <c r="O2045" s="4">
        <v>1</v>
      </c>
      <c r="P2045" s="4" t="s">
        <v>135</v>
      </c>
      <c r="Q2045" s="4" t="s">
        <v>44</v>
      </c>
      <c r="R2045" s="7">
        <v>500000</v>
      </c>
      <c r="S2045" s="7">
        <v>0</v>
      </c>
      <c r="T2045" s="7">
        <f>R2045-S2045</f>
        <v>0</v>
      </c>
      <c r="U2045" s="7">
        <f>T2045*O2045</f>
        <v>0</v>
      </c>
    </row>
    <row r="2046" spans="1:21">
      <c r="A2046" s="4" t="s">
        <v>3015</v>
      </c>
      <c r="B2046" s="4" t="s">
        <v>39</v>
      </c>
      <c r="C2046" s="5">
        <v>45952.299375</v>
      </c>
      <c r="D2046" s="5">
        <v>45952</v>
      </c>
      <c r="E2046" s="6">
        <f>IF(AND(C2046&lt;&gt;"",D2046&lt;&gt;""),D2046-C2046,"")</f>
        <v>0</v>
      </c>
      <c r="F2046" s="4" t="s">
        <v>3016</v>
      </c>
      <c r="G2046" s="4" t="s">
        <v>3017</v>
      </c>
      <c r="H2046" s="4" t="s">
        <v>32</v>
      </c>
      <c r="I2046" s="4" t="s">
        <v>33</v>
      </c>
      <c r="J2046" s="4">
        <v>3</v>
      </c>
      <c r="K2046" s="4">
        <v>0</v>
      </c>
      <c r="L2046" s="4">
        <f>J2046+K2046</f>
        <v>0</v>
      </c>
      <c r="M2046" s="4" t="s">
        <v>80</v>
      </c>
      <c r="N2046" s="4"/>
      <c r="O2046" s="4">
        <v>3</v>
      </c>
      <c r="P2046" s="4" t="s">
        <v>135</v>
      </c>
      <c r="Q2046" s="4" t="s">
        <v>44</v>
      </c>
      <c r="R2046" s="7">
        <v>610000</v>
      </c>
      <c r="S2046" s="7">
        <v>0</v>
      </c>
      <c r="T2046" s="7">
        <f>R2046-S2046</f>
        <v>0</v>
      </c>
      <c r="U2046" s="7">
        <f>T2046*O2046</f>
        <v>0</v>
      </c>
    </row>
    <row r="2047" spans="1:21">
      <c r="A2047" s="4" t="s">
        <v>3018</v>
      </c>
      <c r="B2047" s="4" t="s">
        <v>39</v>
      </c>
      <c r="C2047" s="5">
        <v>45952.29945601852</v>
      </c>
      <c r="D2047" s="5">
        <v>45952</v>
      </c>
      <c r="E2047" s="6">
        <f>IF(AND(C2047&lt;&gt;"",D2047&lt;&gt;""),D2047-C2047,"")</f>
        <v>0</v>
      </c>
      <c r="F2047" s="4" t="s">
        <v>3019</v>
      </c>
      <c r="G2047" s="4" t="s">
        <v>3020</v>
      </c>
      <c r="H2047" s="4" t="s">
        <v>190</v>
      </c>
      <c r="I2047" s="4" t="s">
        <v>56</v>
      </c>
      <c r="J2047" s="4">
        <v>3</v>
      </c>
      <c r="K2047" s="4">
        <v>0</v>
      </c>
      <c r="L2047" s="4">
        <f>J2047+K2047</f>
        <v>0</v>
      </c>
      <c r="M2047" s="4" t="s">
        <v>42</v>
      </c>
      <c r="N2047" s="4"/>
      <c r="O2047" s="4">
        <v>3</v>
      </c>
      <c r="P2047" s="4" t="s">
        <v>135</v>
      </c>
      <c r="Q2047" s="4" t="s">
        <v>44</v>
      </c>
      <c r="R2047" s="7">
        <v>370000</v>
      </c>
      <c r="S2047" s="7">
        <v>0</v>
      </c>
      <c r="T2047" s="7">
        <f>R2047-S2047</f>
        <v>0</v>
      </c>
      <c r="U2047" s="7">
        <f>T2047*O2047</f>
        <v>0</v>
      </c>
    </row>
    <row r="2048" spans="1:21">
      <c r="A2048" s="4" t="s">
        <v>3018</v>
      </c>
      <c r="B2048" s="4" t="s">
        <v>39</v>
      </c>
      <c r="C2048" s="5">
        <v>45952.29945601852</v>
      </c>
      <c r="D2048" s="5">
        <v>45952</v>
      </c>
      <c r="E2048" s="6">
        <f>IF(AND(C2048&lt;&gt;"",D2048&lt;&gt;""),D2048-C2048,"")</f>
        <v>0</v>
      </c>
      <c r="F2048" s="4" t="s">
        <v>3019</v>
      </c>
      <c r="G2048" s="4" t="s">
        <v>3020</v>
      </c>
      <c r="H2048" s="4" t="s">
        <v>190</v>
      </c>
      <c r="I2048" s="4" t="s">
        <v>56</v>
      </c>
      <c r="J2048" s="4">
        <v>0</v>
      </c>
      <c r="K2048" s="4">
        <v>0</v>
      </c>
      <c r="L2048" s="4">
        <f>J2048+K2048</f>
        <v>0</v>
      </c>
      <c r="M2048" s="4" t="s">
        <v>370</v>
      </c>
      <c r="N2048" s="4"/>
      <c r="O2048" s="4">
        <v>1</v>
      </c>
      <c r="P2048" s="4" t="s">
        <v>135</v>
      </c>
      <c r="Q2048" s="4" t="s">
        <v>44</v>
      </c>
      <c r="R2048" s="7">
        <v>500000</v>
      </c>
      <c r="S2048" s="7">
        <v>0</v>
      </c>
      <c r="T2048" s="7">
        <f>R2048-S2048</f>
        <v>0</v>
      </c>
      <c r="U2048" s="7">
        <f>T2048*O2048</f>
        <v>0</v>
      </c>
    </row>
    <row r="2049" spans="1:21">
      <c r="A2049" s="4" t="s">
        <v>3018</v>
      </c>
      <c r="B2049" s="4" t="s">
        <v>39</v>
      </c>
      <c r="C2049" s="5">
        <v>45952.29945601852</v>
      </c>
      <c r="D2049" s="5">
        <v>45952</v>
      </c>
      <c r="E2049" s="6">
        <f>IF(AND(C2049&lt;&gt;"",D2049&lt;&gt;""),D2049-C2049,"")</f>
        <v>0</v>
      </c>
      <c r="F2049" s="4" t="s">
        <v>3019</v>
      </c>
      <c r="G2049" s="4" t="s">
        <v>3020</v>
      </c>
      <c r="H2049" s="4" t="s">
        <v>190</v>
      </c>
      <c r="I2049" s="4" t="s">
        <v>56</v>
      </c>
      <c r="J2049" s="4">
        <v>0</v>
      </c>
      <c r="K2049" s="4">
        <v>2</v>
      </c>
      <c r="L2049" s="4">
        <f>J2049+K2049</f>
        <v>0</v>
      </c>
      <c r="M2049" s="4" t="s">
        <v>46</v>
      </c>
      <c r="N2049" s="4"/>
      <c r="O2049" s="4">
        <v>2</v>
      </c>
      <c r="P2049" s="4" t="s">
        <v>135</v>
      </c>
      <c r="Q2049" s="4" t="s">
        <v>44</v>
      </c>
      <c r="R2049" s="7">
        <v>325000</v>
      </c>
      <c r="S2049" s="7">
        <v>0</v>
      </c>
      <c r="T2049" s="7">
        <f>R2049-S2049</f>
        <v>0</v>
      </c>
      <c r="U2049" s="7">
        <f>T2049*O2049</f>
        <v>0</v>
      </c>
    </row>
    <row r="2050" spans="1:21">
      <c r="A2050" s="4" t="s">
        <v>3021</v>
      </c>
      <c r="B2050" s="4" t="s">
        <v>39</v>
      </c>
      <c r="C2050" s="5">
        <v>45952.30076388889</v>
      </c>
      <c r="D2050" s="5">
        <v>45952</v>
      </c>
      <c r="E2050" s="6">
        <f>IF(AND(C2050&lt;&gt;"",D2050&lt;&gt;""),D2050-C2050,"")</f>
        <v>0</v>
      </c>
      <c r="F2050" s="4" t="s">
        <v>3022</v>
      </c>
      <c r="G2050" s="4" t="s">
        <v>3023</v>
      </c>
      <c r="H2050" s="4" t="s">
        <v>32</v>
      </c>
      <c r="I2050" s="4" t="s">
        <v>33</v>
      </c>
      <c r="J2050" s="4">
        <v>3</v>
      </c>
      <c r="K2050" s="4">
        <v>0</v>
      </c>
      <c r="L2050" s="4">
        <f>J2050+K2050</f>
        <v>0</v>
      </c>
      <c r="M2050" s="4" t="s">
        <v>42</v>
      </c>
      <c r="N2050" s="4"/>
      <c r="O2050" s="4">
        <v>3</v>
      </c>
      <c r="P2050" s="4" t="s">
        <v>135</v>
      </c>
      <c r="Q2050" s="4" t="s">
        <v>44</v>
      </c>
      <c r="R2050" s="7">
        <v>370000</v>
      </c>
      <c r="S2050" s="7">
        <v>0</v>
      </c>
      <c r="T2050" s="7">
        <f>R2050-S2050</f>
        <v>0</v>
      </c>
      <c r="U2050" s="7">
        <f>T2050*O2050</f>
        <v>0</v>
      </c>
    </row>
    <row r="2051" spans="1:21">
      <c r="A2051" s="4" t="s">
        <v>3021</v>
      </c>
      <c r="B2051" s="4" t="s">
        <v>39</v>
      </c>
      <c r="C2051" s="5">
        <v>45952.30076388889</v>
      </c>
      <c r="D2051" s="5">
        <v>45952</v>
      </c>
      <c r="E2051" s="6">
        <f>IF(AND(C2051&lt;&gt;"",D2051&lt;&gt;""),D2051-C2051,"")</f>
        <v>0</v>
      </c>
      <c r="F2051" s="4" t="s">
        <v>3022</v>
      </c>
      <c r="G2051" s="4" t="s">
        <v>3023</v>
      </c>
      <c r="H2051" s="4" t="s">
        <v>32</v>
      </c>
      <c r="I2051" s="4" t="s">
        <v>33</v>
      </c>
      <c r="J2051" s="4">
        <v>0</v>
      </c>
      <c r="K2051" s="4">
        <v>2</v>
      </c>
      <c r="L2051" s="4">
        <f>J2051+K2051</f>
        <v>0</v>
      </c>
      <c r="M2051" s="4" t="s">
        <v>46</v>
      </c>
      <c r="N2051" s="4"/>
      <c r="O2051" s="4">
        <v>2</v>
      </c>
      <c r="P2051" s="4" t="s">
        <v>135</v>
      </c>
      <c r="Q2051" s="4" t="s">
        <v>44</v>
      </c>
      <c r="R2051" s="7">
        <v>325000</v>
      </c>
      <c r="S2051" s="7">
        <v>0</v>
      </c>
      <c r="T2051" s="7">
        <f>R2051-S2051</f>
        <v>0</v>
      </c>
      <c r="U2051" s="7">
        <f>T2051*O2051</f>
        <v>0</v>
      </c>
    </row>
    <row r="2052" spans="1:21">
      <c r="A2052" s="4" t="s">
        <v>3021</v>
      </c>
      <c r="B2052" s="4" t="s">
        <v>39</v>
      </c>
      <c r="C2052" s="5">
        <v>45952.30076388889</v>
      </c>
      <c r="D2052" s="5">
        <v>45952</v>
      </c>
      <c r="E2052" s="6">
        <f>IF(AND(C2052&lt;&gt;"",D2052&lt;&gt;""),D2052-C2052,"")</f>
        <v>0</v>
      </c>
      <c r="F2052" s="4" t="s">
        <v>3022</v>
      </c>
      <c r="G2052" s="4" t="s">
        <v>3023</v>
      </c>
      <c r="H2052" s="4" t="s">
        <v>32</v>
      </c>
      <c r="I2052" s="4" t="s">
        <v>33</v>
      </c>
      <c r="J2052" s="4">
        <v>0</v>
      </c>
      <c r="K2052" s="4">
        <v>0</v>
      </c>
      <c r="L2052" s="4">
        <f>J2052+K2052</f>
        <v>0</v>
      </c>
      <c r="M2052" s="4" t="s">
        <v>370</v>
      </c>
      <c r="N2052" s="4"/>
      <c r="O2052" s="4">
        <v>1</v>
      </c>
      <c r="P2052" s="4" t="s">
        <v>135</v>
      </c>
      <c r="Q2052" s="4" t="s">
        <v>44</v>
      </c>
      <c r="R2052" s="7">
        <v>500000</v>
      </c>
      <c r="S2052" s="7">
        <v>0</v>
      </c>
      <c r="T2052" s="7">
        <f>R2052-S2052</f>
        <v>0</v>
      </c>
      <c r="U2052" s="7">
        <f>T2052*O2052</f>
        <v>0</v>
      </c>
    </row>
    <row r="2053" spans="1:21">
      <c r="A2053" s="4" t="s">
        <v>3024</v>
      </c>
      <c r="B2053" s="4" t="s">
        <v>39</v>
      </c>
      <c r="C2053" s="5">
        <v>45952.30299768518</v>
      </c>
      <c r="D2053" s="5">
        <v>45952</v>
      </c>
      <c r="E2053" s="6">
        <f>IF(AND(C2053&lt;&gt;"",D2053&lt;&gt;""),D2053-C2053,"")</f>
        <v>0</v>
      </c>
      <c r="F2053" s="4" t="s">
        <v>3025</v>
      </c>
      <c r="G2053" s="4" t="s">
        <v>3026</v>
      </c>
      <c r="H2053" s="4" t="s">
        <v>32</v>
      </c>
      <c r="I2053" s="4" t="s">
        <v>33</v>
      </c>
      <c r="J2053" s="4">
        <v>2</v>
      </c>
      <c r="K2053" s="4">
        <v>0</v>
      </c>
      <c r="L2053" s="4">
        <f>J2053+K2053</f>
        <v>0</v>
      </c>
      <c r="M2053" s="4" t="s">
        <v>80</v>
      </c>
      <c r="N2053" s="4"/>
      <c r="O2053" s="4">
        <v>2</v>
      </c>
      <c r="P2053" s="4" t="s">
        <v>135</v>
      </c>
      <c r="Q2053" s="4" t="s">
        <v>44</v>
      </c>
      <c r="R2053" s="7">
        <v>610000</v>
      </c>
      <c r="S2053" s="7">
        <v>0</v>
      </c>
      <c r="T2053" s="7">
        <f>R2053-S2053</f>
        <v>0</v>
      </c>
      <c r="U2053" s="7">
        <f>T2053*O2053</f>
        <v>0</v>
      </c>
    </row>
    <row r="2054" spans="1:21">
      <c r="A2054" s="4" t="s">
        <v>3027</v>
      </c>
      <c r="B2054" s="4" t="s">
        <v>39</v>
      </c>
      <c r="C2054" s="5">
        <v>45952.30493055555</v>
      </c>
      <c r="D2054" s="5">
        <v>45952</v>
      </c>
      <c r="E2054" s="6">
        <f>IF(AND(C2054&lt;&gt;"",D2054&lt;&gt;""),D2054-C2054,"")</f>
        <v>0</v>
      </c>
      <c r="F2054" s="4" t="s">
        <v>459</v>
      </c>
      <c r="G2054" s="4" t="s">
        <v>3028</v>
      </c>
      <c r="H2054" s="4" t="s">
        <v>32</v>
      </c>
      <c r="I2054" s="4" t="s">
        <v>33</v>
      </c>
      <c r="J2054" s="4">
        <v>3</v>
      </c>
      <c r="K2054" s="4">
        <v>0</v>
      </c>
      <c r="L2054" s="4">
        <f>J2054+K2054</f>
        <v>0</v>
      </c>
      <c r="M2054" s="4" t="s">
        <v>80</v>
      </c>
      <c r="N2054" s="4"/>
      <c r="O2054" s="4">
        <v>3</v>
      </c>
      <c r="P2054" s="4" t="s">
        <v>135</v>
      </c>
      <c r="Q2054" s="4" t="s">
        <v>44</v>
      </c>
      <c r="R2054" s="7">
        <v>610000</v>
      </c>
      <c r="S2054" s="7">
        <v>0</v>
      </c>
      <c r="T2054" s="7">
        <f>R2054-S2054</f>
        <v>0</v>
      </c>
      <c r="U2054" s="7">
        <f>T2054*O2054</f>
        <v>0</v>
      </c>
    </row>
    <row r="2055" spans="1:21">
      <c r="A2055" s="4" t="s">
        <v>3029</v>
      </c>
      <c r="B2055" s="4" t="s">
        <v>39</v>
      </c>
      <c r="C2055" s="5">
        <v>45952.30594907407</v>
      </c>
      <c r="D2055" s="5">
        <v>45952</v>
      </c>
      <c r="E2055" s="6">
        <f>IF(AND(C2055&lt;&gt;"",D2055&lt;&gt;""),D2055-C2055,"")</f>
        <v>0</v>
      </c>
      <c r="F2055" s="4" t="s">
        <v>3030</v>
      </c>
      <c r="G2055" s="4" t="s">
        <v>3031</v>
      </c>
      <c r="H2055" s="4" t="s">
        <v>32</v>
      </c>
      <c r="I2055" s="4" t="s">
        <v>33</v>
      </c>
      <c r="J2055" s="4">
        <v>4</v>
      </c>
      <c r="K2055" s="4">
        <v>0</v>
      </c>
      <c r="L2055" s="4">
        <f>J2055+K2055</f>
        <v>0</v>
      </c>
      <c r="M2055" s="4" t="s">
        <v>80</v>
      </c>
      <c r="N2055" s="4"/>
      <c r="O2055" s="4">
        <v>4</v>
      </c>
      <c r="P2055" s="4" t="s">
        <v>135</v>
      </c>
      <c r="Q2055" s="4" t="s">
        <v>3032</v>
      </c>
      <c r="R2055" s="7">
        <v>440000</v>
      </c>
      <c r="S2055" s="7">
        <v>0</v>
      </c>
      <c r="T2055" s="7">
        <f>R2055-S2055</f>
        <v>0</v>
      </c>
      <c r="U2055" s="7">
        <f>T2055*O2055</f>
        <v>0</v>
      </c>
    </row>
    <row r="2056" spans="1:21">
      <c r="A2056" s="4" t="s">
        <v>3033</v>
      </c>
      <c r="B2056" s="4" t="s">
        <v>39</v>
      </c>
      <c r="C2056" s="5">
        <v>45952.30601851852</v>
      </c>
      <c r="D2056" s="5">
        <v>45952</v>
      </c>
      <c r="E2056" s="6">
        <f>IF(AND(C2056&lt;&gt;"",D2056&lt;&gt;""),D2056-C2056,"")</f>
        <v>0</v>
      </c>
      <c r="F2056" s="4" t="s">
        <v>1358</v>
      </c>
      <c r="G2056" s="4" t="s">
        <v>1359</v>
      </c>
      <c r="H2056" s="4" t="s">
        <v>32</v>
      </c>
      <c r="I2056" s="4" t="s">
        <v>33</v>
      </c>
      <c r="J2056" s="4">
        <v>0</v>
      </c>
      <c r="K2056" s="4">
        <v>0</v>
      </c>
      <c r="L2056" s="4">
        <f>J2056+K2056</f>
        <v>0</v>
      </c>
      <c r="M2056" s="4" t="s">
        <v>370</v>
      </c>
      <c r="N2056" s="4"/>
      <c r="O2056" s="4">
        <v>1</v>
      </c>
      <c r="P2056" s="4" t="s">
        <v>43</v>
      </c>
      <c r="Q2056" s="4" t="s">
        <v>44</v>
      </c>
      <c r="R2056" s="7">
        <v>500000</v>
      </c>
      <c r="S2056" s="7">
        <v>0</v>
      </c>
      <c r="T2056" s="7">
        <f>R2056-S2056</f>
        <v>0</v>
      </c>
      <c r="U2056" s="7">
        <f>T2056*O2056</f>
        <v>0</v>
      </c>
    </row>
    <row r="2057" spans="1:21">
      <c r="A2057" s="4" t="s">
        <v>3034</v>
      </c>
      <c r="B2057" s="4" t="s">
        <v>39</v>
      </c>
      <c r="C2057" s="5">
        <v>45952.31072916667</v>
      </c>
      <c r="D2057" s="5">
        <v>45952</v>
      </c>
      <c r="E2057" s="6">
        <f>IF(AND(C2057&lt;&gt;"",D2057&lt;&gt;""),D2057-C2057,"")</f>
        <v>0</v>
      </c>
      <c r="F2057" s="4" t="s">
        <v>2887</v>
      </c>
      <c r="G2057" s="4" t="s">
        <v>2888</v>
      </c>
      <c r="H2057" s="4" t="s">
        <v>32</v>
      </c>
      <c r="I2057" s="4" t="s">
        <v>33</v>
      </c>
      <c r="J2057" s="4">
        <v>0</v>
      </c>
      <c r="K2057" s="4">
        <v>0</v>
      </c>
      <c r="L2057" s="4">
        <f>J2057+K2057</f>
        <v>0</v>
      </c>
      <c r="M2057" s="4" t="s">
        <v>370</v>
      </c>
      <c r="N2057" s="4"/>
      <c r="O2057" s="4">
        <v>1</v>
      </c>
      <c r="P2057" s="4" t="s">
        <v>135</v>
      </c>
      <c r="Q2057" s="4" t="s">
        <v>44</v>
      </c>
      <c r="R2057" s="7">
        <v>2000000</v>
      </c>
      <c r="S2057" s="7">
        <v>0</v>
      </c>
      <c r="T2057" s="7">
        <f>R2057-S2057</f>
        <v>0</v>
      </c>
      <c r="U2057" s="7">
        <f>T2057*O2057</f>
        <v>0</v>
      </c>
    </row>
    <row r="2058" spans="1:21">
      <c r="A2058" s="4" t="s">
        <v>3035</v>
      </c>
      <c r="B2058" s="4" t="s">
        <v>39</v>
      </c>
      <c r="C2058" s="5">
        <v>45952.31122685185</v>
      </c>
      <c r="D2058" s="5">
        <v>45952</v>
      </c>
      <c r="E2058" s="6">
        <f>IF(AND(C2058&lt;&gt;"",D2058&lt;&gt;""),D2058-C2058,"")</f>
        <v>0</v>
      </c>
      <c r="F2058" s="4" t="s">
        <v>3036</v>
      </c>
      <c r="G2058" s="4" t="s">
        <v>3037</v>
      </c>
      <c r="H2058" s="4" t="s">
        <v>32</v>
      </c>
      <c r="I2058" s="4" t="s">
        <v>33</v>
      </c>
      <c r="J2058" s="4">
        <v>0</v>
      </c>
      <c r="K2058" s="4">
        <v>0</v>
      </c>
      <c r="L2058" s="4">
        <f>J2058+K2058</f>
        <v>0</v>
      </c>
      <c r="M2058" s="4" t="s">
        <v>370</v>
      </c>
      <c r="N2058" s="4"/>
      <c r="O2058" s="4">
        <v>1</v>
      </c>
      <c r="P2058" s="4" t="s">
        <v>135</v>
      </c>
      <c r="Q2058" s="4"/>
      <c r="R2058" s="7">
        <v>5000000</v>
      </c>
      <c r="S2058" s="7">
        <v>0</v>
      </c>
      <c r="T2058" s="7">
        <f>R2058-S2058</f>
        <v>0</v>
      </c>
      <c r="U2058" s="7">
        <f>T2058*O2058</f>
        <v>0</v>
      </c>
    </row>
    <row r="2059" spans="1:21">
      <c r="A2059" s="4" t="s">
        <v>3038</v>
      </c>
      <c r="B2059" s="4" t="s">
        <v>39</v>
      </c>
      <c r="C2059" s="5">
        <v>45952.31462962963</v>
      </c>
      <c r="D2059" s="5">
        <v>45952</v>
      </c>
      <c r="E2059" s="6">
        <f>IF(AND(C2059&lt;&gt;"",D2059&lt;&gt;""),D2059-C2059,"")</f>
        <v>0</v>
      </c>
      <c r="F2059" s="4" t="s">
        <v>2890</v>
      </c>
      <c r="G2059" s="4" t="s">
        <v>2891</v>
      </c>
      <c r="H2059" s="4" t="s">
        <v>32</v>
      </c>
      <c r="I2059" s="4" t="s">
        <v>33</v>
      </c>
      <c r="J2059" s="4">
        <v>1</v>
      </c>
      <c r="K2059" s="4">
        <v>0</v>
      </c>
      <c r="L2059" s="4">
        <f>J2059+K2059</f>
        <v>0</v>
      </c>
      <c r="M2059" s="4" t="s">
        <v>80</v>
      </c>
      <c r="N2059" s="4"/>
      <c r="O2059" s="4">
        <v>1</v>
      </c>
      <c r="P2059" s="4" t="s">
        <v>135</v>
      </c>
      <c r="Q2059" s="4" t="s">
        <v>44</v>
      </c>
      <c r="R2059" s="7">
        <v>610000</v>
      </c>
      <c r="S2059" s="7">
        <v>0</v>
      </c>
      <c r="T2059" s="7">
        <f>R2059-S2059</f>
        <v>0</v>
      </c>
      <c r="U2059" s="7">
        <f>T2059*O2059</f>
        <v>0</v>
      </c>
    </row>
    <row r="2060" spans="1:21">
      <c r="A2060" s="4" t="s">
        <v>3038</v>
      </c>
      <c r="B2060" s="4" t="s">
        <v>39</v>
      </c>
      <c r="C2060" s="5">
        <v>45952.31462962963</v>
      </c>
      <c r="D2060" s="5">
        <v>45952</v>
      </c>
      <c r="E2060" s="6">
        <f>IF(AND(C2060&lt;&gt;"",D2060&lt;&gt;""),D2060-C2060,"")</f>
        <v>0</v>
      </c>
      <c r="F2060" s="4" t="s">
        <v>2890</v>
      </c>
      <c r="G2060" s="4" t="s">
        <v>2891</v>
      </c>
      <c r="H2060" s="4" t="s">
        <v>32</v>
      </c>
      <c r="I2060" s="4" t="s">
        <v>33</v>
      </c>
      <c r="J2060" s="4">
        <v>1</v>
      </c>
      <c r="K2060" s="4">
        <v>0</v>
      </c>
      <c r="L2060" s="4">
        <f>J2060+K2060</f>
        <v>0</v>
      </c>
      <c r="M2060" s="4" t="s">
        <v>42</v>
      </c>
      <c r="N2060" s="4"/>
      <c r="O2060" s="4">
        <v>1</v>
      </c>
      <c r="P2060" s="4" t="s">
        <v>135</v>
      </c>
      <c r="Q2060" s="4" t="s">
        <v>44</v>
      </c>
      <c r="R2060" s="7">
        <v>370000</v>
      </c>
      <c r="S2060" s="7">
        <v>0</v>
      </c>
      <c r="T2060" s="7">
        <f>R2060-S2060</f>
        <v>0</v>
      </c>
      <c r="U2060" s="7">
        <f>T2060*O2060</f>
        <v>0</v>
      </c>
    </row>
    <row r="2061" spans="1:21">
      <c r="A2061" s="4" t="s">
        <v>3039</v>
      </c>
      <c r="B2061" s="4" t="s">
        <v>48</v>
      </c>
      <c r="C2061" s="5">
        <v>45952.31828703704</v>
      </c>
      <c r="D2061" s="5">
        <v>45961</v>
      </c>
      <c r="E2061" s="6">
        <f>IF(AND(C2061&lt;&gt;"",D2061&lt;&gt;""),D2061-C2061,"")</f>
        <v>0</v>
      </c>
      <c r="F2061" s="4" t="s">
        <v>3040</v>
      </c>
      <c r="G2061" s="4" t="s">
        <v>3041</v>
      </c>
      <c r="H2061" s="4" t="s">
        <v>32</v>
      </c>
      <c r="I2061" s="4" t="s">
        <v>33</v>
      </c>
      <c r="J2061" s="4">
        <v>5</v>
      </c>
      <c r="K2061" s="4">
        <v>0</v>
      </c>
      <c r="L2061" s="4">
        <f>J2061+K2061</f>
        <v>0</v>
      </c>
      <c r="M2061" s="4"/>
      <c r="N2061" s="4"/>
      <c r="O2061" s="4">
        <v>0</v>
      </c>
      <c r="P2061" s="4"/>
      <c r="Q2061" s="4"/>
      <c r="R2061" s="7">
        <v>0</v>
      </c>
      <c r="S2061" s="7">
        <v>0</v>
      </c>
      <c r="T2061" s="7">
        <f>R2061-S2061</f>
        <v>0</v>
      </c>
      <c r="U2061" s="7">
        <f>T2061*O2061</f>
        <v>0</v>
      </c>
    </row>
    <row r="2062" spans="1:21">
      <c r="A2062" s="4" t="s">
        <v>3042</v>
      </c>
      <c r="B2062" s="4" t="s">
        <v>48</v>
      </c>
      <c r="C2062" s="5">
        <v>45952.32079861111</v>
      </c>
      <c r="D2062" s="5">
        <v>45961</v>
      </c>
      <c r="E2062" s="6">
        <f>IF(AND(C2062&lt;&gt;"",D2062&lt;&gt;""),D2062-C2062,"")</f>
        <v>0</v>
      </c>
      <c r="F2062" s="4" t="s">
        <v>3043</v>
      </c>
      <c r="G2062" s="4" t="s">
        <v>3044</v>
      </c>
      <c r="H2062" s="4" t="s">
        <v>32</v>
      </c>
      <c r="I2062" s="4" t="s">
        <v>33</v>
      </c>
      <c r="J2062" s="4">
        <v>5</v>
      </c>
      <c r="K2062" s="4">
        <v>0</v>
      </c>
      <c r="L2062" s="4">
        <f>J2062+K2062</f>
        <v>0</v>
      </c>
      <c r="M2062" s="4"/>
      <c r="N2062" s="4"/>
      <c r="O2062" s="4">
        <v>0</v>
      </c>
      <c r="P2062" s="4"/>
      <c r="Q2062" s="4"/>
      <c r="R2062" s="7">
        <v>0</v>
      </c>
      <c r="S2062" s="7">
        <v>0</v>
      </c>
      <c r="T2062" s="7">
        <f>R2062-S2062</f>
        <v>0</v>
      </c>
      <c r="U2062" s="7">
        <f>T2062*O2062</f>
        <v>0</v>
      </c>
    </row>
    <row r="2063" spans="1:21">
      <c r="A2063" s="4" t="s">
        <v>3045</v>
      </c>
      <c r="B2063" s="4" t="s">
        <v>48</v>
      </c>
      <c r="C2063" s="5">
        <v>45952.3235300926</v>
      </c>
      <c r="D2063" s="5">
        <v>45961</v>
      </c>
      <c r="E2063" s="6">
        <f>IF(AND(C2063&lt;&gt;"",D2063&lt;&gt;""),D2063-C2063,"")</f>
        <v>0</v>
      </c>
      <c r="F2063" s="4" t="s">
        <v>3046</v>
      </c>
      <c r="G2063" s="4" t="s">
        <v>3047</v>
      </c>
      <c r="H2063" s="4" t="s">
        <v>32</v>
      </c>
      <c r="I2063" s="4" t="s">
        <v>33</v>
      </c>
      <c r="J2063" s="4">
        <v>5</v>
      </c>
      <c r="K2063" s="4">
        <v>0</v>
      </c>
      <c r="L2063" s="4">
        <f>J2063+K2063</f>
        <v>0</v>
      </c>
      <c r="M2063" s="4"/>
      <c r="N2063" s="4"/>
      <c r="O2063" s="4">
        <v>0</v>
      </c>
      <c r="P2063" s="4"/>
      <c r="Q2063" s="4"/>
      <c r="R2063" s="7">
        <v>0</v>
      </c>
      <c r="S2063" s="7">
        <v>0</v>
      </c>
      <c r="T2063" s="7">
        <f>R2063-S2063</f>
        <v>0</v>
      </c>
      <c r="U2063" s="7">
        <f>T2063*O2063</f>
        <v>0</v>
      </c>
    </row>
    <row r="2064" spans="1:21">
      <c r="A2064" s="4" t="s">
        <v>3048</v>
      </c>
      <c r="B2064" s="4" t="s">
        <v>39</v>
      </c>
      <c r="C2064" s="5">
        <v>45952.32762731481</v>
      </c>
      <c r="D2064" s="5">
        <v>45952</v>
      </c>
      <c r="E2064" s="6">
        <f>IF(AND(C2064&lt;&gt;"",D2064&lt;&gt;""),D2064-C2064,"")</f>
        <v>0</v>
      </c>
      <c r="F2064" s="4" t="s">
        <v>3049</v>
      </c>
      <c r="G2064" s="4" t="s">
        <v>3050</v>
      </c>
      <c r="H2064" s="4" t="s">
        <v>32</v>
      </c>
      <c r="I2064" s="4" t="s">
        <v>33</v>
      </c>
      <c r="J2064" s="4">
        <v>4</v>
      </c>
      <c r="K2064" s="4">
        <v>0</v>
      </c>
      <c r="L2064" s="4">
        <f>J2064+K2064</f>
        <v>0</v>
      </c>
      <c r="M2064" s="4" t="s">
        <v>80</v>
      </c>
      <c r="N2064" s="4"/>
      <c r="O2064" s="4">
        <v>4</v>
      </c>
      <c r="P2064" s="4" t="s">
        <v>135</v>
      </c>
      <c r="Q2064" s="4" t="s">
        <v>3032</v>
      </c>
      <c r="R2064" s="7">
        <v>440000</v>
      </c>
      <c r="S2064" s="7">
        <v>0</v>
      </c>
      <c r="T2064" s="7">
        <f>R2064-S2064</f>
        <v>0</v>
      </c>
      <c r="U2064" s="7">
        <f>T2064*O2064</f>
        <v>0</v>
      </c>
    </row>
    <row r="2065" spans="1:21">
      <c r="A2065" s="4" t="s">
        <v>3051</v>
      </c>
      <c r="B2065" s="4" t="s">
        <v>39</v>
      </c>
      <c r="C2065" s="5">
        <v>45952.33112268519</v>
      </c>
      <c r="D2065" s="5">
        <v>45952</v>
      </c>
      <c r="E2065" s="6">
        <f>IF(AND(C2065&lt;&gt;"",D2065&lt;&gt;""),D2065-C2065,"")</f>
        <v>0</v>
      </c>
      <c r="F2065" s="4" t="s">
        <v>1358</v>
      </c>
      <c r="G2065" s="4" t="s">
        <v>1359</v>
      </c>
      <c r="H2065" s="4" t="s">
        <v>32</v>
      </c>
      <c r="I2065" s="4" t="s">
        <v>33</v>
      </c>
      <c r="J2065" s="4">
        <v>0</v>
      </c>
      <c r="K2065" s="4">
        <v>0</v>
      </c>
      <c r="L2065" s="4">
        <f>J2065+K2065</f>
        <v>0</v>
      </c>
      <c r="M2065" s="4" t="s">
        <v>370</v>
      </c>
      <c r="N2065" s="4"/>
      <c r="O2065" s="4">
        <v>1</v>
      </c>
      <c r="P2065" s="4" t="s">
        <v>135</v>
      </c>
      <c r="Q2065" s="4" t="s">
        <v>44</v>
      </c>
      <c r="R2065" s="7">
        <v>500000</v>
      </c>
      <c r="S2065" s="7">
        <v>0</v>
      </c>
      <c r="T2065" s="7">
        <f>R2065-S2065</f>
        <v>0</v>
      </c>
      <c r="U2065" s="7">
        <f>T2065*O2065</f>
        <v>0</v>
      </c>
    </row>
    <row r="2066" spans="1:21">
      <c r="A2066" s="4" t="s">
        <v>3052</v>
      </c>
      <c r="B2066" s="4" t="s">
        <v>39</v>
      </c>
      <c r="C2066" s="5">
        <v>45952.33309027777</v>
      </c>
      <c r="D2066" s="5">
        <v>45952</v>
      </c>
      <c r="E2066" s="6">
        <f>IF(AND(C2066&lt;&gt;"",D2066&lt;&gt;""),D2066-C2066,"")</f>
        <v>0</v>
      </c>
      <c r="F2066" s="4" t="s">
        <v>1358</v>
      </c>
      <c r="G2066" s="4" t="s">
        <v>1359</v>
      </c>
      <c r="H2066" s="4" t="s">
        <v>32</v>
      </c>
      <c r="I2066" s="4" t="s">
        <v>33</v>
      </c>
      <c r="J2066" s="4">
        <v>0</v>
      </c>
      <c r="K2066" s="4">
        <v>0</v>
      </c>
      <c r="L2066" s="4">
        <f>J2066+K2066</f>
        <v>0</v>
      </c>
      <c r="M2066" s="4" t="s">
        <v>370</v>
      </c>
      <c r="N2066" s="4"/>
      <c r="O2066" s="4">
        <v>1</v>
      </c>
      <c r="P2066" s="4" t="s">
        <v>135</v>
      </c>
      <c r="Q2066" s="4" t="s">
        <v>44</v>
      </c>
      <c r="R2066" s="7">
        <v>200000</v>
      </c>
      <c r="S2066" s="7">
        <v>0</v>
      </c>
      <c r="T2066" s="7">
        <f>R2066-S2066</f>
        <v>0</v>
      </c>
      <c r="U2066" s="7">
        <f>T2066*O2066</f>
        <v>0</v>
      </c>
    </row>
    <row r="2067" spans="1:21">
      <c r="A2067" s="4" t="s">
        <v>3053</v>
      </c>
      <c r="B2067" s="4" t="s">
        <v>39</v>
      </c>
      <c r="C2067" s="5">
        <v>45952.33320601852</v>
      </c>
      <c r="D2067" s="5">
        <v>45952</v>
      </c>
      <c r="E2067" s="6">
        <f>IF(AND(C2067&lt;&gt;"",D2067&lt;&gt;""),D2067-C2067,"")</f>
        <v>0</v>
      </c>
      <c r="F2067" s="4" t="s">
        <v>3022</v>
      </c>
      <c r="G2067" s="4" t="s">
        <v>3023</v>
      </c>
      <c r="H2067" s="4" t="s">
        <v>32</v>
      </c>
      <c r="I2067" s="4" t="s">
        <v>33</v>
      </c>
      <c r="J2067" s="4">
        <v>0</v>
      </c>
      <c r="K2067" s="4">
        <v>0</v>
      </c>
      <c r="L2067" s="4">
        <f>J2067+K2067</f>
        <v>0</v>
      </c>
      <c r="M2067" s="4" t="s">
        <v>370</v>
      </c>
      <c r="N2067" s="4"/>
      <c r="O2067" s="4">
        <v>1</v>
      </c>
      <c r="P2067" s="4" t="s">
        <v>135</v>
      </c>
      <c r="Q2067" s="4" t="s">
        <v>44</v>
      </c>
      <c r="R2067" s="7">
        <v>2000000</v>
      </c>
      <c r="S2067" s="7">
        <v>0</v>
      </c>
      <c r="T2067" s="7">
        <f>R2067-S2067</f>
        <v>0</v>
      </c>
      <c r="U2067" s="7">
        <f>T2067*O2067</f>
        <v>0</v>
      </c>
    </row>
    <row r="2068" spans="1:21">
      <c r="A2068" s="4" t="s">
        <v>3054</v>
      </c>
      <c r="B2068" s="4" t="s">
        <v>39</v>
      </c>
      <c r="C2068" s="5">
        <v>45952.33346064815</v>
      </c>
      <c r="D2068" s="5">
        <v>45952</v>
      </c>
      <c r="E2068" s="6">
        <f>IF(AND(C2068&lt;&gt;"",D2068&lt;&gt;""),D2068-C2068,"")</f>
        <v>0</v>
      </c>
      <c r="F2068" s="4" t="s">
        <v>3013</v>
      </c>
      <c r="G2068" s="4" t="s">
        <v>3014</v>
      </c>
      <c r="H2068" s="4" t="s">
        <v>32</v>
      </c>
      <c r="I2068" s="4" t="s">
        <v>33</v>
      </c>
      <c r="J2068" s="4">
        <v>1</v>
      </c>
      <c r="K2068" s="4">
        <v>0</v>
      </c>
      <c r="L2068" s="4">
        <f>J2068+K2068</f>
        <v>0</v>
      </c>
      <c r="M2068" s="4" t="s">
        <v>80</v>
      </c>
      <c r="N2068" s="4"/>
      <c r="O2068" s="4">
        <v>1</v>
      </c>
      <c r="P2068" s="4" t="s">
        <v>135</v>
      </c>
      <c r="Q2068" s="4" t="s">
        <v>44</v>
      </c>
      <c r="R2068" s="7">
        <v>610000</v>
      </c>
      <c r="S2068" s="7">
        <v>0</v>
      </c>
      <c r="T2068" s="7">
        <f>R2068-S2068</f>
        <v>0</v>
      </c>
      <c r="U2068" s="7">
        <f>T2068*O2068</f>
        <v>0</v>
      </c>
    </row>
    <row r="2069" spans="1:21">
      <c r="A2069" s="4" t="s">
        <v>3054</v>
      </c>
      <c r="B2069" s="4" t="s">
        <v>39</v>
      </c>
      <c r="C2069" s="5">
        <v>45952.33346064815</v>
      </c>
      <c r="D2069" s="5">
        <v>45952</v>
      </c>
      <c r="E2069" s="6">
        <f>IF(AND(C2069&lt;&gt;"",D2069&lt;&gt;""),D2069-C2069,"")</f>
        <v>0</v>
      </c>
      <c r="F2069" s="4" t="s">
        <v>3013</v>
      </c>
      <c r="G2069" s="4" t="s">
        <v>3014</v>
      </c>
      <c r="H2069" s="4" t="s">
        <v>32</v>
      </c>
      <c r="I2069" s="4" t="s">
        <v>33</v>
      </c>
      <c r="J2069" s="4">
        <v>0</v>
      </c>
      <c r="K2069" s="4">
        <v>1</v>
      </c>
      <c r="L2069" s="4">
        <f>J2069+K2069</f>
        <v>0</v>
      </c>
      <c r="M2069" s="4" t="s">
        <v>81</v>
      </c>
      <c r="N2069" s="4"/>
      <c r="O2069" s="4">
        <v>1</v>
      </c>
      <c r="P2069" s="4" t="s">
        <v>135</v>
      </c>
      <c r="Q2069" s="4" t="s">
        <v>44</v>
      </c>
      <c r="R2069" s="7">
        <v>495000</v>
      </c>
      <c r="S2069" s="7">
        <v>0</v>
      </c>
      <c r="T2069" s="7">
        <f>R2069-S2069</f>
        <v>0</v>
      </c>
      <c r="U2069" s="7">
        <f>T2069*O2069</f>
        <v>0</v>
      </c>
    </row>
    <row r="2070" spans="1:21">
      <c r="A2070" s="4" t="s">
        <v>3054</v>
      </c>
      <c r="B2070" s="4" t="s">
        <v>39</v>
      </c>
      <c r="C2070" s="5">
        <v>45952.33346064815</v>
      </c>
      <c r="D2070" s="5">
        <v>45952</v>
      </c>
      <c r="E2070" s="6">
        <f>IF(AND(C2070&lt;&gt;"",D2070&lt;&gt;""),D2070-C2070,"")</f>
        <v>0</v>
      </c>
      <c r="F2070" s="4" t="s">
        <v>3013</v>
      </c>
      <c r="G2070" s="4" t="s">
        <v>3014</v>
      </c>
      <c r="H2070" s="4" t="s">
        <v>32</v>
      </c>
      <c r="I2070" s="4" t="s">
        <v>33</v>
      </c>
      <c r="J2070" s="4">
        <v>0</v>
      </c>
      <c r="K2070" s="4">
        <v>0</v>
      </c>
      <c r="L2070" s="4">
        <f>J2070+K2070</f>
        <v>0</v>
      </c>
      <c r="M2070" s="4" t="s">
        <v>370</v>
      </c>
      <c r="N2070" s="4"/>
      <c r="O2070" s="4">
        <v>1</v>
      </c>
      <c r="P2070" s="4" t="s">
        <v>135</v>
      </c>
      <c r="Q2070" s="4" t="s">
        <v>44</v>
      </c>
      <c r="R2070" s="7">
        <v>2000000</v>
      </c>
      <c r="S2070" s="7">
        <v>0</v>
      </c>
      <c r="T2070" s="7">
        <f>R2070-S2070</f>
        <v>0</v>
      </c>
      <c r="U2070" s="7">
        <f>T2070*O2070</f>
        <v>0</v>
      </c>
    </row>
    <row r="2071" spans="1:21">
      <c r="A2071" s="4" t="s">
        <v>3055</v>
      </c>
      <c r="B2071" s="4" t="s">
        <v>39</v>
      </c>
      <c r="C2071" s="5">
        <v>45952.33409722222</v>
      </c>
      <c r="D2071" s="5">
        <v>45952</v>
      </c>
      <c r="E2071" s="6">
        <f>IF(AND(C2071&lt;&gt;"",D2071&lt;&gt;""),D2071-C2071,"")</f>
        <v>0</v>
      </c>
      <c r="F2071" s="4" t="s">
        <v>3056</v>
      </c>
      <c r="G2071" s="4" t="s">
        <v>3057</v>
      </c>
      <c r="H2071" s="4" t="s">
        <v>32</v>
      </c>
      <c r="I2071" s="4" t="s">
        <v>33</v>
      </c>
      <c r="J2071" s="4">
        <v>0</v>
      </c>
      <c r="K2071" s="4">
        <v>0</v>
      </c>
      <c r="L2071" s="4">
        <f>J2071+K2071</f>
        <v>0</v>
      </c>
      <c r="M2071" s="4" t="s">
        <v>370</v>
      </c>
      <c r="N2071" s="4"/>
      <c r="O2071" s="4">
        <v>1</v>
      </c>
      <c r="P2071" s="4" t="s">
        <v>135</v>
      </c>
      <c r="Q2071" s="4" t="s">
        <v>44</v>
      </c>
      <c r="R2071" s="7">
        <v>2000000</v>
      </c>
      <c r="S2071" s="7">
        <v>0</v>
      </c>
      <c r="T2071" s="7">
        <f>R2071-S2071</f>
        <v>0</v>
      </c>
      <c r="U2071" s="7">
        <f>T2071*O2071</f>
        <v>0</v>
      </c>
    </row>
    <row r="2072" spans="1:21">
      <c r="A2072" s="4" t="s">
        <v>3055</v>
      </c>
      <c r="B2072" s="4" t="s">
        <v>39</v>
      </c>
      <c r="C2072" s="5">
        <v>45952.33409722222</v>
      </c>
      <c r="D2072" s="5">
        <v>45952</v>
      </c>
      <c r="E2072" s="6">
        <f>IF(AND(C2072&lt;&gt;"",D2072&lt;&gt;""),D2072-C2072,"")</f>
        <v>0</v>
      </c>
      <c r="F2072" s="4" t="s">
        <v>3056</v>
      </c>
      <c r="G2072" s="4" t="s">
        <v>3057</v>
      </c>
      <c r="H2072" s="4" t="s">
        <v>32</v>
      </c>
      <c r="I2072" s="4" t="s">
        <v>33</v>
      </c>
      <c r="J2072" s="4">
        <v>6</v>
      </c>
      <c r="K2072" s="4">
        <v>0</v>
      </c>
      <c r="L2072" s="4">
        <f>J2072+K2072</f>
        <v>0</v>
      </c>
      <c r="M2072" s="4" t="s">
        <v>80</v>
      </c>
      <c r="N2072" s="4"/>
      <c r="O2072" s="4">
        <v>6</v>
      </c>
      <c r="P2072" s="4" t="s">
        <v>135</v>
      </c>
      <c r="Q2072" s="4" t="s">
        <v>44</v>
      </c>
      <c r="R2072" s="7">
        <v>610000</v>
      </c>
      <c r="S2072" s="7">
        <v>0</v>
      </c>
      <c r="T2072" s="7">
        <f>R2072-S2072</f>
        <v>0</v>
      </c>
      <c r="U2072" s="7">
        <f>T2072*O2072</f>
        <v>0</v>
      </c>
    </row>
    <row r="2073" spans="1:21">
      <c r="A2073" s="4" t="s">
        <v>3058</v>
      </c>
      <c r="B2073" s="4" t="s">
        <v>39</v>
      </c>
      <c r="C2073" s="5">
        <v>45952.33585648148</v>
      </c>
      <c r="D2073" s="5">
        <v>45952</v>
      </c>
      <c r="E2073" s="6">
        <f>IF(AND(C2073&lt;&gt;"",D2073&lt;&gt;""),D2073-C2073,"")</f>
        <v>0</v>
      </c>
      <c r="F2073" s="4" t="s">
        <v>3022</v>
      </c>
      <c r="G2073" s="4" t="s">
        <v>3023</v>
      </c>
      <c r="H2073" s="4" t="s">
        <v>32</v>
      </c>
      <c r="I2073" s="4" t="s">
        <v>33</v>
      </c>
      <c r="J2073" s="4">
        <v>0</v>
      </c>
      <c r="K2073" s="4">
        <v>1</v>
      </c>
      <c r="L2073" s="4">
        <f>J2073+K2073</f>
        <v>0</v>
      </c>
      <c r="M2073" s="4" t="s">
        <v>46</v>
      </c>
      <c r="N2073" s="4"/>
      <c r="O2073" s="4">
        <v>1</v>
      </c>
      <c r="P2073" s="4" t="s">
        <v>135</v>
      </c>
      <c r="Q2073" s="4" t="s">
        <v>44</v>
      </c>
      <c r="R2073" s="7">
        <v>325000</v>
      </c>
      <c r="S2073" s="7">
        <v>0</v>
      </c>
      <c r="T2073" s="7">
        <f>R2073-S2073</f>
        <v>0</v>
      </c>
      <c r="U2073" s="7">
        <f>T2073*O2073</f>
        <v>0</v>
      </c>
    </row>
    <row r="2074" spans="1:21">
      <c r="A2074" s="4" t="s">
        <v>3058</v>
      </c>
      <c r="B2074" s="4" t="s">
        <v>39</v>
      </c>
      <c r="C2074" s="5">
        <v>45952.33585648148</v>
      </c>
      <c r="D2074" s="5">
        <v>45952</v>
      </c>
      <c r="E2074" s="6">
        <f>IF(AND(C2074&lt;&gt;"",D2074&lt;&gt;""),D2074-C2074,"")</f>
        <v>0</v>
      </c>
      <c r="F2074" s="4" t="s">
        <v>3022</v>
      </c>
      <c r="G2074" s="4" t="s">
        <v>3023</v>
      </c>
      <c r="H2074" s="4" t="s">
        <v>32</v>
      </c>
      <c r="I2074" s="4" t="s">
        <v>33</v>
      </c>
      <c r="J2074" s="4">
        <v>1</v>
      </c>
      <c r="K2074" s="4">
        <v>0</v>
      </c>
      <c r="L2074" s="4">
        <f>J2074+K2074</f>
        <v>0</v>
      </c>
      <c r="M2074" s="4" t="s">
        <v>42</v>
      </c>
      <c r="N2074" s="4"/>
      <c r="O2074" s="4">
        <v>1</v>
      </c>
      <c r="P2074" s="4" t="s">
        <v>135</v>
      </c>
      <c r="Q2074" s="4" t="s">
        <v>44</v>
      </c>
      <c r="R2074" s="7">
        <v>370000</v>
      </c>
      <c r="S2074" s="7">
        <v>0</v>
      </c>
      <c r="T2074" s="7">
        <f>R2074-S2074</f>
        <v>0</v>
      </c>
      <c r="U2074" s="7">
        <f>T2074*O2074</f>
        <v>0</v>
      </c>
    </row>
    <row r="2075" spans="1:21">
      <c r="A2075" s="4" t="s">
        <v>3058</v>
      </c>
      <c r="B2075" s="4" t="s">
        <v>39</v>
      </c>
      <c r="C2075" s="5">
        <v>45952.33585648148</v>
      </c>
      <c r="D2075" s="5">
        <v>45952</v>
      </c>
      <c r="E2075" s="6">
        <f>IF(AND(C2075&lt;&gt;"",D2075&lt;&gt;""),D2075-C2075,"")</f>
        <v>0</v>
      </c>
      <c r="F2075" s="4" t="s">
        <v>3022</v>
      </c>
      <c r="G2075" s="4" t="s">
        <v>3023</v>
      </c>
      <c r="H2075" s="4" t="s">
        <v>32</v>
      </c>
      <c r="I2075" s="4" t="s">
        <v>33</v>
      </c>
      <c r="J2075" s="4">
        <v>0</v>
      </c>
      <c r="K2075" s="4">
        <v>0</v>
      </c>
      <c r="L2075" s="4">
        <f>J2075+K2075</f>
        <v>0</v>
      </c>
      <c r="M2075" s="4" t="s">
        <v>370</v>
      </c>
      <c r="N2075" s="4"/>
      <c r="O2075" s="4">
        <v>1</v>
      </c>
      <c r="P2075" s="4" t="s">
        <v>135</v>
      </c>
      <c r="Q2075" s="4" t="s">
        <v>44</v>
      </c>
      <c r="R2075" s="7">
        <v>500000</v>
      </c>
      <c r="S2075" s="7">
        <v>0</v>
      </c>
      <c r="T2075" s="7">
        <f>R2075-S2075</f>
        <v>0</v>
      </c>
      <c r="U2075" s="7">
        <f>T2075*O2075</f>
        <v>0</v>
      </c>
    </row>
    <row r="2076" spans="1:21">
      <c r="A2076" s="4" t="s">
        <v>3059</v>
      </c>
      <c r="B2076" s="4" t="s">
        <v>39</v>
      </c>
      <c r="C2076" s="5">
        <v>45952.33635416667</v>
      </c>
      <c r="D2076" s="5">
        <v>45952</v>
      </c>
      <c r="E2076" s="6">
        <f>IF(AND(C2076&lt;&gt;"",D2076&lt;&gt;""),D2076-C2076,"")</f>
        <v>0</v>
      </c>
      <c r="F2076" s="4" t="s">
        <v>1358</v>
      </c>
      <c r="G2076" s="4" t="s">
        <v>1359</v>
      </c>
      <c r="H2076" s="4" t="s">
        <v>32</v>
      </c>
      <c r="I2076" s="4" t="s">
        <v>33</v>
      </c>
      <c r="J2076" s="4">
        <v>0</v>
      </c>
      <c r="K2076" s="4">
        <v>0</v>
      </c>
      <c r="L2076" s="4">
        <f>J2076+K2076</f>
        <v>0</v>
      </c>
      <c r="M2076" s="4" t="s">
        <v>370</v>
      </c>
      <c r="N2076" s="4"/>
      <c r="O2076" s="4">
        <v>1</v>
      </c>
      <c r="P2076" s="4" t="s">
        <v>135</v>
      </c>
      <c r="Q2076" s="4" t="s">
        <v>44</v>
      </c>
      <c r="R2076" s="7">
        <v>5000000</v>
      </c>
      <c r="S2076" s="7">
        <v>0</v>
      </c>
      <c r="T2076" s="7">
        <f>R2076-S2076</f>
        <v>0</v>
      </c>
      <c r="U2076" s="7">
        <f>T2076*O2076</f>
        <v>0</v>
      </c>
    </row>
    <row r="2077" spans="1:21">
      <c r="A2077" s="4" t="s">
        <v>3060</v>
      </c>
      <c r="B2077" s="4" t="s">
        <v>39</v>
      </c>
      <c r="C2077" s="5">
        <v>45952.33818287037</v>
      </c>
      <c r="D2077" s="5">
        <v>45952</v>
      </c>
      <c r="E2077" s="6">
        <f>IF(AND(C2077&lt;&gt;"",D2077&lt;&gt;""),D2077-C2077,"")</f>
        <v>0</v>
      </c>
      <c r="F2077" s="4" t="s">
        <v>3061</v>
      </c>
      <c r="G2077" s="4" t="s">
        <v>3062</v>
      </c>
      <c r="H2077" s="4" t="s">
        <v>32</v>
      </c>
      <c r="I2077" s="4" t="s">
        <v>33</v>
      </c>
      <c r="J2077" s="4">
        <v>0</v>
      </c>
      <c r="K2077" s="4">
        <v>0</v>
      </c>
      <c r="L2077" s="4">
        <f>J2077+K2077</f>
        <v>0</v>
      </c>
      <c r="M2077" s="4" t="s">
        <v>370</v>
      </c>
      <c r="N2077" s="4"/>
      <c r="O2077" s="4">
        <v>1</v>
      </c>
      <c r="P2077" s="4" t="s">
        <v>135</v>
      </c>
      <c r="Q2077" s="4" t="s">
        <v>44</v>
      </c>
      <c r="R2077" s="7">
        <v>1000000</v>
      </c>
      <c r="S2077" s="7">
        <v>0</v>
      </c>
      <c r="T2077" s="7">
        <f>R2077-S2077</f>
        <v>0</v>
      </c>
      <c r="U2077" s="7">
        <f>T2077*O2077</f>
        <v>0</v>
      </c>
    </row>
    <row r="2078" spans="1:21">
      <c r="A2078" s="4" t="s">
        <v>3063</v>
      </c>
      <c r="B2078" s="4" t="s">
        <v>39</v>
      </c>
      <c r="C2078" s="5">
        <v>45952.33916666666</v>
      </c>
      <c r="D2078" s="5">
        <v>45952</v>
      </c>
      <c r="E2078" s="6">
        <f>IF(AND(C2078&lt;&gt;"",D2078&lt;&gt;""),D2078-C2078,"")</f>
        <v>0</v>
      </c>
      <c r="F2078" s="4" t="s">
        <v>1358</v>
      </c>
      <c r="G2078" s="4" t="s">
        <v>1359</v>
      </c>
      <c r="H2078" s="4" t="s">
        <v>32</v>
      </c>
      <c r="I2078" s="4" t="s">
        <v>33</v>
      </c>
      <c r="J2078" s="4">
        <v>0</v>
      </c>
      <c r="K2078" s="4">
        <v>0</v>
      </c>
      <c r="L2078" s="4">
        <f>J2078+K2078</f>
        <v>0</v>
      </c>
      <c r="M2078" s="4" t="s">
        <v>370</v>
      </c>
      <c r="N2078" s="4"/>
      <c r="O2078" s="4">
        <v>1</v>
      </c>
      <c r="P2078" s="4" t="s">
        <v>135</v>
      </c>
      <c r="Q2078" s="4" t="s">
        <v>44</v>
      </c>
      <c r="R2078" s="7">
        <v>500000</v>
      </c>
      <c r="S2078" s="7">
        <v>0</v>
      </c>
      <c r="T2078" s="7">
        <f>R2078-S2078</f>
        <v>0</v>
      </c>
      <c r="U2078" s="7">
        <f>T2078*O2078</f>
        <v>0</v>
      </c>
    </row>
    <row r="2079" spans="1:21">
      <c r="A2079" s="4" t="s">
        <v>3064</v>
      </c>
      <c r="B2079" s="4" t="s">
        <v>39</v>
      </c>
      <c r="C2079" s="5">
        <v>45952.33996527778</v>
      </c>
      <c r="D2079" s="5">
        <v>45952</v>
      </c>
      <c r="E2079" s="6">
        <f>IF(AND(C2079&lt;&gt;"",D2079&lt;&gt;""),D2079-C2079,"")</f>
        <v>0</v>
      </c>
      <c r="F2079" s="4" t="s">
        <v>1358</v>
      </c>
      <c r="G2079" s="4" t="s">
        <v>1359</v>
      </c>
      <c r="H2079" s="4" t="s">
        <v>32</v>
      </c>
      <c r="I2079" s="4" t="s">
        <v>33</v>
      </c>
      <c r="J2079" s="4">
        <v>0</v>
      </c>
      <c r="K2079" s="4">
        <v>0</v>
      </c>
      <c r="L2079" s="4">
        <f>J2079+K2079</f>
        <v>0</v>
      </c>
      <c r="M2079" s="4" t="s">
        <v>370</v>
      </c>
      <c r="N2079" s="4"/>
      <c r="O2079" s="4">
        <v>1</v>
      </c>
      <c r="P2079" s="4" t="s">
        <v>135</v>
      </c>
      <c r="Q2079" s="4" t="s">
        <v>44</v>
      </c>
      <c r="R2079" s="7">
        <v>5000000</v>
      </c>
      <c r="S2079" s="7">
        <v>0</v>
      </c>
      <c r="T2079" s="7">
        <f>R2079-S2079</f>
        <v>0</v>
      </c>
      <c r="U2079" s="7">
        <f>T2079*O2079</f>
        <v>0</v>
      </c>
    </row>
    <row r="2080" spans="1:21">
      <c r="A2080" s="4" t="s">
        <v>3065</v>
      </c>
      <c r="B2080" s="4" t="s">
        <v>39</v>
      </c>
      <c r="C2080" s="5">
        <v>45952.34768518519</v>
      </c>
      <c r="D2080" s="5">
        <v>45952</v>
      </c>
      <c r="E2080" s="6">
        <f>IF(AND(C2080&lt;&gt;"",D2080&lt;&gt;""),D2080-C2080,"")</f>
        <v>0</v>
      </c>
      <c r="F2080" s="4" t="s">
        <v>3016</v>
      </c>
      <c r="G2080" s="4" t="s">
        <v>3017</v>
      </c>
      <c r="H2080" s="4" t="s">
        <v>32</v>
      </c>
      <c r="I2080" s="4" t="s">
        <v>33</v>
      </c>
      <c r="J2080" s="4">
        <v>2</v>
      </c>
      <c r="K2080" s="4">
        <v>0</v>
      </c>
      <c r="L2080" s="4">
        <f>J2080+K2080</f>
        <v>0</v>
      </c>
      <c r="M2080" s="4" t="s">
        <v>80</v>
      </c>
      <c r="N2080" s="4"/>
      <c r="O2080" s="4">
        <v>2</v>
      </c>
      <c r="P2080" s="4" t="s">
        <v>135</v>
      </c>
      <c r="Q2080" s="4" t="s">
        <v>44</v>
      </c>
      <c r="R2080" s="7">
        <v>610000</v>
      </c>
      <c r="S2080" s="7">
        <v>610000</v>
      </c>
      <c r="T2080" s="7">
        <f>R2080-S2080</f>
        <v>0</v>
      </c>
      <c r="U2080" s="7">
        <f>T2080*O2080</f>
        <v>0</v>
      </c>
    </row>
    <row r="2081" spans="1:21">
      <c r="A2081" s="4" t="s">
        <v>3066</v>
      </c>
      <c r="B2081" s="4" t="s">
        <v>39</v>
      </c>
      <c r="C2081" s="5">
        <v>45952.3477662037</v>
      </c>
      <c r="D2081" s="5">
        <v>45952</v>
      </c>
      <c r="E2081" s="6">
        <f>IF(AND(C2081&lt;&gt;"",D2081&lt;&gt;""),D2081-C2081,"")</f>
        <v>0</v>
      </c>
      <c r="F2081" s="4" t="s">
        <v>3036</v>
      </c>
      <c r="G2081" s="4" t="s">
        <v>3037</v>
      </c>
      <c r="H2081" s="4" t="s">
        <v>32</v>
      </c>
      <c r="I2081" s="4" t="s">
        <v>33</v>
      </c>
      <c r="J2081" s="4">
        <v>1</v>
      </c>
      <c r="K2081" s="4">
        <v>0</v>
      </c>
      <c r="L2081" s="4">
        <f>J2081+K2081</f>
        <v>0</v>
      </c>
      <c r="M2081" s="4" t="s">
        <v>42</v>
      </c>
      <c r="N2081" s="4"/>
      <c r="O2081" s="4">
        <v>1</v>
      </c>
      <c r="P2081" s="4" t="s">
        <v>135</v>
      </c>
      <c r="Q2081" s="4" t="s">
        <v>44</v>
      </c>
      <c r="R2081" s="7">
        <v>370000</v>
      </c>
      <c r="S2081" s="7">
        <v>370000</v>
      </c>
      <c r="T2081" s="7">
        <f>R2081-S2081</f>
        <v>0</v>
      </c>
      <c r="U2081" s="7">
        <f>T2081*O2081</f>
        <v>0</v>
      </c>
    </row>
    <row r="2082" spans="1:21">
      <c r="A2082" s="4" t="s">
        <v>3067</v>
      </c>
      <c r="B2082" s="4" t="s">
        <v>39</v>
      </c>
      <c r="C2082" s="5">
        <v>45952.34784722222</v>
      </c>
      <c r="D2082" s="5">
        <v>45952</v>
      </c>
      <c r="E2082" s="6">
        <f>IF(AND(C2082&lt;&gt;"",D2082&lt;&gt;""),D2082-C2082,"")</f>
        <v>0</v>
      </c>
      <c r="F2082" s="4" t="s">
        <v>3068</v>
      </c>
      <c r="G2082" s="4" t="s">
        <v>3069</v>
      </c>
      <c r="H2082" s="4" t="s">
        <v>32</v>
      </c>
      <c r="I2082" s="4" t="s">
        <v>33</v>
      </c>
      <c r="J2082" s="4">
        <v>1</v>
      </c>
      <c r="K2082" s="4">
        <v>0</v>
      </c>
      <c r="L2082" s="4">
        <f>J2082+K2082</f>
        <v>0</v>
      </c>
      <c r="M2082" s="4" t="s">
        <v>42</v>
      </c>
      <c r="N2082" s="4"/>
      <c r="O2082" s="4">
        <v>1</v>
      </c>
      <c r="P2082" s="4" t="s">
        <v>135</v>
      </c>
      <c r="Q2082" s="4" t="s">
        <v>44</v>
      </c>
      <c r="R2082" s="7">
        <v>370000</v>
      </c>
      <c r="S2082" s="7">
        <v>370000</v>
      </c>
      <c r="T2082" s="7">
        <f>R2082-S2082</f>
        <v>0</v>
      </c>
      <c r="U2082" s="7">
        <f>T2082*O2082</f>
        <v>0</v>
      </c>
    </row>
    <row r="2083" spans="1:21">
      <c r="A2083" s="4" t="s">
        <v>3067</v>
      </c>
      <c r="B2083" s="4" t="s">
        <v>39</v>
      </c>
      <c r="C2083" s="5">
        <v>45952.34784722222</v>
      </c>
      <c r="D2083" s="5">
        <v>45952</v>
      </c>
      <c r="E2083" s="6">
        <f>IF(AND(C2083&lt;&gt;"",D2083&lt;&gt;""),D2083-C2083,"")</f>
        <v>0</v>
      </c>
      <c r="F2083" s="4" t="s">
        <v>3068</v>
      </c>
      <c r="G2083" s="4" t="s">
        <v>3069</v>
      </c>
      <c r="H2083" s="4" t="s">
        <v>32</v>
      </c>
      <c r="I2083" s="4" t="s">
        <v>33</v>
      </c>
      <c r="J2083" s="4">
        <v>1</v>
      </c>
      <c r="K2083" s="4">
        <v>0</v>
      </c>
      <c r="L2083" s="4">
        <f>J2083+K2083</f>
        <v>0</v>
      </c>
      <c r="M2083" s="4" t="s">
        <v>42</v>
      </c>
      <c r="N2083" s="4"/>
      <c r="O2083" s="4">
        <v>1</v>
      </c>
      <c r="P2083" s="4" t="s">
        <v>135</v>
      </c>
      <c r="Q2083" s="4" t="s">
        <v>44</v>
      </c>
      <c r="R2083" s="7">
        <v>370000</v>
      </c>
      <c r="S2083" s="7">
        <v>370000</v>
      </c>
      <c r="T2083" s="7">
        <f>R2083-S2083</f>
        <v>0</v>
      </c>
      <c r="U2083" s="7">
        <f>T2083*O2083</f>
        <v>0</v>
      </c>
    </row>
    <row r="2084" spans="1:21">
      <c r="A2084" s="4" t="s">
        <v>3070</v>
      </c>
      <c r="B2084" s="4" t="s">
        <v>39</v>
      </c>
      <c r="C2084" s="5">
        <v>45952.3478587963</v>
      </c>
      <c r="D2084" s="5">
        <v>45952</v>
      </c>
      <c r="E2084" s="6">
        <f>IF(AND(C2084&lt;&gt;"",D2084&lt;&gt;""),D2084-C2084,"")</f>
        <v>0</v>
      </c>
      <c r="F2084" s="4" t="s">
        <v>3019</v>
      </c>
      <c r="G2084" s="4" t="s">
        <v>3020</v>
      </c>
      <c r="H2084" s="4" t="s">
        <v>190</v>
      </c>
      <c r="I2084" s="4" t="s">
        <v>56</v>
      </c>
      <c r="J2084" s="4">
        <v>1</v>
      </c>
      <c r="K2084" s="4">
        <v>0</v>
      </c>
      <c r="L2084" s="4">
        <f>J2084+K2084</f>
        <v>0</v>
      </c>
      <c r="M2084" s="4" t="s">
        <v>42</v>
      </c>
      <c r="N2084" s="4"/>
      <c r="O2084" s="4">
        <v>1</v>
      </c>
      <c r="P2084" s="4" t="s">
        <v>43</v>
      </c>
      <c r="Q2084" s="4" t="s">
        <v>44</v>
      </c>
      <c r="R2084" s="7">
        <v>370000</v>
      </c>
      <c r="S2084" s="7">
        <v>370000</v>
      </c>
      <c r="T2084" s="7">
        <f>R2084-S2084</f>
        <v>0</v>
      </c>
      <c r="U2084" s="7">
        <f>T2084*O2084</f>
        <v>0</v>
      </c>
    </row>
    <row r="2085" spans="1:21">
      <c r="A2085" s="4" t="s">
        <v>3071</v>
      </c>
      <c r="B2085" s="4" t="s">
        <v>39</v>
      </c>
      <c r="C2085" s="5">
        <v>45952.34789351852</v>
      </c>
      <c r="D2085" s="5">
        <v>45952</v>
      </c>
      <c r="E2085" s="6">
        <f>IF(AND(C2085&lt;&gt;"",D2085&lt;&gt;""),D2085-C2085,"")</f>
        <v>0</v>
      </c>
      <c r="F2085" s="4" t="s">
        <v>1264</v>
      </c>
      <c r="G2085" s="4" t="s">
        <v>1265</v>
      </c>
      <c r="H2085" s="4" t="s">
        <v>32</v>
      </c>
      <c r="I2085" s="4" t="s">
        <v>33</v>
      </c>
      <c r="J2085" s="4">
        <v>1</v>
      </c>
      <c r="K2085" s="4">
        <v>0</v>
      </c>
      <c r="L2085" s="4">
        <f>J2085+K2085</f>
        <v>0</v>
      </c>
      <c r="M2085" s="4" t="s">
        <v>80</v>
      </c>
      <c r="N2085" s="4"/>
      <c r="O2085" s="4">
        <v>1</v>
      </c>
      <c r="P2085" s="4" t="s">
        <v>135</v>
      </c>
      <c r="Q2085" s="4" t="s">
        <v>44</v>
      </c>
      <c r="R2085" s="7">
        <v>610000</v>
      </c>
      <c r="S2085" s="7">
        <v>610000</v>
      </c>
      <c r="T2085" s="7">
        <f>R2085-S2085</f>
        <v>0</v>
      </c>
      <c r="U2085" s="7">
        <f>T2085*O2085</f>
        <v>0</v>
      </c>
    </row>
    <row r="2086" spans="1:21">
      <c r="A2086" s="4" t="s">
        <v>3072</v>
      </c>
      <c r="B2086" s="4" t="s">
        <v>39</v>
      </c>
      <c r="C2086" s="5">
        <v>45952.37339120371</v>
      </c>
      <c r="D2086" s="5">
        <v>45952</v>
      </c>
      <c r="E2086" s="6">
        <f>IF(AND(C2086&lt;&gt;"",D2086&lt;&gt;""),D2086-C2086,"")</f>
        <v>0</v>
      </c>
      <c r="F2086" s="4" t="s">
        <v>3019</v>
      </c>
      <c r="G2086" s="4" t="s">
        <v>3020</v>
      </c>
      <c r="H2086" s="4" t="s">
        <v>190</v>
      </c>
      <c r="I2086" s="4" t="s">
        <v>56</v>
      </c>
      <c r="J2086" s="4">
        <v>0</v>
      </c>
      <c r="K2086" s="4">
        <v>0</v>
      </c>
      <c r="L2086" s="4">
        <f>J2086+K2086</f>
        <v>0</v>
      </c>
      <c r="M2086" s="4" t="s">
        <v>370</v>
      </c>
      <c r="N2086" s="4"/>
      <c r="O2086" s="4">
        <v>1000000</v>
      </c>
      <c r="P2086" s="4" t="s">
        <v>135</v>
      </c>
      <c r="Q2086" s="4" t="s">
        <v>44</v>
      </c>
      <c r="R2086" s="7">
        <v>0</v>
      </c>
      <c r="S2086" s="7">
        <v>0</v>
      </c>
      <c r="T2086" s="7">
        <f>R2086-S2086</f>
        <v>0</v>
      </c>
      <c r="U2086" s="7">
        <f>T2086*O2086</f>
        <v>0</v>
      </c>
    </row>
    <row r="2087" spans="1:21">
      <c r="A2087" s="4" t="s">
        <v>3073</v>
      </c>
      <c r="B2087" s="4" t="s">
        <v>39</v>
      </c>
      <c r="C2087" s="5">
        <v>45952.37792824074</v>
      </c>
      <c r="D2087" s="5">
        <v>45952</v>
      </c>
      <c r="E2087" s="6">
        <f>IF(AND(C2087&lt;&gt;"",D2087&lt;&gt;""),D2087-C2087,"")</f>
        <v>0</v>
      </c>
      <c r="F2087" s="4" t="s">
        <v>162</v>
      </c>
      <c r="G2087" s="4" t="s">
        <v>163</v>
      </c>
      <c r="H2087" s="4" t="s">
        <v>32</v>
      </c>
      <c r="I2087" s="4" t="s">
        <v>33</v>
      </c>
      <c r="J2087" s="4">
        <v>1</v>
      </c>
      <c r="K2087" s="4">
        <v>0</v>
      </c>
      <c r="L2087" s="4">
        <f>J2087+K2087</f>
        <v>0</v>
      </c>
      <c r="M2087" s="4" t="s">
        <v>42</v>
      </c>
      <c r="N2087" s="4"/>
      <c r="O2087" s="4">
        <v>1</v>
      </c>
      <c r="P2087" s="4" t="s">
        <v>135</v>
      </c>
      <c r="Q2087" s="4" t="s">
        <v>44</v>
      </c>
      <c r="R2087" s="7">
        <v>370000</v>
      </c>
      <c r="S2087" s="7">
        <v>0</v>
      </c>
      <c r="T2087" s="7">
        <f>R2087-S2087</f>
        <v>0</v>
      </c>
      <c r="U2087" s="7">
        <f>T2087*O2087</f>
        <v>0</v>
      </c>
    </row>
    <row r="2088" spans="1:21">
      <c r="A2088" s="4" t="s">
        <v>3074</v>
      </c>
      <c r="B2088" s="4" t="s">
        <v>39</v>
      </c>
      <c r="C2088" s="5">
        <v>45952.37809027778</v>
      </c>
      <c r="D2088" s="5">
        <v>45952</v>
      </c>
      <c r="E2088" s="6">
        <f>IF(AND(C2088&lt;&gt;"",D2088&lt;&gt;""),D2088-C2088,"")</f>
        <v>0</v>
      </c>
      <c r="F2088" s="4" t="s">
        <v>162</v>
      </c>
      <c r="G2088" s="4" t="s">
        <v>163</v>
      </c>
      <c r="H2088" s="4" t="s">
        <v>32</v>
      </c>
      <c r="I2088" s="4" t="s">
        <v>33</v>
      </c>
      <c r="J2088" s="4">
        <v>1</v>
      </c>
      <c r="K2088" s="4">
        <v>0</v>
      </c>
      <c r="L2088" s="4">
        <f>J2088+K2088</f>
        <v>0</v>
      </c>
      <c r="M2088" s="4" t="s">
        <v>42</v>
      </c>
      <c r="N2088" s="4"/>
      <c r="O2088" s="4">
        <v>1</v>
      </c>
      <c r="P2088" s="4" t="s">
        <v>135</v>
      </c>
      <c r="Q2088" s="4" t="s">
        <v>44</v>
      </c>
      <c r="R2088" s="7">
        <v>370000</v>
      </c>
      <c r="S2088" s="7">
        <v>0</v>
      </c>
      <c r="T2088" s="7">
        <f>R2088-S2088</f>
        <v>0</v>
      </c>
      <c r="U2088" s="7">
        <f>T2088*O2088</f>
        <v>0</v>
      </c>
    </row>
    <row r="2089" spans="1:21">
      <c r="A2089" s="4" t="s">
        <v>3075</v>
      </c>
      <c r="B2089" s="4" t="s">
        <v>39</v>
      </c>
      <c r="C2089" s="5">
        <v>45952.37814814815</v>
      </c>
      <c r="D2089" s="5">
        <v>45952</v>
      </c>
      <c r="E2089" s="6">
        <f>IF(AND(C2089&lt;&gt;"",D2089&lt;&gt;""),D2089-C2089,"")</f>
        <v>0</v>
      </c>
      <c r="F2089" s="4" t="s">
        <v>162</v>
      </c>
      <c r="G2089" s="4" t="s">
        <v>163</v>
      </c>
      <c r="H2089" s="4" t="s">
        <v>32</v>
      </c>
      <c r="I2089" s="4" t="s">
        <v>33</v>
      </c>
      <c r="J2089" s="4">
        <v>1</v>
      </c>
      <c r="K2089" s="4">
        <v>0</v>
      </c>
      <c r="L2089" s="4">
        <f>J2089+K2089</f>
        <v>0</v>
      </c>
      <c r="M2089" s="4" t="s">
        <v>42</v>
      </c>
      <c r="N2089" s="4"/>
      <c r="O2089" s="4">
        <v>1</v>
      </c>
      <c r="P2089" s="4" t="s">
        <v>135</v>
      </c>
      <c r="Q2089" s="4" t="s">
        <v>44</v>
      </c>
      <c r="R2089" s="7">
        <v>370000</v>
      </c>
      <c r="S2089" s="7">
        <v>0</v>
      </c>
      <c r="T2089" s="7">
        <f>R2089-S2089</f>
        <v>0</v>
      </c>
      <c r="U2089" s="7">
        <f>T2089*O2089</f>
        <v>0</v>
      </c>
    </row>
    <row r="2090" spans="1:21">
      <c r="A2090" s="4" t="s">
        <v>3076</v>
      </c>
      <c r="B2090" s="4" t="s">
        <v>39</v>
      </c>
      <c r="C2090" s="5">
        <v>45952.37835648148</v>
      </c>
      <c r="D2090" s="5">
        <v>45952</v>
      </c>
      <c r="E2090" s="6">
        <f>IF(AND(C2090&lt;&gt;"",D2090&lt;&gt;""),D2090-C2090,"")</f>
        <v>0</v>
      </c>
      <c r="F2090" s="4" t="s">
        <v>162</v>
      </c>
      <c r="G2090" s="4" t="s">
        <v>163</v>
      </c>
      <c r="H2090" s="4" t="s">
        <v>32</v>
      </c>
      <c r="I2090" s="4" t="s">
        <v>33</v>
      </c>
      <c r="J2090" s="4">
        <v>1</v>
      </c>
      <c r="K2090" s="4">
        <v>0</v>
      </c>
      <c r="L2090" s="4">
        <f>J2090+K2090</f>
        <v>0</v>
      </c>
      <c r="M2090" s="4" t="s">
        <v>42</v>
      </c>
      <c r="N2090" s="4"/>
      <c r="O2090" s="4">
        <v>1</v>
      </c>
      <c r="P2090" s="4" t="s">
        <v>135</v>
      </c>
      <c r="Q2090" s="4" t="s">
        <v>44</v>
      </c>
      <c r="R2090" s="7">
        <v>370000</v>
      </c>
      <c r="S2090" s="7">
        <v>0</v>
      </c>
      <c r="T2090" s="7">
        <f>R2090-S2090</f>
        <v>0</v>
      </c>
      <c r="U2090" s="7">
        <f>T2090*O2090</f>
        <v>0</v>
      </c>
    </row>
    <row r="2091" spans="1:21">
      <c r="A2091" s="4" t="s">
        <v>3077</v>
      </c>
      <c r="B2091" s="4" t="s">
        <v>39</v>
      </c>
      <c r="C2091" s="5">
        <v>45952.37842592593</v>
      </c>
      <c r="D2091" s="5">
        <v>45952</v>
      </c>
      <c r="E2091" s="6">
        <f>IF(AND(C2091&lt;&gt;"",D2091&lt;&gt;""),D2091-C2091,"")</f>
        <v>0</v>
      </c>
      <c r="F2091" s="4" t="s">
        <v>162</v>
      </c>
      <c r="G2091" s="4" t="s">
        <v>163</v>
      </c>
      <c r="H2091" s="4" t="s">
        <v>32</v>
      </c>
      <c r="I2091" s="4" t="s">
        <v>33</v>
      </c>
      <c r="J2091" s="4">
        <v>1</v>
      </c>
      <c r="K2091" s="4">
        <v>0</v>
      </c>
      <c r="L2091" s="4">
        <f>J2091+K2091</f>
        <v>0</v>
      </c>
      <c r="M2091" s="4" t="s">
        <v>42</v>
      </c>
      <c r="N2091" s="4"/>
      <c r="O2091" s="4">
        <v>1</v>
      </c>
      <c r="P2091" s="4" t="s">
        <v>135</v>
      </c>
      <c r="Q2091" s="4" t="s">
        <v>44</v>
      </c>
      <c r="R2091" s="7">
        <v>370000</v>
      </c>
      <c r="S2091" s="7">
        <v>0</v>
      </c>
      <c r="T2091" s="7">
        <f>R2091-S2091</f>
        <v>0</v>
      </c>
      <c r="U2091" s="7">
        <f>T2091*O2091</f>
        <v>0</v>
      </c>
    </row>
    <row r="2092" spans="1:21">
      <c r="A2092" s="4" t="s">
        <v>3078</v>
      </c>
      <c r="B2092" s="4" t="s">
        <v>48</v>
      </c>
      <c r="C2092" s="5">
        <v>45952.38412037037</v>
      </c>
      <c r="D2092" s="5">
        <v>45961</v>
      </c>
      <c r="E2092" s="6">
        <f>IF(AND(C2092&lt;&gt;"",D2092&lt;&gt;""),D2092-C2092,"")</f>
        <v>0</v>
      </c>
      <c r="F2092" s="4" t="s">
        <v>64</v>
      </c>
      <c r="G2092" s="4" t="s">
        <v>65</v>
      </c>
      <c r="H2092" s="4" t="s">
        <v>32</v>
      </c>
      <c r="I2092" s="4" t="s">
        <v>33</v>
      </c>
      <c r="J2092" s="4">
        <v>14</v>
      </c>
      <c r="K2092" s="4">
        <v>4</v>
      </c>
      <c r="L2092" s="4">
        <f>J2092+K2092</f>
        <v>0</v>
      </c>
      <c r="M2092" s="4"/>
      <c r="N2092" s="4"/>
      <c r="O2092" s="4">
        <v>0</v>
      </c>
      <c r="P2092" s="4"/>
      <c r="Q2092" s="4"/>
      <c r="R2092" s="7">
        <v>0</v>
      </c>
      <c r="S2092" s="7">
        <v>0</v>
      </c>
      <c r="T2092" s="7">
        <f>R2092-S2092</f>
        <v>0</v>
      </c>
      <c r="U2092" s="7">
        <f>T2092*O2092</f>
        <v>0</v>
      </c>
    </row>
    <row r="2093" spans="1:21">
      <c r="A2093" s="4" t="s">
        <v>3079</v>
      </c>
      <c r="B2093" s="4" t="s">
        <v>48</v>
      </c>
      <c r="C2093" s="5">
        <v>45952.40168981482</v>
      </c>
      <c r="D2093" s="5">
        <v>45961</v>
      </c>
      <c r="E2093" s="6">
        <f>IF(AND(C2093&lt;&gt;"",D2093&lt;&gt;""),D2093-C2093,"")</f>
        <v>0</v>
      </c>
      <c r="F2093" s="4" t="s">
        <v>1399</v>
      </c>
      <c r="G2093" s="4" t="s">
        <v>202</v>
      </c>
      <c r="H2093" s="4" t="s">
        <v>32</v>
      </c>
      <c r="I2093" s="4" t="s">
        <v>33</v>
      </c>
      <c r="J2093" s="4">
        <v>5</v>
      </c>
      <c r="K2093" s="4">
        <v>0</v>
      </c>
      <c r="L2093" s="4">
        <f>J2093+K2093</f>
        <v>0</v>
      </c>
      <c r="M2093" s="4"/>
      <c r="N2093" s="4"/>
      <c r="O2093" s="4">
        <v>0</v>
      </c>
      <c r="P2093" s="4"/>
      <c r="Q2093" s="4"/>
      <c r="R2093" s="7">
        <v>0</v>
      </c>
      <c r="S2093" s="7">
        <v>0</v>
      </c>
      <c r="T2093" s="7">
        <f>R2093-S2093</f>
        <v>0</v>
      </c>
      <c r="U2093" s="7">
        <f>T2093*O2093</f>
        <v>0</v>
      </c>
    </row>
    <row r="2094" spans="1:21">
      <c r="A2094" s="4" t="s">
        <v>3080</v>
      </c>
      <c r="B2094" s="4" t="s">
        <v>39</v>
      </c>
      <c r="C2094" s="5">
        <v>45952.52543981482</v>
      </c>
      <c r="D2094" s="5">
        <v>45952</v>
      </c>
      <c r="E2094" s="6">
        <f>IF(AND(C2094&lt;&gt;"",D2094&lt;&gt;""),D2094-C2094,"")</f>
        <v>0</v>
      </c>
      <c r="F2094" s="4" t="s">
        <v>3081</v>
      </c>
      <c r="G2094" s="4" t="s">
        <v>3082</v>
      </c>
      <c r="H2094" s="4" t="s">
        <v>32</v>
      </c>
      <c r="I2094" s="4" t="s">
        <v>33</v>
      </c>
      <c r="J2094" s="4">
        <v>0</v>
      </c>
      <c r="K2094" s="4">
        <v>0</v>
      </c>
      <c r="L2094" s="4">
        <f>J2094+K2094</f>
        <v>0</v>
      </c>
      <c r="M2094" s="4" t="s">
        <v>370</v>
      </c>
      <c r="N2094" s="4"/>
      <c r="O2094" s="4">
        <v>1</v>
      </c>
      <c r="P2094" s="4" t="s">
        <v>43</v>
      </c>
      <c r="Q2094" s="4" t="s">
        <v>44</v>
      </c>
      <c r="R2094" s="7">
        <v>10000000</v>
      </c>
      <c r="S2094" s="7">
        <v>0</v>
      </c>
      <c r="T2094" s="7">
        <f>R2094-S2094</f>
        <v>0</v>
      </c>
      <c r="U2094" s="7">
        <f>T2094*O2094</f>
        <v>0</v>
      </c>
    </row>
    <row r="2095" spans="1:21">
      <c r="A2095" s="4" t="s">
        <v>3080</v>
      </c>
      <c r="B2095" s="4" t="s">
        <v>39</v>
      </c>
      <c r="C2095" s="5">
        <v>45952.52543981482</v>
      </c>
      <c r="D2095" s="5">
        <v>45952</v>
      </c>
      <c r="E2095" s="6">
        <f>IF(AND(C2095&lt;&gt;"",D2095&lt;&gt;""),D2095-C2095,"")</f>
        <v>0</v>
      </c>
      <c r="F2095" s="4" t="s">
        <v>3081</v>
      </c>
      <c r="G2095" s="4" t="s">
        <v>3082</v>
      </c>
      <c r="H2095" s="4" t="s">
        <v>32</v>
      </c>
      <c r="I2095" s="4" t="s">
        <v>33</v>
      </c>
      <c r="J2095" s="4">
        <v>2</v>
      </c>
      <c r="K2095" s="4">
        <v>0</v>
      </c>
      <c r="L2095" s="4">
        <f>J2095+K2095</f>
        <v>0</v>
      </c>
      <c r="M2095" s="4" t="s">
        <v>80</v>
      </c>
      <c r="N2095" s="4"/>
      <c r="O2095" s="4">
        <v>2</v>
      </c>
      <c r="P2095" s="4" t="s">
        <v>43</v>
      </c>
      <c r="Q2095" s="4" t="s">
        <v>44</v>
      </c>
      <c r="R2095" s="7">
        <v>610000</v>
      </c>
      <c r="S2095" s="7">
        <v>0</v>
      </c>
      <c r="T2095" s="7">
        <f>R2095-S2095</f>
        <v>0</v>
      </c>
      <c r="U2095" s="7">
        <f>T2095*O2095</f>
        <v>0</v>
      </c>
    </row>
    <row r="2096" spans="1:21">
      <c r="A2096" s="4" t="s">
        <v>3083</v>
      </c>
      <c r="B2096" s="4" t="s">
        <v>29</v>
      </c>
      <c r="C2096" s="5">
        <v>45952.55052083333</v>
      </c>
      <c r="D2096" s="5">
        <v>45961</v>
      </c>
      <c r="E2096" s="6">
        <f>IF(AND(C2096&lt;&gt;"",D2096&lt;&gt;""),D2096-C2096,"")</f>
        <v>0</v>
      </c>
      <c r="F2096" s="4" t="s">
        <v>307</v>
      </c>
      <c r="G2096" s="4" t="s">
        <v>308</v>
      </c>
      <c r="H2096" s="4" t="s">
        <v>190</v>
      </c>
      <c r="I2096" s="4" t="s">
        <v>56</v>
      </c>
      <c r="J2096" s="4">
        <v>1</v>
      </c>
      <c r="K2096" s="4">
        <v>0</v>
      </c>
      <c r="L2096" s="4">
        <f>J2096+K2096</f>
        <v>0</v>
      </c>
      <c r="M2096" s="4"/>
      <c r="N2096" s="4"/>
      <c r="O2096" s="4">
        <v>0</v>
      </c>
      <c r="P2096" s="4"/>
      <c r="Q2096" s="4"/>
      <c r="R2096" s="7">
        <v>0</v>
      </c>
      <c r="S2096" s="7">
        <v>0</v>
      </c>
      <c r="T2096" s="7">
        <f>R2096-S2096</f>
        <v>0</v>
      </c>
      <c r="U2096" s="7">
        <f>T2096*O2096</f>
        <v>0</v>
      </c>
    </row>
    <row r="2097" spans="1:21">
      <c r="A2097" s="4" t="s">
        <v>3084</v>
      </c>
      <c r="B2097" s="4" t="s">
        <v>29</v>
      </c>
      <c r="C2097" s="5">
        <v>45952.55163194444</v>
      </c>
      <c r="D2097" s="5">
        <v>45961</v>
      </c>
      <c r="E2097" s="6">
        <f>IF(AND(C2097&lt;&gt;"",D2097&lt;&gt;""),D2097-C2097,"")</f>
        <v>0</v>
      </c>
      <c r="F2097" s="4" t="s">
        <v>307</v>
      </c>
      <c r="G2097" s="4" t="s">
        <v>308</v>
      </c>
      <c r="H2097" s="4" t="s">
        <v>190</v>
      </c>
      <c r="I2097" s="4" t="s">
        <v>56</v>
      </c>
      <c r="J2097" s="4">
        <v>1</v>
      </c>
      <c r="K2097" s="4">
        <v>0</v>
      </c>
      <c r="L2097" s="4">
        <f>J2097+K2097</f>
        <v>0</v>
      </c>
      <c r="M2097" s="4"/>
      <c r="N2097" s="4"/>
      <c r="O2097" s="4">
        <v>0</v>
      </c>
      <c r="P2097" s="4"/>
      <c r="Q2097" s="4"/>
      <c r="R2097" s="7">
        <v>0</v>
      </c>
      <c r="S2097" s="7">
        <v>0</v>
      </c>
      <c r="T2097" s="7">
        <f>R2097-S2097</f>
        <v>0</v>
      </c>
      <c r="U2097" s="7">
        <f>T2097*O2097</f>
        <v>0</v>
      </c>
    </row>
    <row r="2098" spans="1:21">
      <c r="A2098" s="4" t="s">
        <v>3085</v>
      </c>
      <c r="B2098" s="4" t="s">
        <v>39</v>
      </c>
      <c r="C2098" s="5">
        <v>45953.05097222222</v>
      </c>
      <c r="D2098" s="5">
        <v>45953</v>
      </c>
      <c r="E2098" s="6">
        <f>IF(AND(C2098&lt;&gt;"",D2098&lt;&gt;""),D2098-C2098,"")</f>
        <v>0</v>
      </c>
      <c r="F2098" s="4" t="s">
        <v>3086</v>
      </c>
      <c r="G2098" s="4" t="s">
        <v>3087</v>
      </c>
      <c r="H2098" s="4" t="s">
        <v>32</v>
      </c>
      <c r="I2098" s="4" t="s">
        <v>33</v>
      </c>
      <c r="J2098" s="4">
        <v>2</v>
      </c>
      <c r="K2098" s="4">
        <v>0</v>
      </c>
      <c r="L2098" s="4">
        <f>J2098+K2098</f>
        <v>0</v>
      </c>
      <c r="M2098" s="4" t="s">
        <v>42</v>
      </c>
      <c r="N2098" s="4"/>
      <c r="O2098" s="4">
        <v>2</v>
      </c>
      <c r="P2098" s="4" t="s">
        <v>135</v>
      </c>
      <c r="Q2098" s="4" t="s">
        <v>44</v>
      </c>
      <c r="R2098" s="7">
        <v>370000</v>
      </c>
      <c r="S2098" s="7">
        <v>0</v>
      </c>
      <c r="T2098" s="7">
        <f>R2098-S2098</f>
        <v>0</v>
      </c>
      <c r="U2098" s="7">
        <f>T2098*O2098</f>
        <v>0</v>
      </c>
    </row>
    <row r="2099" spans="1:21">
      <c r="A2099" s="4" t="s">
        <v>3085</v>
      </c>
      <c r="B2099" s="4" t="s">
        <v>39</v>
      </c>
      <c r="C2099" s="5">
        <v>45953.05097222222</v>
      </c>
      <c r="D2099" s="5">
        <v>45953</v>
      </c>
      <c r="E2099" s="6">
        <f>IF(AND(C2099&lt;&gt;"",D2099&lt;&gt;""),D2099-C2099,"")</f>
        <v>0</v>
      </c>
      <c r="F2099" s="4" t="s">
        <v>3086</v>
      </c>
      <c r="G2099" s="4" t="s">
        <v>3087</v>
      </c>
      <c r="H2099" s="4" t="s">
        <v>32</v>
      </c>
      <c r="I2099" s="4" t="s">
        <v>33</v>
      </c>
      <c r="J2099" s="4">
        <v>0</v>
      </c>
      <c r="K2099" s="4">
        <v>0</v>
      </c>
      <c r="L2099" s="4">
        <f>J2099+K2099</f>
        <v>0</v>
      </c>
      <c r="M2099" s="4" t="s">
        <v>370</v>
      </c>
      <c r="N2099" s="4"/>
      <c r="O2099" s="4">
        <v>1</v>
      </c>
      <c r="P2099" s="4" t="s">
        <v>135</v>
      </c>
      <c r="Q2099" s="4" t="s">
        <v>44</v>
      </c>
      <c r="R2099" s="7">
        <v>500000</v>
      </c>
      <c r="S2099" s="7">
        <v>0</v>
      </c>
      <c r="T2099" s="7">
        <f>R2099-S2099</f>
        <v>0</v>
      </c>
      <c r="U2099" s="7">
        <f>T2099*O2099</f>
        <v>0</v>
      </c>
    </row>
    <row r="2100" spans="1:21">
      <c r="A2100" s="4" t="s">
        <v>3085</v>
      </c>
      <c r="B2100" s="4" t="s">
        <v>39</v>
      </c>
      <c r="C2100" s="5">
        <v>45953.05097222222</v>
      </c>
      <c r="D2100" s="5">
        <v>45953</v>
      </c>
      <c r="E2100" s="6">
        <f>IF(AND(C2100&lt;&gt;"",D2100&lt;&gt;""),D2100-C2100,"")</f>
        <v>0</v>
      </c>
      <c r="F2100" s="4" t="s">
        <v>3086</v>
      </c>
      <c r="G2100" s="4" t="s">
        <v>3087</v>
      </c>
      <c r="H2100" s="4" t="s">
        <v>32</v>
      </c>
      <c r="I2100" s="4" t="s">
        <v>33</v>
      </c>
      <c r="J2100" s="4">
        <v>0</v>
      </c>
      <c r="K2100" s="4">
        <v>1</v>
      </c>
      <c r="L2100" s="4">
        <f>J2100+K2100</f>
        <v>0</v>
      </c>
      <c r="M2100" s="4" t="s">
        <v>81</v>
      </c>
      <c r="N2100" s="4"/>
      <c r="O2100" s="4">
        <v>1</v>
      </c>
      <c r="P2100" s="4" t="s">
        <v>135</v>
      </c>
      <c r="Q2100" s="4" t="s">
        <v>44</v>
      </c>
      <c r="R2100" s="7">
        <v>495000</v>
      </c>
      <c r="S2100" s="7">
        <v>0</v>
      </c>
      <c r="T2100" s="7">
        <f>R2100-S2100</f>
        <v>0</v>
      </c>
      <c r="U2100" s="7">
        <f>T2100*O2100</f>
        <v>0</v>
      </c>
    </row>
    <row r="2101" spans="1:21">
      <c r="A2101" s="4" t="s">
        <v>3088</v>
      </c>
      <c r="B2101" s="4" t="s">
        <v>39</v>
      </c>
      <c r="C2101" s="5">
        <v>45953.05253472222</v>
      </c>
      <c r="D2101" s="5">
        <v>45953</v>
      </c>
      <c r="E2101" s="6">
        <f>IF(AND(C2101&lt;&gt;"",D2101&lt;&gt;""),D2101-C2101,"")</f>
        <v>0</v>
      </c>
      <c r="F2101" s="4" t="s">
        <v>3089</v>
      </c>
      <c r="G2101" s="4" t="s">
        <v>3090</v>
      </c>
      <c r="H2101" s="4" t="s">
        <v>1262</v>
      </c>
      <c r="I2101" s="4" t="s">
        <v>56</v>
      </c>
      <c r="J2101" s="4">
        <v>0</v>
      </c>
      <c r="K2101" s="4">
        <v>0</v>
      </c>
      <c r="L2101" s="4">
        <f>J2101+K2101</f>
        <v>0</v>
      </c>
      <c r="M2101" s="4" t="s">
        <v>370</v>
      </c>
      <c r="N2101" s="4"/>
      <c r="O2101" s="4">
        <v>1</v>
      </c>
      <c r="P2101" s="4" t="s">
        <v>135</v>
      </c>
      <c r="Q2101" s="4" t="s">
        <v>44</v>
      </c>
      <c r="R2101" s="7">
        <v>500000</v>
      </c>
      <c r="S2101" s="7">
        <v>0</v>
      </c>
      <c r="T2101" s="7">
        <f>R2101-S2101</f>
        <v>0</v>
      </c>
      <c r="U2101" s="7">
        <f>T2101*O2101</f>
        <v>0</v>
      </c>
    </row>
    <row r="2102" spans="1:21">
      <c r="A2102" s="4" t="s">
        <v>3088</v>
      </c>
      <c r="B2102" s="4" t="s">
        <v>39</v>
      </c>
      <c r="C2102" s="5">
        <v>45953.05253472222</v>
      </c>
      <c r="D2102" s="5">
        <v>45953</v>
      </c>
      <c r="E2102" s="6">
        <f>IF(AND(C2102&lt;&gt;"",D2102&lt;&gt;""),D2102-C2102,"")</f>
        <v>0</v>
      </c>
      <c r="F2102" s="4" t="s">
        <v>3089</v>
      </c>
      <c r="G2102" s="4" t="s">
        <v>3090</v>
      </c>
      <c r="H2102" s="4" t="s">
        <v>1262</v>
      </c>
      <c r="I2102" s="4" t="s">
        <v>56</v>
      </c>
      <c r="J2102" s="4">
        <v>2</v>
      </c>
      <c r="K2102" s="4">
        <v>0</v>
      </c>
      <c r="L2102" s="4">
        <f>J2102+K2102</f>
        <v>0</v>
      </c>
      <c r="M2102" s="4" t="s">
        <v>80</v>
      </c>
      <c r="N2102" s="4"/>
      <c r="O2102" s="4">
        <v>2</v>
      </c>
      <c r="P2102" s="4" t="s">
        <v>135</v>
      </c>
      <c r="Q2102" s="4" t="s">
        <v>44</v>
      </c>
      <c r="R2102" s="7">
        <v>610000</v>
      </c>
      <c r="S2102" s="7">
        <v>0</v>
      </c>
      <c r="T2102" s="7">
        <f>R2102-S2102</f>
        <v>0</v>
      </c>
      <c r="U2102" s="7">
        <f>T2102*O2102</f>
        <v>0</v>
      </c>
    </row>
    <row r="2103" spans="1:21">
      <c r="A2103" s="4" t="s">
        <v>3088</v>
      </c>
      <c r="B2103" s="4" t="s">
        <v>39</v>
      </c>
      <c r="C2103" s="5">
        <v>45953.05253472222</v>
      </c>
      <c r="D2103" s="5">
        <v>45953</v>
      </c>
      <c r="E2103" s="6">
        <f>IF(AND(C2103&lt;&gt;"",D2103&lt;&gt;""),D2103-C2103,"")</f>
        <v>0</v>
      </c>
      <c r="F2103" s="4" t="s">
        <v>3089</v>
      </c>
      <c r="G2103" s="4" t="s">
        <v>3090</v>
      </c>
      <c r="H2103" s="4" t="s">
        <v>1262</v>
      </c>
      <c r="I2103" s="4" t="s">
        <v>56</v>
      </c>
      <c r="J2103" s="4">
        <v>0</v>
      </c>
      <c r="K2103" s="4">
        <v>1</v>
      </c>
      <c r="L2103" s="4">
        <f>J2103+K2103</f>
        <v>0</v>
      </c>
      <c r="M2103" s="4" t="s">
        <v>81</v>
      </c>
      <c r="N2103" s="4"/>
      <c r="O2103" s="4">
        <v>1</v>
      </c>
      <c r="P2103" s="4" t="s">
        <v>135</v>
      </c>
      <c r="Q2103" s="4" t="s">
        <v>44</v>
      </c>
      <c r="R2103" s="7">
        <v>495000</v>
      </c>
      <c r="S2103" s="7">
        <v>0</v>
      </c>
      <c r="T2103" s="7">
        <f>R2103-S2103</f>
        <v>0</v>
      </c>
      <c r="U2103" s="7">
        <f>T2103*O2103</f>
        <v>0</v>
      </c>
    </row>
    <row r="2104" spans="1:21">
      <c r="A2104" s="4" t="s">
        <v>3091</v>
      </c>
      <c r="B2104" s="4" t="s">
        <v>39</v>
      </c>
      <c r="C2104" s="5">
        <v>45953.05388888889</v>
      </c>
      <c r="D2104" s="5">
        <v>45953</v>
      </c>
      <c r="E2104" s="6">
        <f>IF(AND(C2104&lt;&gt;"",D2104&lt;&gt;""),D2104-C2104,"")</f>
        <v>0</v>
      </c>
      <c r="F2104" s="4" t="s">
        <v>3092</v>
      </c>
      <c r="G2104" s="4" t="s">
        <v>3093</v>
      </c>
      <c r="H2104" s="4" t="s">
        <v>190</v>
      </c>
      <c r="I2104" s="4" t="s">
        <v>56</v>
      </c>
      <c r="J2104" s="4">
        <v>0</v>
      </c>
      <c r="K2104" s="4">
        <v>0</v>
      </c>
      <c r="L2104" s="4">
        <f>J2104+K2104</f>
        <v>0</v>
      </c>
      <c r="M2104" s="4" t="s">
        <v>370</v>
      </c>
      <c r="N2104" s="4"/>
      <c r="O2104" s="4">
        <v>1</v>
      </c>
      <c r="P2104" s="4" t="s">
        <v>135</v>
      </c>
      <c r="Q2104" s="4" t="s">
        <v>44</v>
      </c>
      <c r="R2104" s="7">
        <v>500000</v>
      </c>
      <c r="S2104" s="7">
        <v>0</v>
      </c>
      <c r="T2104" s="7">
        <f>R2104-S2104</f>
        <v>0</v>
      </c>
      <c r="U2104" s="7">
        <f>T2104*O2104</f>
        <v>0</v>
      </c>
    </row>
    <row r="2105" spans="1:21">
      <c r="A2105" s="4" t="s">
        <v>3091</v>
      </c>
      <c r="B2105" s="4" t="s">
        <v>39</v>
      </c>
      <c r="C2105" s="5">
        <v>45953.05388888889</v>
      </c>
      <c r="D2105" s="5">
        <v>45953</v>
      </c>
      <c r="E2105" s="6">
        <f>IF(AND(C2105&lt;&gt;"",D2105&lt;&gt;""),D2105-C2105,"")</f>
        <v>0</v>
      </c>
      <c r="F2105" s="4" t="s">
        <v>3092</v>
      </c>
      <c r="G2105" s="4" t="s">
        <v>3093</v>
      </c>
      <c r="H2105" s="4" t="s">
        <v>190</v>
      </c>
      <c r="I2105" s="4" t="s">
        <v>56</v>
      </c>
      <c r="J2105" s="4">
        <v>1</v>
      </c>
      <c r="K2105" s="4">
        <v>0</v>
      </c>
      <c r="L2105" s="4">
        <f>J2105+K2105</f>
        <v>0</v>
      </c>
      <c r="M2105" s="4" t="s">
        <v>42</v>
      </c>
      <c r="N2105" s="4"/>
      <c r="O2105" s="4">
        <v>1</v>
      </c>
      <c r="P2105" s="4" t="s">
        <v>135</v>
      </c>
      <c r="Q2105" s="4" t="s">
        <v>44</v>
      </c>
      <c r="R2105" s="7">
        <v>370000</v>
      </c>
      <c r="S2105" s="7">
        <v>0</v>
      </c>
      <c r="T2105" s="7">
        <f>R2105-S2105</f>
        <v>0</v>
      </c>
      <c r="U2105" s="7">
        <f>T2105*O2105</f>
        <v>0</v>
      </c>
    </row>
    <row r="2106" spans="1:21">
      <c r="A2106" s="4" t="s">
        <v>3091</v>
      </c>
      <c r="B2106" s="4" t="s">
        <v>39</v>
      </c>
      <c r="C2106" s="5">
        <v>45953.05388888889</v>
      </c>
      <c r="D2106" s="5">
        <v>45953</v>
      </c>
      <c r="E2106" s="6">
        <f>IF(AND(C2106&lt;&gt;"",D2106&lt;&gt;""),D2106-C2106,"")</f>
        <v>0</v>
      </c>
      <c r="F2106" s="4" t="s">
        <v>3092</v>
      </c>
      <c r="G2106" s="4" t="s">
        <v>3093</v>
      </c>
      <c r="H2106" s="4" t="s">
        <v>190</v>
      </c>
      <c r="I2106" s="4" t="s">
        <v>56</v>
      </c>
      <c r="J2106" s="4">
        <v>2</v>
      </c>
      <c r="K2106" s="4">
        <v>0</v>
      </c>
      <c r="L2106" s="4">
        <f>J2106+K2106</f>
        <v>0</v>
      </c>
      <c r="M2106" s="4" t="s">
        <v>80</v>
      </c>
      <c r="N2106" s="4"/>
      <c r="O2106" s="4">
        <v>2</v>
      </c>
      <c r="P2106" s="4" t="s">
        <v>135</v>
      </c>
      <c r="Q2106" s="4" t="s">
        <v>44</v>
      </c>
      <c r="R2106" s="7">
        <v>610000</v>
      </c>
      <c r="S2106" s="7">
        <v>0</v>
      </c>
      <c r="T2106" s="7">
        <f>R2106-S2106</f>
        <v>0</v>
      </c>
      <c r="U2106" s="7">
        <f>T2106*O2106</f>
        <v>0</v>
      </c>
    </row>
    <row r="2107" spans="1:21">
      <c r="A2107" s="4" t="s">
        <v>3094</v>
      </c>
      <c r="B2107" s="4" t="s">
        <v>39</v>
      </c>
      <c r="C2107" s="5">
        <v>45953.0555787037</v>
      </c>
      <c r="D2107" s="5">
        <v>45953</v>
      </c>
      <c r="E2107" s="6">
        <f>IF(AND(C2107&lt;&gt;"",D2107&lt;&gt;""),D2107-C2107,"")</f>
        <v>0</v>
      </c>
      <c r="F2107" s="4" t="s">
        <v>162</v>
      </c>
      <c r="G2107" s="4" t="s">
        <v>163</v>
      </c>
      <c r="H2107" s="4" t="s">
        <v>32</v>
      </c>
      <c r="I2107" s="4" t="s">
        <v>33</v>
      </c>
      <c r="J2107" s="4">
        <v>1</v>
      </c>
      <c r="K2107" s="4">
        <v>0</v>
      </c>
      <c r="L2107" s="4">
        <f>J2107+K2107</f>
        <v>0</v>
      </c>
      <c r="M2107" s="4" t="s">
        <v>42</v>
      </c>
      <c r="N2107" s="4"/>
      <c r="O2107" s="4">
        <v>1</v>
      </c>
      <c r="P2107" s="4" t="s">
        <v>135</v>
      </c>
      <c r="Q2107" s="4" t="s">
        <v>44</v>
      </c>
      <c r="R2107" s="7">
        <v>370000</v>
      </c>
      <c r="S2107" s="7">
        <v>0</v>
      </c>
      <c r="T2107" s="7">
        <f>R2107-S2107</f>
        <v>0</v>
      </c>
      <c r="U2107" s="7">
        <f>T2107*O2107</f>
        <v>0</v>
      </c>
    </row>
    <row r="2108" spans="1:21">
      <c r="A2108" s="4" t="s">
        <v>3095</v>
      </c>
      <c r="B2108" s="4" t="s">
        <v>39</v>
      </c>
      <c r="C2108" s="5">
        <v>45953.05594907407</v>
      </c>
      <c r="D2108" s="5">
        <v>45953</v>
      </c>
      <c r="E2108" s="6">
        <f>IF(AND(C2108&lt;&gt;"",D2108&lt;&gt;""),D2108-C2108,"")</f>
        <v>0</v>
      </c>
      <c r="F2108" s="4" t="s">
        <v>3096</v>
      </c>
      <c r="G2108" s="4" t="s">
        <v>3097</v>
      </c>
      <c r="H2108" s="4" t="s">
        <v>32</v>
      </c>
      <c r="I2108" s="4" t="s">
        <v>33</v>
      </c>
      <c r="J2108" s="4">
        <v>0</v>
      </c>
      <c r="K2108" s="4">
        <v>0</v>
      </c>
      <c r="L2108" s="4">
        <f>J2108+K2108</f>
        <v>0</v>
      </c>
      <c r="M2108" s="4" t="s">
        <v>370</v>
      </c>
      <c r="N2108" s="4"/>
      <c r="O2108" s="4">
        <v>1</v>
      </c>
      <c r="P2108" s="4" t="s">
        <v>135</v>
      </c>
      <c r="Q2108" s="4" t="s">
        <v>44</v>
      </c>
      <c r="R2108" s="7">
        <v>500000</v>
      </c>
      <c r="S2108" s="7">
        <v>0</v>
      </c>
      <c r="T2108" s="7">
        <f>R2108-S2108</f>
        <v>0</v>
      </c>
      <c r="U2108" s="7">
        <f>T2108*O2108</f>
        <v>0</v>
      </c>
    </row>
    <row r="2109" spans="1:21">
      <c r="A2109" s="4" t="s">
        <v>3098</v>
      </c>
      <c r="B2109" s="4" t="s">
        <v>39</v>
      </c>
      <c r="C2109" s="5">
        <v>45953.07297453703</v>
      </c>
      <c r="D2109" s="5">
        <v>45953</v>
      </c>
      <c r="E2109" s="6">
        <f>IF(AND(C2109&lt;&gt;"",D2109&lt;&gt;""),D2109-C2109,"")</f>
        <v>0</v>
      </c>
      <c r="F2109" s="4" t="s">
        <v>3099</v>
      </c>
      <c r="G2109" s="4" t="s">
        <v>3100</v>
      </c>
      <c r="H2109" s="4" t="s">
        <v>32</v>
      </c>
      <c r="I2109" s="4" t="s">
        <v>33</v>
      </c>
      <c r="J2109" s="4">
        <v>0</v>
      </c>
      <c r="K2109" s="4">
        <v>0</v>
      </c>
      <c r="L2109" s="4">
        <f>J2109+K2109</f>
        <v>0</v>
      </c>
      <c r="M2109" s="4" t="s">
        <v>370</v>
      </c>
      <c r="N2109" s="4"/>
      <c r="O2109" s="4">
        <v>1</v>
      </c>
      <c r="P2109" s="4" t="s">
        <v>135</v>
      </c>
      <c r="Q2109" s="4" t="s">
        <v>44</v>
      </c>
      <c r="R2109" s="7">
        <v>3000000</v>
      </c>
      <c r="S2109" s="7">
        <v>0</v>
      </c>
      <c r="T2109" s="7">
        <f>R2109-S2109</f>
        <v>0</v>
      </c>
      <c r="U2109" s="7">
        <f>T2109*O2109</f>
        <v>0</v>
      </c>
    </row>
    <row r="2110" spans="1:21">
      <c r="A2110" s="4" t="s">
        <v>3101</v>
      </c>
      <c r="B2110" s="4" t="s">
        <v>39</v>
      </c>
      <c r="C2110" s="5">
        <v>45953.08125</v>
      </c>
      <c r="D2110" s="5">
        <v>45953</v>
      </c>
      <c r="E2110" s="6">
        <f>IF(AND(C2110&lt;&gt;"",D2110&lt;&gt;""),D2110-C2110,"")</f>
        <v>0</v>
      </c>
      <c r="F2110" s="4" t="s">
        <v>3102</v>
      </c>
      <c r="G2110" s="4" t="s">
        <v>3103</v>
      </c>
      <c r="H2110" s="4" t="s">
        <v>32</v>
      </c>
      <c r="I2110" s="4" t="s">
        <v>33</v>
      </c>
      <c r="J2110" s="4">
        <v>2</v>
      </c>
      <c r="K2110" s="4">
        <v>0</v>
      </c>
      <c r="L2110" s="4">
        <f>J2110+K2110</f>
        <v>0</v>
      </c>
      <c r="M2110" s="4" t="s">
        <v>42</v>
      </c>
      <c r="N2110" s="4"/>
      <c r="O2110" s="4">
        <v>2</v>
      </c>
      <c r="P2110" s="4" t="s">
        <v>43</v>
      </c>
      <c r="Q2110" s="4" t="s">
        <v>44</v>
      </c>
      <c r="R2110" s="7">
        <v>370000</v>
      </c>
      <c r="S2110" s="7">
        <v>370000</v>
      </c>
      <c r="T2110" s="7">
        <f>R2110-S2110</f>
        <v>0</v>
      </c>
      <c r="U2110" s="7">
        <f>T2110*O2110</f>
        <v>0</v>
      </c>
    </row>
    <row r="2111" spans="1:21">
      <c r="A2111" s="4" t="s">
        <v>3104</v>
      </c>
      <c r="B2111" s="4" t="s">
        <v>48</v>
      </c>
      <c r="C2111" s="5">
        <v>45953.08594907408</v>
      </c>
      <c r="D2111" s="5">
        <v>45961</v>
      </c>
      <c r="E2111" s="6">
        <f>IF(AND(C2111&lt;&gt;"",D2111&lt;&gt;""),D2111-C2111,"")</f>
        <v>0</v>
      </c>
      <c r="F2111" s="4" t="s">
        <v>3105</v>
      </c>
      <c r="G2111" s="4" t="s">
        <v>3106</v>
      </c>
      <c r="H2111" s="4" t="s">
        <v>190</v>
      </c>
      <c r="I2111" s="4" t="s">
        <v>56</v>
      </c>
      <c r="J2111" s="4">
        <v>3</v>
      </c>
      <c r="K2111" s="4">
        <v>0</v>
      </c>
      <c r="L2111" s="4">
        <f>J2111+K2111</f>
        <v>0</v>
      </c>
      <c r="M2111" s="4"/>
      <c r="N2111" s="4"/>
      <c r="O2111" s="4">
        <v>0</v>
      </c>
      <c r="P2111" s="4"/>
      <c r="Q2111" s="4"/>
      <c r="R2111" s="7">
        <v>0</v>
      </c>
      <c r="S2111" s="7">
        <v>0</v>
      </c>
      <c r="T2111" s="7">
        <f>R2111-S2111</f>
        <v>0</v>
      </c>
      <c r="U2111" s="7">
        <f>T2111*O2111</f>
        <v>0</v>
      </c>
    </row>
    <row r="2112" spans="1:21">
      <c r="A2112" s="4" t="s">
        <v>3107</v>
      </c>
      <c r="B2112" s="4" t="s">
        <v>48</v>
      </c>
      <c r="C2112" s="5">
        <v>45953.0903125</v>
      </c>
      <c r="D2112" s="5">
        <v>45961</v>
      </c>
      <c r="E2112" s="6">
        <f>IF(AND(C2112&lt;&gt;"",D2112&lt;&gt;""),D2112-C2112,"")</f>
        <v>0</v>
      </c>
      <c r="F2112" s="4" t="s">
        <v>3108</v>
      </c>
      <c r="G2112" s="4" t="s">
        <v>3109</v>
      </c>
      <c r="H2112" s="4" t="s">
        <v>190</v>
      </c>
      <c r="I2112" s="4" t="s">
        <v>56</v>
      </c>
      <c r="J2112" s="4">
        <v>5</v>
      </c>
      <c r="K2112" s="4">
        <v>0</v>
      </c>
      <c r="L2112" s="4">
        <f>J2112+K2112</f>
        <v>0</v>
      </c>
      <c r="M2112" s="4"/>
      <c r="N2112" s="4"/>
      <c r="O2112" s="4">
        <v>0</v>
      </c>
      <c r="P2112" s="4"/>
      <c r="Q2112" s="4"/>
      <c r="R2112" s="7">
        <v>0</v>
      </c>
      <c r="S2112" s="7">
        <v>0</v>
      </c>
      <c r="T2112" s="7">
        <f>R2112-S2112</f>
        <v>0</v>
      </c>
      <c r="U2112" s="7">
        <f>T2112*O2112</f>
        <v>0</v>
      </c>
    </row>
    <row r="2113" spans="1:21">
      <c r="A2113" s="4" t="s">
        <v>3110</v>
      </c>
      <c r="B2113" s="4" t="s">
        <v>39</v>
      </c>
      <c r="C2113" s="5">
        <v>45953.10545138889</v>
      </c>
      <c r="D2113" s="5">
        <v>45953</v>
      </c>
      <c r="E2113" s="6">
        <f>IF(AND(C2113&lt;&gt;"",D2113&lt;&gt;""),D2113-C2113,"")</f>
        <v>0</v>
      </c>
      <c r="F2113" s="4" t="s">
        <v>3111</v>
      </c>
      <c r="G2113" s="4" t="s">
        <v>3112</v>
      </c>
      <c r="H2113" s="4" t="s">
        <v>32</v>
      </c>
      <c r="I2113" s="4" t="s">
        <v>33</v>
      </c>
      <c r="J2113" s="4">
        <v>2</v>
      </c>
      <c r="K2113" s="4">
        <v>0</v>
      </c>
      <c r="L2113" s="4">
        <f>J2113+K2113</f>
        <v>0</v>
      </c>
      <c r="M2113" s="4" t="s">
        <v>42</v>
      </c>
      <c r="N2113" s="4"/>
      <c r="O2113" s="4">
        <v>2</v>
      </c>
      <c r="P2113" s="4" t="s">
        <v>135</v>
      </c>
      <c r="Q2113" s="4" t="s">
        <v>44</v>
      </c>
      <c r="R2113" s="7">
        <v>370000</v>
      </c>
      <c r="S2113" s="7">
        <v>0</v>
      </c>
      <c r="T2113" s="7">
        <f>R2113-S2113</f>
        <v>0</v>
      </c>
      <c r="U2113" s="7">
        <f>T2113*O2113</f>
        <v>0</v>
      </c>
    </row>
    <row r="2114" spans="1:21">
      <c r="A2114" s="4" t="s">
        <v>3113</v>
      </c>
      <c r="B2114" s="4" t="s">
        <v>39</v>
      </c>
      <c r="C2114" s="5">
        <v>45953.11277777778</v>
      </c>
      <c r="D2114" s="5">
        <v>45953</v>
      </c>
      <c r="E2114" s="6">
        <f>IF(AND(C2114&lt;&gt;"",D2114&lt;&gt;""),D2114-C2114,"")</f>
        <v>0</v>
      </c>
      <c r="F2114" s="4" t="s">
        <v>3114</v>
      </c>
      <c r="G2114" s="4" t="s">
        <v>3115</v>
      </c>
      <c r="H2114" s="4" t="s">
        <v>32</v>
      </c>
      <c r="I2114" s="4" t="s">
        <v>33</v>
      </c>
      <c r="J2114" s="4">
        <v>0</v>
      </c>
      <c r="K2114" s="4">
        <v>0</v>
      </c>
      <c r="L2114" s="4">
        <f>J2114+K2114</f>
        <v>0</v>
      </c>
      <c r="M2114" s="4" t="s">
        <v>370</v>
      </c>
      <c r="N2114" s="4"/>
      <c r="O2114" s="4">
        <v>1</v>
      </c>
      <c r="P2114" s="4" t="s">
        <v>135</v>
      </c>
      <c r="Q2114" s="4" t="s">
        <v>44</v>
      </c>
      <c r="R2114" s="7">
        <v>1000000</v>
      </c>
      <c r="S2114" s="7">
        <v>0</v>
      </c>
      <c r="T2114" s="7">
        <f>R2114-S2114</f>
        <v>0</v>
      </c>
      <c r="U2114" s="7">
        <f>T2114*O2114</f>
        <v>0</v>
      </c>
    </row>
    <row r="2115" spans="1:21">
      <c r="A2115" s="4" t="s">
        <v>3116</v>
      </c>
      <c r="B2115" s="4" t="s">
        <v>39</v>
      </c>
      <c r="C2115" s="5">
        <v>45953.11313657407</v>
      </c>
      <c r="D2115" s="5">
        <v>45953</v>
      </c>
      <c r="E2115" s="6">
        <f>IF(AND(C2115&lt;&gt;"",D2115&lt;&gt;""),D2115-C2115,"")</f>
        <v>0</v>
      </c>
      <c r="F2115" s="4" t="s">
        <v>1487</v>
      </c>
      <c r="G2115" s="4" t="s">
        <v>1488</v>
      </c>
      <c r="H2115" s="4" t="s">
        <v>32</v>
      </c>
      <c r="I2115" s="4" t="s">
        <v>33</v>
      </c>
      <c r="J2115" s="4">
        <v>0</v>
      </c>
      <c r="K2115" s="4">
        <v>0</v>
      </c>
      <c r="L2115" s="4">
        <f>J2115+K2115</f>
        <v>0</v>
      </c>
      <c r="M2115" s="4" t="s">
        <v>370</v>
      </c>
      <c r="N2115" s="4"/>
      <c r="O2115" s="4">
        <v>1</v>
      </c>
      <c r="P2115" s="4" t="s">
        <v>135</v>
      </c>
      <c r="Q2115" s="4" t="s">
        <v>44</v>
      </c>
      <c r="R2115" s="7">
        <v>1000000</v>
      </c>
      <c r="S2115" s="7">
        <v>0</v>
      </c>
      <c r="T2115" s="7">
        <f>R2115-S2115</f>
        <v>0</v>
      </c>
      <c r="U2115" s="7">
        <f>T2115*O2115</f>
        <v>0</v>
      </c>
    </row>
    <row r="2116" spans="1:21">
      <c r="A2116" s="4" t="s">
        <v>3117</v>
      </c>
      <c r="B2116" s="4" t="s">
        <v>39</v>
      </c>
      <c r="C2116" s="5">
        <v>45953.1134837963</v>
      </c>
      <c r="D2116" s="5">
        <v>45953</v>
      </c>
      <c r="E2116" s="6">
        <f>IF(AND(C2116&lt;&gt;"",D2116&lt;&gt;""),D2116-C2116,"")</f>
        <v>0</v>
      </c>
      <c r="F2116" s="4" t="s">
        <v>2930</v>
      </c>
      <c r="G2116" s="4" t="s">
        <v>2931</v>
      </c>
      <c r="H2116" s="4" t="s">
        <v>32</v>
      </c>
      <c r="I2116" s="4" t="s">
        <v>33</v>
      </c>
      <c r="J2116" s="4">
        <v>0</v>
      </c>
      <c r="K2116" s="4">
        <v>0</v>
      </c>
      <c r="L2116" s="4">
        <f>J2116+K2116</f>
        <v>0</v>
      </c>
      <c r="M2116" s="4" t="s">
        <v>370</v>
      </c>
      <c r="N2116" s="4"/>
      <c r="O2116" s="4">
        <v>1</v>
      </c>
      <c r="P2116" s="4" t="s">
        <v>135</v>
      </c>
      <c r="Q2116" s="4" t="s">
        <v>44</v>
      </c>
      <c r="R2116" s="7">
        <v>1000000</v>
      </c>
      <c r="S2116" s="7">
        <v>0</v>
      </c>
      <c r="T2116" s="7">
        <f>R2116-S2116</f>
        <v>0</v>
      </c>
      <c r="U2116" s="7">
        <f>T2116*O2116</f>
        <v>0</v>
      </c>
    </row>
    <row r="2117" spans="1:21">
      <c r="A2117" s="4" t="s">
        <v>3118</v>
      </c>
      <c r="B2117" s="4" t="s">
        <v>39</v>
      </c>
      <c r="C2117" s="5">
        <v>45953.11380787037</v>
      </c>
      <c r="D2117" s="5">
        <v>45953</v>
      </c>
      <c r="E2117" s="6">
        <f>IF(AND(C2117&lt;&gt;"",D2117&lt;&gt;""),D2117-C2117,"")</f>
        <v>0</v>
      </c>
      <c r="F2117" s="4" t="s">
        <v>2933</v>
      </c>
      <c r="G2117" s="4" t="s">
        <v>2934</v>
      </c>
      <c r="H2117" s="4" t="s">
        <v>32</v>
      </c>
      <c r="I2117" s="4" t="s">
        <v>33</v>
      </c>
      <c r="J2117" s="4">
        <v>0</v>
      </c>
      <c r="K2117" s="4">
        <v>0</v>
      </c>
      <c r="L2117" s="4">
        <f>J2117+K2117</f>
        <v>0</v>
      </c>
      <c r="M2117" s="4" t="s">
        <v>370</v>
      </c>
      <c r="N2117" s="4"/>
      <c r="O2117" s="4">
        <v>1</v>
      </c>
      <c r="P2117" s="4" t="s">
        <v>135</v>
      </c>
      <c r="Q2117" s="4" t="s">
        <v>44</v>
      </c>
      <c r="R2117" s="7">
        <v>1000000</v>
      </c>
      <c r="S2117" s="7">
        <v>0</v>
      </c>
      <c r="T2117" s="7">
        <f>R2117-S2117</f>
        <v>0</v>
      </c>
      <c r="U2117" s="7">
        <f>T2117*O2117</f>
        <v>0</v>
      </c>
    </row>
    <row r="2118" spans="1:21">
      <c r="A2118" s="4" t="s">
        <v>3119</v>
      </c>
      <c r="B2118" s="4" t="s">
        <v>39</v>
      </c>
      <c r="C2118" s="5">
        <v>45953.11475694444</v>
      </c>
      <c r="D2118" s="5">
        <v>45953</v>
      </c>
      <c r="E2118" s="6">
        <f>IF(AND(C2118&lt;&gt;"",D2118&lt;&gt;""),D2118-C2118,"")</f>
        <v>0</v>
      </c>
      <c r="F2118" s="4" t="s">
        <v>2887</v>
      </c>
      <c r="G2118" s="4" t="s">
        <v>2888</v>
      </c>
      <c r="H2118" s="4" t="s">
        <v>32</v>
      </c>
      <c r="I2118" s="4" t="s">
        <v>33</v>
      </c>
      <c r="J2118" s="4">
        <v>0</v>
      </c>
      <c r="K2118" s="4">
        <v>0</v>
      </c>
      <c r="L2118" s="4">
        <f>J2118+K2118</f>
        <v>0</v>
      </c>
      <c r="M2118" s="4" t="s">
        <v>370</v>
      </c>
      <c r="N2118" s="4"/>
      <c r="O2118" s="4">
        <v>1</v>
      </c>
      <c r="P2118" s="4" t="s">
        <v>135</v>
      </c>
      <c r="Q2118" s="4" t="s">
        <v>44</v>
      </c>
      <c r="R2118" s="7">
        <v>1000000</v>
      </c>
      <c r="S2118" s="7">
        <v>0</v>
      </c>
      <c r="T2118" s="7">
        <f>R2118-S2118</f>
        <v>0</v>
      </c>
      <c r="U2118" s="7">
        <f>T2118*O2118</f>
        <v>0</v>
      </c>
    </row>
    <row r="2119" spans="1:21">
      <c r="A2119" s="4" t="s">
        <v>3120</v>
      </c>
      <c r="B2119" s="4" t="s">
        <v>48</v>
      </c>
      <c r="C2119" s="5">
        <v>45953.12020833333</v>
      </c>
      <c r="D2119" s="5">
        <v>45961</v>
      </c>
      <c r="E2119" s="6">
        <f>IF(AND(C2119&lt;&gt;"",D2119&lt;&gt;""),D2119-C2119,"")</f>
        <v>0</v>
      </c>
      <c r="F2119" s="4" t="s">
        <v>3121</v>
      </c>
      <c r="G2119" s="4" t="s">
        <v>3122</v>
      </c>
      <c r="H2119" s="4" t="s">
        <v>32</v>
      </c>
      <c r="I2119" s="4" t="s">
        <v>33</v>
      </c>
      <c r="J2119" s="4">
        <v>5</v>
      </c>
      <c r="K2119" s="4">
        <v>0</v>
      </c>
      <c r="L2119" s="4">
        <f>J2119+K2119</f>
        <v>0</v>
      </c>
      <c r="M2119" s="4"/>
      <c r="N2119" s="4"/>
      <c r="O2119" s="4">
        <v>0</v>
      </c>
      <c r="P2119" s="4"/>
      <c r="Q2119" s="4"/>
      <c r="R2119" s="7">
        <v>0</v>
      </c>
      <c r="S2119" s="7">
        <v>0</v>
      </c>
      <c r="T2119" s="7">
        <f>R2119-S2119</f>
        <v>0</v>
      </c>
      <c r="U2119" s="7">
        <f>T2119*O2119</f>
        <v>0</v>
      </c>
    </row>
    <row r="2120" spans="1:21">
      <c r="A2120" s="4" t="s">
        <v>3123</v>
      </c>
      <c r="B2120" s="4" t="s">
        <v>48</v>
      </c>
      <c r="C2120" s="5">
        <v>45953.12385416667</v>
      </c>
      <c r="D2120" s="5">
        <v>45961</v>
      </c>
      <c r="E2120" s="6">
        <f>IF(AND(C2120&lt;&gt;"",D2120&lt;&gt;""),D2120-C2120,"")</f>
        <v>0</v>
      </c>
      <c r="F2120" s="4" t="s">
        <v>3124</v>
      </c>
      <c r="G2120" s="4" t="s">
        <v>3125</v>
      </c>
      <c r="H2120" s="4" t="s">
        <v>32</v>
      </c>
      <c r="I2120" s="4" t="s">
        <v>33</v>
      </c>
      <c r="J2120" s="4">
        <v>5</v>
      </c>
      <c r="K2120" s="4">
        <v>0</v>
      </c>
      <c r="L2120" s="4">
        <f>J2120+K2120</f>
        <v>0</v>
      </c>
      <c r="M2120" s="4"/>
      <c r="N2120" s="4"/>
      <c r="O2120" s="4">
        <v>0</v>
      </c>
      <c r="P2120" s="4"/>
      <c r="Q2120" s="4"/>
      <c r="R2120" s="7">
        <v>0</v>
      </c>
      <c r="S2120" s="7">
        <v>0</v>
      </c>
      <c r="T2120" s="7">
        <f>R2120-S2120</f>
        <v>0</v>
      </c>
      <c r="U2120" s="7">
        <f>T2120*O2120</f>
        <v>0</v>
      </c>
    </row>
    <row r="2121" spans="1:21">
      <c r="A2121" s="4" t="s">
        <v>3126</v>
      </c>
      <c r="B2121" s="4" t="s">
        <v>48</v>
      </c>
      <c r="C2121" s="5">
        <v>45953.12524305555</v>
      </c>
      <c r="D2121" s="5">
        <v>45961</v>
      </c>
      <c r="E2121" s="6">
        <f>IF(AND(C2121&lt;&gt;"",D2121&lt;&gt;""),D2121-C2121,"")</f>
        <v>0</v>
      </c>
      <c r="F2121" s="4" t="s">
        <v>3127</v>
      </c>
      <c r="G2121" s="4" t="s">
        <v>3128</v>
      </c>
      <c r="H2121" s="4" t="s">
        <v>32</v>
      </c>
      <c r="I2121" s="4" t="s">
        <v>33</v>
      </c>
      <c r="J2121" s="4">
        <v>5</v>
      </c>
      <c r="K2121" s="4">
        <v>0</v>
      </c>
      <c r="L2121" s="4">
        <f>J2121+K2121</f>
        <v>0</v>
      </c>
      <c r="M2121" s="4"/>
      <c r="N2121" s="4"/>
      <c r="O2121" s="4">
        <v>0</v>
      </c>
      <c r="P2121" s="4"/>
      <c r="Q2121" s="4"/>
      <c r="R2121" s="7">
        <v>0</v>
      </c>
      <c r="S2121" s="7">
        <v>0</v>
      </c>
      <c r="T2121" s="7">
        <f>R2121-S2121</f>
        <v>0</v>
      </c>
      <c r="U2121" s="7">
        <f>T2121*O2121</f>
        <v>0</v>
      </c>
    </row>
    <row r="2122" spans="1:21">
      <c r="A2122" s="4" t="s">
        <v>3129</v>
      </c>
      <c r="B2122" s="4" t="s">
        <v>39</v>
      </c>
      <c r="C2122" s="5">
        <v>45953.14559027777</v>
      </c>
      <c r="D2122" s="5">
        <v>45953</v>
      </c>
      <c r="E2122" s="6">
        <f>IF(AND(C2122&lt;&gt;"",D2122&lt;&gt;""),D2122-C2122,"")</f>
        <v>0</v>
      </c>
      <c r="F2122" s="4" t="s">
        <v>3130</v>
      </c>
      <c r="G2122" s="4" t="s">
        <v>3131</v>
      </c>
      <c r="H2122" s="4" t="s">
        <v>190</v>
      </c>
      <c r="I2122" s="4" t="s">
        <v>56</v>
      </c>
      <c r="J2122" s="4">
        <v>1</v>
      </c>
      <c r="K2122" s="4">
        <v>0</v>
      </c>
      <c r="L2122" s="4">
        <f>J2122+K2122</f>
        <v>0</v>
      </c>
      <c r="M2122" s="4" t="s">
        <v>1645</v>
      </c>
      <c r="N2122" s="4"/>
      <c r="O2122" s="4">
        <v>1</v>
      </c>
      <c r="P2122" s="4" t="s">
        <v>135</v>
      </c>
      <c r="Q2122" s="4" t="s">
        <v>44</v>
      </c>
      <c r="R2122" s="7">
        <v>2100000</v>
      </c>
      <c r="S2122" s="7">
        <v>0</v>
      </c>
      <c r="T2122" s="7">
        <f>R2122-S2122</f>
        <v>0</v>
      </c>
      <c r="U2122" s="7">
        <f>T2122*O2122</f>
        <v>0</v>
      </c>
    </row>
    <row r="2123" spans="1:21">
      <c r="A2123" s="4" t="s">
        <v>3129</v>
      </c>
      <c r="B2123" s="4" t="s">
        <v>39</v>
      </c>
      <c r="C2123" s="5">
        <v>45953.14559027777</v>
      </c>
      <c r="D2123" s="5">
        <v>45953</v>
      </c>
      <c r="E2123" s="6">
        <f>IF(AND(C2123&lt;&gt;"",D2123&lt;&gt;""),D2123-C2123,"")</f>
        <v>0</v>
      </c>
      <c r="F2123" s="4" t="s">
        <v>3130</v>
      </c>
      <c r="G2123" s="4" t="s">
        <v>3131</v>
      </c>
      <c r="H2123" s="4" t="s">
        <v>190</v>
      </c>
      <c r="I2123" s="4" t="s">
        <v>56</v>
      </c>
      <c r="J2123" s="4">
        <v>0</v>
      </c>
      <c r="K2123" s="4">
        <v>0</v>
      </c>
      <c r="L2123" s="4">
        <f>J2123+K2123</f>
        <v>0</v>
      </c>
      <c r="M2123" s="4" t="s">
        <v>370</v>
      </c>
      <c r="N2123" s="4"/>
      <c r="O2123" s="4">
        <v>1</v>
      </c>
      <c r="P2123" s="4" t="s">
        <v>135</v>
      </c>
      <c r="Q2123" s="4" t="s">
        <v>44</v>
      </c>
      <c r="R2123" s="7">
        <v>5000000</v>
      </c>
      <c r="S2123" s="7">
        <v>0</v>
      </c>
      <c r="T2123" s="7">
        <f>R2123-S2123</f>
        <v>0</v>
      </c>
      <c r="U2123" s="7">
        <f>T2123*O2123</f>
        <v>0</v>
      </c>
    </row>
    <row r="2124" spans="1:21">
      <c r="A2124" s="4" t="s">
        <v>3132</v>
      </c>
      <c r="B2124" s="4" t="s">
        <v>39</v>
      </c>
      <c r="C2124" s="5">
        <v>45953.15615740741</v>
      </c>
      <c r="D2124" s="5">
        <v>45953</v>
      </c>
      <c r="E2124" s="6">
        <f>IF(AND(C2124&lt;&gt;"",D2124&lt;&gt;""),D2124-C2124,"")</f>
        <v>0</v>
      </c>
      <c r="F2124" s="4" t="s">
        <v>3133</v>
      </c>
      <c r="G2124" s="4" t="s">
        <v>3134</v>
      </c>
      <c r="H2124" s="4" t="s">
        <v>787</v>
      </c>
      <c r="I2124" s="4" t="s">
        <v>56</v>
      </c>
      <c r="J2124" s="4">
        <v>0</v>
      </c>
      <c r="K2124" s="4">
        <v>0</v>
      </c>
      <c r="L2124" s="4">
        <f>J2124+K2124</f>
        <v>0</v>
      </c>
      <c r="M2124" s="4" t="s">
        <v>370</v>
      </c>
      <c r="N2124" s="4"/>
      <c r="O2124" s="4">
        <v>1</v>
      </c>
      <c r="P2124" s="4" t="s">
        <v>135</v>
      </c>
      <c r="Q2124" s="4" t="s">
        <v>44</v>
      </c>
      <c r="R2124" s="7">
        <v>500000</v>
      </c>
      <c r="S2124" s="7">
        <v>0</v>
      </c>
      <c r="T2124" s="7">
        <f>R2124-S2124</f>
        <v>0</v>
      </c>
      <c r="U2124" s="7">
        <f>T2124*O2124</f>
        <v>0</v>
      </c>
    </row>
    <row r="2125" spans="1:21">
      <c r="A2125" s="4" t="s">
        <v>3135</v>
      </c>
      <c r="B2125" s="4" t="s">
        <v>39</v>
      </c>
      <c r="C2125" s="5">
        <v>45953.16916666667</v>
      </c>
      <c r="D2125" s="5">
        <v>45953</v>
      </c>
      <c r="E2125" s="6">
        <f>IF(AND(C2125&lt;&gt;"",D2125&lt;&gt;""),D2125-C2125,"")</f>
        <v>0</v>
      </c>
      <c r="F2125" s="4" t="s">
        <v>3136</v>
      </c>
      <c r="G2125" s="4" t="s">
        <v>3137</v>
      </c>
      <c r="H2125" s="4" t="s">
        <v>32</v>
      </c>
      <c r="I2125" s="4" t="s">
        <v>33</v>
      </c>
      <c r="J2125" s="4">
        <v>0</v>
      </c>
      <c r="K2125" s="4">
        <v>0</v>
      </c>
      <c r="L2125" s="4">
        <f>J2125+K2125</f>
        <v>0</v>
      </c>
      <c r="M2125" s="4" t="s">
        <v>370</v>
      </c>
      <c r="N2125" s="4"/>
      <c r="O2125" s="4">
        <v>1</v>
      </c>
      <c r="P2125" s="4" t="s">
        <v>135</v>
      </c>
      <c r="Q2125" s="4"/>
      <c r="R2125" s="7">
        <v>4000000</v>
      </c>
      <c r="S2125" s="7">
        <v>0</v>
      </c>
      <c r="T2125" s="7">
        <f>R2125-S2125</f>
        <v>0</v>
      </c>
      <c r="U2125" s="7">
        <f>T2125*O2125</f>
        <v>0</v>
      </c>
    </row>
    <row r="2126" spans="1:21">
      <c r="A2126" s="4" t="s">
        <v>3138</v>
      </c>
      <c r="B2126" s="4" t="s">
        <v>48</v>
      </c>
      <c r="C2126" s="5">
        <v>45953.19678240741</v>
      </c>
      <c r="D2126" s="5">
        <v>45961</v>
      </c>
      <c r="E2126" s="6">
        <f>IF(AND(C2126&lt;&gt;"",D2126&lt;&gt;""),D2126-C2126,"")</f>
        <v>0</v>
      </c>
      <c r="F2126" s="4" t="s">
        <v>1410</v>
      </c>
      <c r="G2126" s="4" t="s">
        <v>3139</v>
      </c>
      <c r="H2126" s="4" t="s">
        <v>190</v>
      </c>
      <c r="I2126" s="4" t="s">
        <v>56</v>
      </c>
      <c r="J2126" s="4">
        <v>3</v>
      </c>
      <c r="K2126" s="4">
        <v>2</v>
      </c>
      <c r="L2126" s="4">
        <f>J2126+K2126</f>
        <v>0</v>
      </c>
      <c r="M2126" s="4"/>
      <c r="N2126" s="4"/>
      <c r="O2126" s="4">
        <v>0</v>
      </c>
      <c r="P2126" s="4"/>
      <c r="Q2126" s="4"/>
      <c r="R2126" s="7">
        <v>0</v>
      </c>
      <c r="S2126" s="7">
        <v>0</v>
      </c>
      <c r="T2126" s="7">
        <f>R2126-S2126</f>
        <v>0</v>
      </c>
      <c r="U2126" s="7">
        <f>T2126*O2126</f>
        <v>0</v>
      </c>
    </row>
    <row r="2127" spans="1:21">
      <c r="A2127" s="4" t="s">
        <v>3140</v>
      </c>
      <c r="B2127" s="4" t="s">
        <v>39</v>
      </c>
      <c r="C2127" s="5">
        <v>45953.19741898148</v>
      </c>
      <c r="D2127" s="5">
        <v>45953</v>
      </c>
      <c r="E2127" s="6">
        <f>IF(AND(C2127&lt;&gt;"",D2127&lt;&gt;""),D2127-C2127,"")</f>
        <v>0</v>
      </c>
      <c r="F2127" s="4" t="s">
        <v>3141</v>
      </c>
      <c r="G2127" s="4" t="s">
        <v>3142</v>
      </c>
      <c r="H2127" s="4" t="s">
        <v>32</v>
      </c>
      <c r="I2127" s="4" t="s">
        <v>33</v>
      </c>
      <c r="J2127" s="4">
        <v>0</v>
      </c>
      <c r="K2127" s="4">
        <v>0</v>
      </c>
      <c r="L2127" s="4">
        <f>J2127+K2127</f>
        <v>0</v>
      </c>
      <c r="M2127" s="4" t="s">
        <v>370</v>
      </c>
      <c r="N2127" s="4"/>
      <c r="O2127" s="4">
        <v>1</v>
      </c>
      <c r="P2127" s="4" t="s">
        <v>135</v>
      </c>
      <c r="Q2127" s="4" t="s">
        <v>44</v>
      </c>
      <c r="R2127" s="7">
        <v>1000000</v>
      </c>
      <c r="S2127" s="7">
        <v>0</v>
      </c>
      <c r="T2127" s="7">
        <f>R2127-S2127</f>
        <v>0</v>
      </c>
      <c r="U2127" s="7">
        <f>T2127*O2127</f>
        <v>0</v>
      </c>
    </row>
    <row r="2128" spans="1:21">
      <c r="A2128" s="4" t="s">
        <v>3143</v>
      </c>
      <c r="B2128" s="4" t="s">
        <v>48</v>
      </c>
      <c r="C2128" s="5">
        <v>45953.20496527778</v>
      </c>
      <c r="D2128" s="5">
        <v>45961</v>
      </c>
      <c r="E2128" s="6">
        <f>IF(AND(C2128&lt;&gt;"",D2128&lt;&gt;""),D2128-C2128,"")</f>
        <v>0</v>
      </c>
      <c r="F2128" s="4" t="s">
        <v>3144</v>
      </c>
      <c r="G2128" s="4" t="s">
        <v>3145</v>
      </c>
      <c r="H2128" s="4" t="s">
        <v>32</v>
      </c>
      <c r="I2128" s="4" t="s">
        <v>33</v>
      </c>
      <c r="J2128" s="4">
        <v>3</v>
      </c>
      <c r="K2128" s="4">
        <v>0</v>
      </c>
      <c r="L2128" s="4">
        <f>J2128+K2128</f>
        <v>0</v>
      </c>
      <c r="M2128" s="4"/>
      <c r="N2128" s="4"/>
      <c r="O2128" s="4">
        <v>0</v>
      </c>
      <c r="P2128" s="4"/>
      <c r="Q2128" s="4"/>
      <c r="R2128" s="7">
        <v>0</v>
      </c>
      <c r="S2128" s="7">
        <v>0</v>
      </c>
      <c r="T2128" s="7">
        <f>R2128-S2128</f>
        <v>0</v>
      </c>
      <c r="U2128" s="7">
        <f>T2128*O2128</f>
        <v>0</v>
      </c>
    </row>
    <row r="2129" spans="1:21">
      <c r="A2129" s="4" t="s">
        <v>3146</v>
      </c>
      <c r="B2129" s="4" t="s">
        <v>48</v>
      </c>
      <c r="C2129" s="5">
        <v>45953.20681712963</v>
      </c>
      <c r="D2129" s="5">
        <v>45961</v>
      </c>
      <c r="E2129" s="6">
        <f>IF(AND(C2129&lt;&gt;"",D2129&lt;&gt;""),D2129-C2129,"")</f>
        <v>0</v>
      </c>
      <c r="F2129" s="4" t="s">
        <v>3147</v>
      </c>
      <c r="G2129" s="4" t="s">
        <v>3148</v>
      </c>
      <c r="H2129" s="4" t="s">
        <v>32</v>
      </c>
      <c r="I2129" s="4" t="s">
        <v>33</v>
      </c>
      <c r="J2129" s="4">
        <v>5</v>
      </c>
      <c r="K2129" s="4">
        <v>0</v>
      </c>
      <c r="L2129" s="4">
        <f>J2129+K2129</f>
        <v>0</v>
      </c>
      <c r="M2129" s="4"/>
      <c r="N2129" s="4"/>
      <c r="O2129" s="4">
        <v>0</v>
      </c>
      <c r="P2129" s="4"/>
      <c r="Q2129" s="4"/>
      <c r="R2129" s="7">
        <v>0</v>
      </c>
      <c r="S2129" s="7">
        <v>0</v>
      </c>
      <c r="T2129" s="7">
        <f>R2129-S2129</f>
        <v>0</v>
      </c>
      <c r="U2129" s="7">
        <f>T2129*O2129</f>
        <v>0</v>
      </c>
    </row>
    <row r="2130" spans="1:21">
      <c r="A2130" s="4" t="s">
        <v>3149</v>
      </c>
      <c r="B2130" s="4" t="s">
        <v>103</v>
      </c>
      <c r="C2130" s="5">
        <v>45953.21353009259</v>
      </c>
      <c r="D2130" s="5">
        <v>45961</v>
      </c>
      <c r="E2130" s="6">
        <f>IF(AND(C2130&lt;&gt;"",D2130&lt;&gt;""),D2130-C2130,"")</f>
        <v>0</v>
      </c>
      <c r="F2130" s="4" t="s">
        <v>2534</v>
      </c>
      <c r="G2130" s="4" t="s">
        <v>2847</v>
      </c>
      <c r="H2130" s="4" t="s">
        <v>2581</v>
      </c>
      <c r="I2130" s="4" t="s">
        <v>56</v>
      </c>
      <c r="J2130" s="4">
        <v>2</v>
      </c>
      <c r="K2130" s="4">
        <v>0</v>
      </c>
      <c r="L2130" s="4">
        <f>J2130+K2130</f>
        <v>0</v>
      </c>
      <c r="M2130" s="4"/>
      <c r="N2130" s="4"/>
      <c r="O2130" s="4">
        <v>0</v>
      </c>
      <c r="P2130" s="4"/>
      <c r="Q2130" s="4"/>
      <c r="R2130" s="7">
        <v>0</v>
      </c>
      <c r="S2130" s="7">
        <v>0</v>
      </c>
      <c r="T2130" s="7">
        <f>R2130-S2130</f>
        <v>0</v>
      </c>
      <c r="U2130" s="7">
        <f>T2130*O2130</f>
        <v>0</v>
      </c>
    </row>
    <row r="2131" spans="1:21">
      <c r="A2131" s="4" t="s">
        <v>3150</v>
      </c>
      <c r="B2131" s="4" t="s">
        <v>103</v>
      </c>
      <c r="C2131" s="5">
        <v>45953.21878472222</v>
      </c>
      <c r="D2131" s="5">
        <v>45961</v>
      </c>
      <c r="E2131" s="6">
        <f>IF(AND(C2131&lt;&gt;"",D2131&lt;&gt;""),D2131-C2131,"")</f>
        <v>0</v>
      </c>
      <c r="F2131" s="4" t="s">
        <v>3151</v>
      </c>
      <c r="G2131" s="4" t="s">
        <v>3152</v>
      </c>
      <c r="H2131" s="4" t="s">
        <v>1933</v>
      </c>
      <c r="I2131" s="4" t="s">
        <v>56</v>
      </c>
      <c r="J2131" s="4">
        <v>5</v>
      </c>
      <c r="K2131" s="4">
        <v>2</v>
      </c>
      <c r="L2131" s="4">
        <f>J2131+K2131</f>
        <v>0</v>
      </c>
      <c r="M2131" s="4"/>
      <c r="N2131" s="4"/>
      <c r="O2131" s="4">
        <v>0</v>
      </c>
      <c r="P2131" s="4"/>
      <c r="Q2131" s="4"/>
      <c r="R2131" s="7">
        <v>0</v>
      </c>
      <c r="S2131" s="7">
        <v>0</v>
      </c>
      <c r="T2131" s="7">
        <f>R2131-S2131</f>
        <v>0</v>
      </c>
      <c r="U2131" s="7">
        <f>T2131*O2131</f>
        <v>0</v>
      </c>
    </row>
    <row r="2132" spans="1:21">
      <c r="A2132" s="4" t="s">
        <v>3153</v>
      </c>
      <c r="B2132" s="4" t="s">
        <v>103</v>
      </c>
      <c r="C2132" s="5">
        <v>45953.21884259259</v>
      </c>
      <c r="D2132" s="5">
        <v>45961</v>
      </c>
      <c r="E2132" s="6">
        <f>IF(AND(C2132&lt;&gt;"",D2132&lt;&gt;""),D2132-C2132,"")</f>
        <v>0</v>
      </c>
      <c r="F2132" s="4" t="s">
        <v>3154</v>
      </c>
      <c r="G2132" s="4" t="s">
        <v>3155</v>
      </c>
      <c r="H2132" s="4" t="s">
        <v>190</v>
      </c>
      <c r="I2132" s="4" t="s">
        <v>56</v>
      </c>
      <c r="J2132" s="4">
        <v>4</v>
      </c>
      <c r="K2132" s="4">
        <v>2</v>
      </c>
      <c r="L2132" s="4">
        <f>J2132+K2132</f>
        <v>0</v>
      </c>
      <c r="M2132" s="4"/>
      <c r="N2132" s="4"/>
      <c r="O2132" s="4">
        <v>0</v>
      </c>
      <c r="P2132" s="4"/>
      <c r="Q2132" s="4"/>
      <c r="R2132" s="7">
        <v>0</v>
      </c>
      <c r="S2132" s="7">
        <v>0</v>
      </c>
      <c r="T2132" s="7">
        <f>R2132-S2132</f>
        <v>0</v>
      </c>
      <c r="U2132" s="7">
        <f>T2132*O2132</f>
        <v>0</v>
      </c>
    </row>
    <row r="2133" spans="1:21">
      <c r="A2133" s="4" t="s">
        <v>3156</v>
      </c>
      <c r="B2133" s="4" t="s">
        <v>48</v>
      </c>
      <c r="C2133" s="5">
        <v>45953.22446759259</v>
      </c>
      <c r="D2133" s="5">
        <v>45961</v>
      </c>
      <c r="E2133" s="6">
        <f>IF(AND(C2133&lt;&gt;"",D2133&lt;&gt;""),D2133-C2133,"")</f>
        <v>0</v>
      </c>
      <c r="F2133" s="4" t="s">
        <v>64</v>
      </c>
      <c r="G2133" s="4" t="s">
        <v>65</v>
      </c>
      <c r="H2133" s="4" t="s">
        <v>32</v>
      </c>
      <c r="I2133" s="4" t="s">
        <v>33</v>
      </c>
      <c r="J2133" s="4">
        <v>14</v>
      </c>
      <c r="K2133" s="4">
        <v>4</v>
      </c>
      <c r="L2133" s="4">
        <f>J2133+K2133</f>
        <v>0</v>
      </c>
      <c r="M2133" s="4"/>
      <c r="N2133" s="4"/>
      <c r="O2133" s="4">
        <v>0</v>
      </c>
      <c r="P2133" s="4"/>
      <c r="Q2133" s="4"/>
      <c r="R2133" s="7">
        <v>0</v>
      </c>
      <c r="S2133" s="7">
        <v>0</v>
      </c>
      <c r="T2133" s="7">
        <f>R2133-S2133</f>
        <v>0</v>
      </c>
      <c r="U2133" s="7">
        <f>T2133*O2133</f>
        <v>0</v>
      </c>
    </row>
    <row r="2134" spans="1:21">
      <c r="A2134" s="4" t="s">
        <v>3157</v>
      </c>
      <c r="B2134" s="4" t="s">
        <v>103</v>
      </c>
      <c r="C2134" s="5">
        <v>45953.22494212963</v>
      </c>
      <c r="D2134" s="5">
        <v>45961</v>
      </c>
      <c r="E2134" s="6">
        <f>IF(AND(C2134&lt;&gt;"",D2134&lt;&gt;""),D2134-C2134,"")</f>
        <v>0</v>
      </c>
      <c r="F2134" s="4" t="s">
        <v>3158</v>
      </c>
      <c r="G2134" s="4" t="s">
        <v>3159</v>
      </c>
      <c r="H2134" s="4" t="s">
        <v>3160</v>
      </c>
      <c r="I2134" s="4" t="s">
        <v>56</v>
      </c>
      <c r="J2134" s="4">
        <v>1</v>
      </c>
      <c r="K2134" s="4">
        <v>0</v>
      </c>
      <c r="L2134" s="4">
        <f>J2134+K2134</f>
        <v>0</v>
      </c>
      <c r="M2134" s="4"/>
      <c r="N2134" s="4"/>
      <c r="O2134" s="4">
        <v>0</v>
      </c>
      <c r="P2134" s="4"/>
      <c r="Q2134" s="4"/>
      <c r="R2134" s="7">
        <v>0</v>
      </c>
      <c r="S2134" s="7">
        <v>0</v>
      </c>
      <c r="T2134" s="7">
        <f>R2134-S2134</f>
        <v>0</v>
      </c>
      <c r="U2134" s="7">
        <f>T2134*O2134</f>
        <v>0</v>
      </c>
    </row>
    <row r="2135" spans="1:21">
      <c r="A2135" s="4" t="s">
        <v>3161</v>
      </c>
      <c r="B2135" s="4" t="s">
        <v>39</v>
      </c>
      <c r="C2135" s="5">
        <v>45953.24834490741</v>
      </c>
      <c r="D2135" s="5">
        <v>45953</v>
      </c>
      <c r="E2135" s="6">
        <f>IF(AND(C2135&lt;&gt;"",D2135&lt;&gt;""),D2135-C2135,"")</f>
        <v>0</v>
      </c>
      <c r="F2135" s="4" t="s">
        <v>1816</v>
      </c>
      <c r="G2135" s="4" t="s">
        <v>1817</v>
      </c>
      <c r="H2135" s="4" t="s">
        <v>787</v>
      </c>
      <c r="I2135" s="4" t="s">
        <v>56</v>
      </c>
      <c r="J2135" s="4">
        <v>0</v>
      </c>
      <c r="K2135" s="4">
        <v>0</v>
      </c>
      <c r="L2135" s="4">
        <f>J2135+K2135</f>
        <v>0</v>
      </c>
      <c r="M2135" s="4" t="s">
        <v>370</v>
      </c>
      <c r="N2135" s="4"/>
      <c r="O2135" s="4">
        <v>1</v>
      </c>
      <c r="P2135" s="4" t="s">
        <v>135</v>
      </c>
      <c r="Q2135" s="4" t="s">
        <v>44</v>
      </c>
      <c r="R2135" s="7">
        <v>5000000</v>
      </c>
      <c r="S2135" s="7">
        <v>0</v>
      </c>
      <c r="T2135" s="7">
        <f>R2135-S2135</f>
        <v>0</v>
      </c>
      <c r="U2135" s="7">
        <f>T2135*O2135</f>
        <v>0</v>
      </c>
    </row>
    <row r="2136" spans="1:21">
      <c r="A2136" s="4" t="s">
        <v>3161</v>
      </c>
      <c r="B2136" s="4" t="s">
        <v>39</v>
      </c>
      <c r="C2136" s="5">
        <v>45953.24834490741</v>
      </c>
      <c r="D2136" s="5">
        <v>45953</v>
      </c>
      <c r="E2136" s="6">
        <f>IF(AND(C2136&lt;&gt;"",D2136&lt;&gt;""),D2136-C2136,"")</f>
        <v>0</v>
      </c>
      <c r="F2136" s="4" t="s">
        <v>1816</v>
      </c>
      <c r="G2136" s="4" t="s">
        <v>1817</v>
      </c>
      <c r="H2136" s="4" t="s">
        <v>787</v>
      </c>
      <c r="I2136" s="4" t="s">
        <v>56</v>
      </c>
      <c r="J2136" s="4">
        <v>1</v>
      </c>
      <c r="K2136" s="4">
        <v>0</v>
      </c>
      <c r="L2136" s="4">
        <f>J2136+K2136</f>
        <v>0</v>
      </c>
      <c r="M2136" s="4" t="s">
        <v>2291</v>
      </c>
      <c r="N2136" s="4"/>
      <c r="O2136" s="4">
        <v>1</v>
      </c>
      <c r="P2136" s="4" t="s">
        <v>135</v>
      </c>
      <c r="Q2136" s="4" t="s">
        <v>44</v>
      </c>
      <c r="R2136" s="7">
        <v>1300000</v>
      </c>
      <c r="S2136" s="7">
        <v>0</v>
      </c>
      <c r="T2136" s="7">
        <f>R2136-S2136</f>
        <v>0</v>
      </c>
      <c r="U2136" s="7">
        <f>T2136*O2136</f>
        <v>0</v>
      </c>
    </row>
    <row r="2137" spans="1:21">
      <c r="A2137" s="4" t="s">
        <v>3161</v>
      </c>
      <c r="B2137" s="4" t="s">
        <v>39</v>
      </c>
      <c r="C2137" s="5">
        <v>45953.24834490741</v>
      </c>
      <c r="D2137" s="5">
        <v>45953</v>
      </c>
      <c r="E2137" s="6">
        <f>IF(AND(C2137&lt;&gt;"",D2137&lt;&gt;""),D2137-C2137,"")</f>
        <v>0</v>
      </c>
      <c r="F2137" s="4" t="s">
        <v>1816</v>
      </c>
      <c r="G2137" s="4" t="s">
        <v>1817</v>
      </c>
      <c r="H2137" s="4" t="s">
        <v>787</v>
      </c>
      <c r="I2137" s="4" t="s">
        <v>56</v>
      </c>
      <c r="J2137" s="4">
        <v>0</v>
      </c>
      <c r="K2137" s="4">
        <v>0</v>
      </c>
      <c r="L2137" s="4">
        <f>J2137+K2137</f>
        <v>0</v>
      </c>
      <c r="M2137" s="4" t="s">
        <v>42</v>
      </c>
      <c r="N2137" s="4"/>
      <c r="O2137" s="4">
        <v>0</v>
      </c>
      <c r="P2137" s="4" t="s">
        <v>135</v>
      </c>
      <c r="Q2137" s="4" t="s">
        <v>44</v>
      </c>
      <c r="R2137" s="7">
        <v>370000</v>
      </c>
      <c r="S2137" s="7">
        <v>0</v>
      </c>
      <c r="T2137" s="7">
        <f>R2137-S2137</f>
        <v>0</v>
      </c>
      <c r="U2137" s="7">
        <f>T2137*O2137</f>
        <v>0</v>
      </c>
    </row>
    <row r="2138" spans="1:21">
      <c r="A2138" s="4" t="s">
        <v>3161</v>
      </c>
      <c r="B2138" s="4" t="s">
        <v>39</v>
      </c>
      <c r="C2138" s="5">
        <v>45953.24834490741</v>
      </c>
      <c r="D2138" s="5">
        <v>45953</v>
      </c>
      <c r="E2138" s="6">
        <f>IF(AND(C2138&lt;&gt;"",D2138&lt;&gt;""),D2138-C2138,"")</f>
        <v>0</v>
      </c>
      <c r="F2138" s="4" t="s">
        <v>1816</v>
      </c>
      <c r="G2138" s="4" t="s">
        <v>1817</v>
      </c>
      <c r="H2138" s="4" t="s">
        <v>787</v>
      </c>
      <c r="I2138" s="4" t="s">
        <v>56</v>
      </c>
      <c r="J2138" s="4">
        <v>0</v>
      </c>
      <c r="K2138" s="4">
        <v>1</v>
      </c>
      <c r="L2138" s="4">
        <f>J2138+K2138</f>
        <v>0</v>
      </c>
      <c r="M2138" s="4" t="s">
        <v>46</v>
      </c>
      <c r="N2138" s="4"/>
      <c r="O2138" s="4">
        <v>1</v>
      </c>
      <c r="P2138" s="4" t="s">
        <v>135</v>
      </c>
      <c r="Q2138" s="4" t="s">
        <v>44</v>
      </c>
      <c r="R2138" s="7">
        <v>325000</v>
      </c>
      <c r="S2138" s="7">
        <v>0</v>
      </c>
      <c r="T2138" s="7">
        <f>R2138-S2138</f>
        <v>0</v>
      </c>
      <c r="U2138" s="7">
        <f>T2138*O2138</f>
        <v>0</v>
      </c>
    </row>
    <row r="2139" spans="1:21">
      <c r="A2139" s="4" t="s">
        <v>3161</v>
      </c>
      <c r="B2139" s="4" t="s">
        <v>39</v>
      </c>
      <c r="C2139" s="5">
        <v>45953.24834490741</v>
      </c>
      <c r="D2139" s="5">
        <v>45953</v>
      </c>
      <c r="E2139" s="6">
        <f>IF(AND(C2139&lt;&gt;"",D2139&lt;&gt;""),D2139-C2139,"")</f>
        <v>0</v>
      </c>
      <c r="F2139" s="4" t="s">
        <v>1816</v>
      </c>
      <c r="G2139" s="4" t="s">
        <v>1817</v>
      </c>
      <c r="H2139" s="4" t="s">
        <v>787</v>
      </c>
      <c r="I2139" s="4" t="s">
        <v>56</v>
      </c>
      <c r="J2139" s="4">
        <v>1</v>
      </c>
      <c r="K2139" s="4">
        <v>0</v>
      </c>
      <c r="L2139" s="4">
        <f>J2139+K2139</f>
        <v>0</v>
      </c>
      <c r="M2139" s="4" t="s">
        <v>42</v>
      </c>
      <c r="N2139" s="4"/>
      <c r="O2139" s="4">
        <v>1</v>
      </c>
      <c r="P2139" s="4" t="s">
        <v>135</v>
      </c>
      <c r="Q2139" s="4" t="s">
        <v>44</v>
      </c>
      <c r="R2139" s="7">
        <v>370000</v>
      </c>
      <c r="S2139" s="7">
        <v>0</v>
      </c>
      <c r="T2139" s="7">
        <f>R2139-S2139</f>
        <v>0</v>
      </c>
      <c r="U2139" s="7">
        <f>T2139*O2139</f>
        <v>0</v>
      </c>
    </row>
    <row r="2140" spans="1:21">
      <c r="A2140" s="4" t="s">
        <v>3162</v>
      </c>
      <c r="B2140" s="4" t="s">
        <v>39</v>
      </c>
      <c r="C2140" s="5">
        <v>45953.2484837963</v>
      </c>
      <c r="D2140" s="5">
        <v>45953</v>
      </c>
      <c r="E2140" s="6">
        <f>IF(AND(C2140&lt;&gt;"",D2140&lt;&gt;""),D2140-C2140,"")</f>
        <v>0</v>
      </c>
      <c r="F2140" s="4" t="s">
        <v>3163</v>
      </c>
      <c r="G2140" s="4" t="s">
        <v>3164</v>
      </c>
      <c r="H2140" s="4" t="s">
        <v>32</v>
      </c>
      <c r="I2140" s="4" t="s">
        <v>33</v>
      </c>
      <c r="J2140" s="4">
        <v>1</v>
      </c>
      <c r="K2140" s="4">
        <v>0</v>
      </c>
      <c r="L2140" s="4">
        <f>J2140+K2140</f>
        <v>0</v>
      </c>
      <c r="M2140" s="4" t="s">
        <v>1645</v>
      </c>
      <c r="N2140" s="4"/>
      <c r="O2140" s="4">
        <v>1</v>
      </c>
      <c r="P2140" s="4" t="s">
        <v>135</v>
      </c>
      <c r="Q2140" s="4" t="s">
        <v>44</v>
      </c>
      <c r="R2140" s="7">
        <v>2100000</v>
      </c>
      <c r="S2140" s="7">
        <v>0</v>
      </c>
      <c r="T2140" s="7">
        <f>R2140-S2140</f>
        <v>0</v>
      </c>
      <c r="U2140" s="7">
        <f>T2140*O2140</f>
        <v>0</v>
      </c>
    </row>
    <row r="2141" spans="1:21">
      <c r="A2141" s="4" t="s">
        <v>3162</v>
      </c>
      <c r="B2141" s="4" t="s">
        <v>39</v>
      </c>
      <c r="C2141" s="5">
        <v>45953.2484837963</v>
      </c>
      <c r="D2141" s="5">
        <v>45953</v>
      </c>
      <c r="E2141" s="6">
        <f>IF(AND(C2141&lt;&gt;"",D2141&lt;&gt;""),D2141-C2141,"")</f>
        <v>0</v>
      </c>
      <c r="F2141" s="4" t="s">
        <v>3163</v>
      </c>
      <c r="G2141" s="4" t="s">
        <v>3164</v>
      </c>
      <c r="H2141" s="4" t="s">
        <v>32</v>
      </c>
      <c r="I2141" s="4" t="s">
        <v>33</v>
      </c>
      <c r="J2141" s="4">
        <v>0</v>
      </c>
      <c r="K2141" s="4">
        <v>0</v>
      </c>
      <c r="L2141" s="4">
        <f>J2141+K2141</f>
        <v>0</v>
      </c>
      <c r="M2141" s="4" t="s">
        <v>370</v>
      </c>
      <c r="N2141" s="4"/>
      <c r="O2141" s="4">
        <v>1</v>
      </c>
      <c r="P2141" s="4" t="s">
        <v>135</v>
      </c>
      <c r="Q2141" s="4" t="s">
        <v>44</v>
      </c>
      <c r="R2141" s="7">
        <v>5000000</v>
      </c>
      <c r="S2141" s="7">
        <v>0</v>
      </c>
      <c r="T2141" s="7">
        <f>R2141-S2141</f>
        <v>0</v>
      </c>
      <c r="U2141" s="7">
        <f>T2141*O2141</f>
        <v>0</v>
      </c>
    </row>
    <row r="2142" spans="1:21">
      <c r="A2142" s="4" t="s">
        <v>3162</v>
      </c>
      <c r="B2142" s="4" t="s">
        <v>39</v>
      </c>
      <c r="C2142" s="5">
        <v>45953.2484837963</v>
      </c>
      <c r="D2142" s="5">
        <v>45953</v>
      </c>
      <c r="E2142" s="6">
        <f>IF(AND(C2142&lt;&gt;"",D2142&lt;&gt;""),D2142-C2142,"")</f>
        <v>0</v>
      </c>
      <c r="F2142" s="4" t="s">
        <v>3163</v>
      </c>
      <c r="G2142" s="4" t="s">
        <v>3164</v>
      </c>
      <c r="H2142" s="4" t="s">
        <v>32</v>
      </c>
      <c r="I2142" s="4" t="s">
        <v>33</v>
      </c>
      <c r="J2142" s="4">
        <v>1</v>
      </c>
      <c r="K2142" s="4">
        <v>0</v>
      </c>
      <c r="L2142" s="4">
        <f>J2142+K2142</f>
        <v>0</v>
      </c>
      <c r="M2142" s="4" t="s">
        <v>80</v>
      </c>
      <c r="N2142" s="4"/>
      <c r="O2142" s="4">
        <v>1</v>
      </c>
      <c r="P2142" s="4" t="s">
        <v>135</v>
      </c>
      <c r="Q2142" s="4" t="s">
        <v>44</v>
      </c>
      <c r="R2142" s="7">
        <v>610000</v>
      </c>
      <c r="S2142" s="7">
        <v>0</v>
      </c>
      <c r="T2142" s="7">
        <f>R2142-S2142</f>
        <v>0</v>
      </c>
      <c r="U2142" s="7">
        <f>T2142*O2142</f>
        <v>0</v>
      </c>
    </row>
    <row r="2143" spans="1:21">
      <c r="A2143" s="4" t="s">
        <v>3165</v>
      </c>
      <c r="B2143" s="4" t="s">
        <v>39</v>
      </c>
      <c r="C2143" s="5">
        <v>45953.24858796296</v>
      </c>
      <c r="D2143" s="5">
        <v>45953</v>
      </c>
      <c r="E2143" s="6">
        <f>IF(AND(C2143&lt;&gt;"",D2143&lt;&gt;""),D2143-C2143,"")</f>
        <v>0</v>
      </c>
      <c r="F2143" s="4" t="s">
        <v>563</v>
      </c>
      <c r="G2143" s="4" t="s">
        <v>564</v>
      </c>
      <c r="H2143" s="4" t="s">
        <v>190</v>
      </c>
      <c r="I2143" s="4" t="s">
        <v>56</v>
      </c>
      <c r="J2143" s="4">
        <v>3</v>
      </c>
      <c r="K2143" s="4">
        <v>0</v>
      </c>
      <c r="L2143" s="4">
        <f>J2143+K2143</f>
        <v>0</v>
      </c>
      <c r="M2143" s="4" t="s">
        <v>42</v>
      </c>
      <c r="N2143" s="4"/>
      <c r="O2143" s="4">
        <v>3</v>
      </c>
      <c r="P2143" s="4" t="s">
        <v>135</v>
      </c>
      <c r="Q2143" s="4" t="s">
        <v>44</v>
      </c>
      <c r="R2143" s="7">
        <v>370000</v>
      </c>
      <c r="S2143" s="7">
        <v>0</v>
      </c>
      <c r="T2143" s="7">
        <f>R2143-S2143</f>
        <v>0</v>
      </c>
      <c r="U2143" s="7">
        <f>T2143*O2143</f>
        <v>0</v>
      </c>
    </row>
    <row r="2144" spans="1:21">
      <c r="A2144" s="4" t="s">
        <v>3165</v>
      </c>
      <c r="B2144" s="4" t="s">
        <v>39</v>
      </c>
      <c r="C2144" s="5">
        <v>45953.24858796296</v>
      </c>
      <c r="D2144" s="5">
        <v>45953</v>
      </c>
      <c r="E2144" s="6">
        <f>IF(AND(C2144&lt;&gt;"",D2144&lt;&gt;""),D2144-C2144,"")</f>
        <v>0</v>
      </c>
      <c r="F2144" s="4" t="s">
        <v>563</v>
      </c>
      <c r="G2144" s="4" t="s">
        <v>564</v>
      </c>
      <c r="H2144" s="4" t="s">
        <v>190</v>
      </c>
      <c r="I2144" s="4" t="s">
        <v>56</v>
      </c>
      <c r="J2144" s="4">
        <v>0</v>
      </c>
      <c r="K2144" s="4">
        <v>0</v>
      </c>
      <c r="L2144" s="4">
        <f>J2144+K2144</f>
        <v>0</v>
      </c>
      <c r="M2144" s="4" t="s">
        <v>370</v>
      </c>
      <c r="N2144" s="4"/>
      <c r="O2144" s="4">
        <v>1</v>
      </c>
      <c r="P2144" s="4" t="s">
        <v>135</v>
      </c>
      <c r="Q2144" s="4" t="s">
        <v>44</v>
      </c>
      <c r="R2144" s="7">
        <v>500000</v>
      </c>
      <c r="S2144" s="7">
        <v>0</v>
      </c>
      <c r="T2144" s="7">
        <f>R2144-S2144</f>
        <v>0</v>
      </c>
      <c r="U2144" s="7">
        <f>T2144*O2144</f>
        <v>0</v>
      </c>
    </row>
    <row r="2145" spans="1:21">
      <c r="A2145" s="4" t="s">
        <v>3166</v>
      </c>
      <c r="B2145" s="4" t="s">
        <v>39</v>
      </c>
      <c r="C2145" s="5">
        <v>45953.24907407408</v>
      </c>
      <c r="D2145" s="5">
        <v>45953</v>
      </c>
      <c r="E2145" s="6">
        <f>IF(AND(C2145&lt;&gt;"",D2145&lt;&gt;""),D2145-C2145,"")</f>
        <v>0</v>
      </c>
      <c r="F2145" s="4" t="s">
        <v>3167</v>
      </c>
      <c r="G2145" s="4" t="s">
        <v>3168</v>
      </c>
      <c r="H2145" s="4" t="s">
        <v>190</v>
      </c>
      <c r="I2145" s="4" t="s">
        <v>56</v>
      </c>
      <c r="J2145" s="4">
        <v>0</v>
      </c>
      <c r="K2145" s="4">
        <v>0</v>
      </c>
      <c r="L2145" s="4">
        <f>J2145+K2145</f>
        <v>0</v>
      </c>
      <c r="M2145" s="4" t="s">
        <v>370</v>
      </c>
      <c r="N2145" s="4"/>
      <c r="O2145" s="4">
        <v>1</v>
      </c>
      <c r="P2145" s="4" t="s">
        <v>135</v>
      </c>
      <c r="Q2145" s="4" t="s">
        <v>44</v>
      </c>
      <c r="R2145" s="7">
        <v>500000</v>
      </c>
      <c r="S2145" s="7">
        <v>0</v>
      </c>
      <c r="T2145" s="7">
        <f>R2145-S2145</f>
        <v>0</v>
      </c>
      <c r="U2145" s="7">
        <f>T2145*O2145</f>
        <v>0</v>
      </c>
    </row>
    <row r="2146" spans="1:21">
      <c r="A2146" s="4" t="s">
        <v>3166</v>
      </c>
      <c r="B2146" s="4" t="s">
        <v>39</v>
      </c>
      <c r="C2146" s="5">
        <v>45953.24907407408</v>
      </c>
      <c r="D2146" s="5">
        <v>45953</v>
      </c>
      <c r="E2146" s="6">
        <f>IF(AND(C2146&lt;&gt;"",D2146&lt;&gt;""),D2146-C2146,"")</f>
        <v>0</v>
      </c>
      <c r="F2146" s="4" t="s">
        <v>3167</v>
      </c>
      <c r="G2146" s="4" t="s">
        <v>3168</v>
      </c>
      <c r="H2146" s="4" t="s">
        <v>190</v>
      </c>
      <c r="I2146" s="4" t="s">
        <v>56</v>
      </c>
      <c r="J2146" s="4">
        <v>2</v>
      </c>
      <c r="K2146" s="4">
        <v>0</v>
      </c>
      <c r="L2146" s="4">
        <f>J2146+K2146</f>
        <v>0</v>
      </c>
      <c r="M2146" s="4" t="s">
        <v>80</v>
      </c>
      <c r="N2146" s="4"/>
      <c r="O2146" s="4">
        <v>2</v>
      </c>
      <c r="P2146" s="4" t="s">
        <v>135</v>
      </c>
      <c r="Q2146" s="4" t="s">
        <v>44</v>
      </c>
      <c r="R2146" s="7">
        <v>610000</v>
      </c>
      <c r="S2146" s="7">
        <v>0</v>
      </c>
      <c r="T2146" s="7">
        <f>R2146-S2146</f>
        <v>0</v>
      </c>
      <c r="U2146" s="7">
        <f>T2146*O2146</f>
        <v>0</v>
      </c>
    </row>
    <row r="2147" spans="1:21">
      <c r="A2147" s="4" t="s">
        <v>3169</v>
      </c>
      <c r="B2147" s="4" t="s">
        <v>39</v>
      </c>
      <c r="C2147" s="5">
        <v>45953.24918981481</v>
      </c>
      <c r="D2147" s="5">
        <v>45953</v>
      </c>
      <c r="E2147" s="6">
        <f>IF(AND(C2147&lt;&gt;"",D2147&lt;&gt;""),D2147-C2147,"")</f>
        <v>0</v>
      </c>
      <c r="F2147" s="4" t="s">
        <v>3170</v>
      </c>
      <c r="G2147" s="4" t="s">
        <v>3171</v>
      </c>
      <c r="H2147" s="4" t="s">
        <v>190</v>
      </c>
      <c r="I2147" s="4" t="s">
        <v>56</v>
      </c>
      <c r="J2147" s="4">
        <v>0</v>
      </c>
      <c r="K2147" s="4">
        <v>0</v>
      </c>
      <c r="L2147" s="4">
        <f>J2147+K2147</f>
        <v>0</v>
      </c>
      <c r="M2147" s="4" t="s">
        <v>370</v>
      </c>
      <c r="N2147" s="4"/>
      <c r="O2147" s="4">
        <v>1</v>
      </c>
      <c r="P2147" s="4" t="s">
        <v>135</v>
      </c>
      <c r="Q2147" s="4" t="s">
        <v>44</v>
      </c>
      <c r="R2147" s="7">
        <v>500000</v>
      </c>
      <c r="S2147" s="7">
        <v>0</v>
      </c>
      <c r="T2147" s="7">
        <f>R2147-S2147</f>
        <v>0</v>
      </c>
      <c r="U2147" s="7">
        <f>T2147*O2147</f>
        <v>0</v>
      </c>
    </row>
    <row r="2148" spans="1:21">
      <c r="A2148" s="4" t="s">
        <v>3169</v>
      </c>
      <c r="B2148" s="4" t="s">
        <v>39</v>
      </c>
      <c r="C2148" s="5">
        <v>45953.24918981481</v>
      </c>
      <c r="D2148" s="5">
        <v>45953</v>
      </c>
      <c r="E2148" s="6">
        <f>IF(AND(C2148&lt;&gt;"",D2148&lt;&gt;""),D2148-C2148,"")</f>
        <v>0</v>
      </c>
      <c r="F2148" s="4" t="s">
        <v>3170</v>
      </c>
      <c r="G2148" s="4" t="s">
        <v>3171</v>
      </c>
      <c r="H2148" s="4" t="s">
        <v>190</v>
      </c>
      <c r="I2148" s="4" t="s">
        <v>56</v>
      </c>
      <c r="J2148" s="4">
        <v>3</v>
      </c>
      <c r="K2148" s="4">
        <v>0</v>
      </c>
      <c r="L2148" s="4">
        <f>J2148+K2148</f>
        <v>0</v>
      </c>
      <c r="M2148" s="4" t="s">
        <v>80</v>
      </c>
      <c r="N2148" s="4"/>
      <c r="O2148" s="4">
        <v>3</v>
      </c>
      <c r="P2148" s="4" t="s">
        <v>135</v>
      </c>
      <c r="Q2148" s="4" t="s">
        <v>44</v>
      </c>
      <c r="R2148" s="7">
        <v>610000</v>
      </c>
      <c r="S2148" s="7">
        <v>0</v>
      </c>
      <c r="T2148" s="7">
        <f>R2148-S2148</f>
        <v>0</v>
      </c>
      <c r="U2148" s="7">
        <f>T2148*O2148</f>
        <v>0</v>
      </c>
    </row>
    <row r="2149" spans="1:21">
      <c r="A2149" s="4" t="s">
        <v>3172</v>
      </c>
      <c r="B2149" s="4" t="s">
        <v>39</v>
      </c>
      <c r="C2149" s="5">
        <v>45953.25105324074</v>
      </c>
      <c r="D2149" s="5">
        <v>45953</v>
      </c>
      <c r="E2149" s="6">
        <f>IF(AND(C2149&lt;&gt;"",D2149&lt;&gt;""),D2149-C2149,"")</f>
        <v>0</v>
      </c>
      <c r="F2149" s="4" t="s">
        <v>3163</v>
      </c>
      <c r="G2149" s="4" t="s">
        <v>3164</v>
      </c>
      <c r="H2149" s="4" t="s">
        <v>32</v>
      </c>
      <c r="I2149" s="4" t="s">
        <v>33</v>
      </c>
      <c r="J2149" s="4">
        <v>1</v>
      </c>
      <c r="K2149" s="4">
        <v>0</v>
      </c>
      <c r="L2149" s="4">
        <f>J2149+K2149</f>
        <v>0</v>
      </c>
      <c r="M2149" s="4" t="s">
        <v>1645</v>
      </c>
      <c r="N2149" s="4"/>
      <c r="O2149" s="4">
        <v>1</v>
      </c>
      <c r="P2149" s="4" t="s">
        <v>135</v>
      </c>
      <c r="Q2149" s="4" t="s">
        <v>44</v>
      </c>
      <c r="R2149" s="7">
        <v>2100000</v>
      </c>
      <c r="S2149" s="7">
        <v>0</v>
      </c>
      <c r="T2149" s="7">
        <f>R2149-S2149</f>
        <v>0</v>
      </c>
      <c r="U2149" s="7">
        <f>T2149*O2149</f>
        <v>0</v>
      </c>
    </row>
    <row r="2150" spans="1:21">
      <c r="A2150" s="4" t="s">
        <v>3172</v>
      </c>
      <c r="B2150" s="4" t="s">
        <v>39</v>
      </c>
      <c r="C2150" s="5">
        <v>45953.25105324074</v>
      </c>
      <c r="D2150" s="5">
        <v>45953</v>
      </c>
      <c r="E2150" s="6">
        <f>IF(AND(C2150&lt;&gt;"",D2150&lt;&gt;""),D2150-C2150,"")</f>
        <v>0</v>
      </c>
      <c r="F2150" s="4" t="s">
        <v>3163</v>
      </c>
      <c r="G2150" s="4" t="s">
        <v>3164</v>
      </c>
      <c r="H2150" s="4" t="s">
        <v>32</v>
      </c>
      <c r="I2150" s="4" t="s">
        <v>33</v>
      </c>
      <c r="J2150" s="4">
        <v>0</v>
      </c>
      <c r="K2150" s="4">
        <v>0</v>
      </c>
      <c r="L2150" s="4">
        <f>J2150+K2150</f>
        <v>0</v>
      </c>
      <c r="M2150" s="4" t="s">
        <v>370</v>
      </c>
      <c r="N2150" s="4"/>
      <c r="O2150" s="4">
        <v>1</v>
      </c>
      <c r="P2150" s="4" t="s">
        <v>135</v>
      </c>
      <c r="Q2150" s="4" t="s">
        <v>44</v>
      </c>
      <c r="R2150" s="7">
        <v>500000</v>
      </c>
      <c r="S2150" s="7">
        <v>0</v>
      </c>
      <c r="T2150" s="7">
        <f>R2150-S2150</f>
        <v>0</v>
      </c>
      <c r="U2150" s="7">
        <f>T2150*O2150</f>
        <v>0</v>
      </c>
    </row>
    <row r="2151" spans="1:21">
      <c r="A2151" s="4" t="s">
        <v>3172</v>
      </c>
      <c r="B2151" s="4" t="s">
        <v>39</v>
      </c>
      <c r="C2151" s="5">
        <v>45953.25105324074</v>
      </c>
      <c r="D2151" s="5">
        <v>45953</v>
      </c>
      <c r="E2151" s="6">
        <f>IF(AND(C2151&lt;&gt;"",D2151&lt;&gt;""),D2151-C2151,"")</f>
        <v>0</v>
      </c>
      <c r="F2151" s="4" t="s">
        <v>3163</v>
      </c>
      <c r="G2151" s="4" t="s">
        <v>3164</v>
      </c>
      <c r="H2151" s="4" t="s">
        <v>32</v>
      </c>
      <c r="I2151" s="4" t="s">
        <v>33</v>
      </c>
      <c r="J2151" s="4">
        <v>1</v>
      </c>
      <c r="K2151" s="4">
        <v>0</v>
      </c>
      <c r="L2151" s="4">
        <f>J2151+K2151</f>
        <v>0</v>
      </c>
      <c r="M2151" s="4" t="s">
        <v>80</v>
      </c>
      <c r="N2151" s="4"/>
      <c r="O2151" s="4">
        <v>1</v>
      </c>
      <c r="P2151" s="4" t="s">
        <v>135</v>
      </c>
      <c r="Q2151" s="4" t="s">
        <v>44</v>
      </c>
      <c r="R2151" s="7">
        <v>610000</v>
      </c>
      <c r="S2151" s="7">
        <v>0</v>
      </c>
      <c r="T2151" s="7">
        <f>R2151-S2151</f>
        <v>0</v>
      </c>
      <c r="U2151" s="7">
        <f>T2151*O2151</f>
        <v>0</v>
      </c>
    </row>
    <row r="2152" spans="1:21">
      <c r="A2152" s="4" t="s">
        <v>3173</v>
      </c>
      <c r="B2152" s="4" t="s">
        <v>39</v>
      </c>
      <c r="C2152" s="5">
        <v>45953.25755787037</v>
      </c>
      <c r="D2152" s="5">
        <v>45953</v>
      </c>
      <c r="E2152" s="6">
        <f>IF(AND(C2152&lt;&gt;"",D2152&lt;&gt;""),D2152-C2152,"")</f>
        <v>0</v>
      </c>
      <c r="F2152" s="4" t="s">
        <v>563</v>
      </c>
      <c r="G2152" s="4" t="s">
        <v>564</v>
      </c>
      <c r="H2152" s="4" t="s">
        <v>190</v>
      </c>
      <c r="I2152" s="4" t="s">
        <v>56</v>
      </c>
      <c r="J2152" s="4">
        <v>0</v>
      </c>
      <c r="K2152" s="4">
        <v>0</v>
      </c>
      <c r="L2152" s="4">
        <f>J2152+K2152</f>
        <v>0</v>
      </c>
      <c r="M2152" s="4" t="s">
        <v>247</v>
      </c>
      <c r="N2152" s="4"/>
      <c r="O2152" s="4">
        <v>1</v>
      </c>
      <c r="P2152" s="4" t="s">
        <v>135</v>
      </c>
      <c r="Q2152" s="4" t="s">
        <v>44</v>
      </c>
      <c r="R2152" s="7">
        <v>55000</v>
      </c>
      <c r="S2152" s="7">
        <v>0</v>
      </c>
      <c r="T2152" s="7">
        <f>R2152-S2152</f>
        <v>0</v>
      </c>
      <c r="U2152" s="7">
        <f>T2152*O2152</f>
        <v>0</v>
      </c>
    </row>
    <row r="2153" spans="1:21">
      <c r="A2153" s="4" t="s">
        <v>3174</v>
      </c>
      <c r="B2153" s="4" t="s">
        <v>39</v>
      </c>
      <c r="C2153" s="5">
        <v>45953.25797453704</v>
      </c>
      <c r="D2153" s="5">
        <v>45953</v>
      </c>
      <c r="E2153" s="6">
        <f>IF(AND(C2153&lt;&gt;"",D2153&lt;&gt;""),D2153-C2153,"")</f>
        <v>0</v>
      </c>
      <c r="F2153" s="4" t="s">
        <v>3170</v>
      </c>
      <c r="G2153" s="4" t="s">
        <v>3171</v>
      </c>
      <c r="H2153" s="4" t="s">
        <v>190</v>
      </c>
      <c r="I2153" s="4" t="s">
        <v>56</v>
      </c>
      <c r="J2153" s="4">
        <v>0</v>
      </c>
      <c r="K2153" s="4">
        <v>0</v>
      </c>
      <c r="L2153" s="4">
        <f>J2153+K2153</f>
        <v>0</v>
      </c>
      <c r="M2153" s="4" t="s">
        <v>247</v>
      </c>
      <c r="N2153" s="4"/>
      <c r="O2153" s="4">
        <v>1</v>
      </c>
      <c r="P2153" s="4" t="s">
        <v>135</v>
      </c>
      <c r="Q2153" s="4" t="s">
        <v>44</v>
      </c>
      <c r="R2153" s="7">
        <v>55000</v>
      </c>
      <c r="S2153" s="7">
        <v>0</v>
      </c>
      <c r="T2153" s="7">
        <f>R2153-S2153</f>
        <v>0</v>
      </c>
      <c r="U2153" s="7">
        <f>T2153*O2153</f>
        <v>0</v>
      </c>
    </row>
    <row r="2154" spans="1:21">
      <c r="A2154" s="4" t="s">
        <v>3175</v>
      </c>
      <c r="B2154" s="4" t="s">
        <v>48</v>
      </c>
      <c r="C2154" s="5">
        <v>45953.25950231482</v>
      </c>
      <c r="D2154" s="5">
        <v>45961</v>
      </c>
      <c r="E2154" s="6">
        <f>IF(AND(C2154&lt;&gt;"",D2154&lt;&gt;""),D2154-C2154,"")</f>
        <v>0</v>
      </c>
      <c r="F2154" s="4" t="s">
        <v>64</v>
      </c>
      <c r="G2154" s="4" t="s">
        <v>3176</v>
      </c>
      <c r="H2154" s="4" t="s">
        <v>32</v>
      </c>
      <c r="I2154" s="4" t="s">
        <v>33</v>
      </c>
      <c r="J2154" s="4">
        <v>3</v>
      </c>
      <c r="K2154" s="4">
        <v>0</v>
      </c>
      <c r="L2154" s="4">
        <f>J2154+K2154</f>
        <v>0</v>
      </c>
      <c r="M2154" s="4"/>
      <c r="N2154" s="4"/>
      <c r="O2154" s="4">
        <v>0</v>
      </c>
      <c r="P2154" s="4"/>
      <c r="Q2154" s="4"/>
      <c r="R2154" s="7">
        <v>0</v>
      </c>
      <c r="S2154" s="7">
        <v>0</v>
      </c>
      <c r="T2154" s="7">
        <f>R2154-S2154</f>
        <v>0</v>
      </c>
      <c r="U2154" s="7">
        <f>T2154*O2154</f>
        <v>0</v>
      </c>
    </row>
    <row r="2155" spans="1:21">
      <c r="A2155" s="4" t="s">
        <v>3177</v>
      </c>
      <c r="B2155" s="4" t="s">
        <v>103</v>
      </c>
      <c r="C2155" s="5">
        <v>45953.26653935185</v>
      </c>
      <c r="D2155" s="5">
        <v>45961</v>
      </c>
      <c r="E2155" s="6">
        <f>IF(AND(C2155&lt;&gt;"",D2155&lt;&gt;""),D2155-C2155,"")</f>
        <v>0</v>
      </c>
      <c r="F2155" s="4" t="s">
        <v>2534</v>
      </c>
      <c r="G2155" s="4"/>
      <c r="H2155" s="4"/>
      <c r="I2155" s="4" t="s">
        <v>56</v>
      </c>
      <c r="J2155" s="4">
        <v>1</v>
      </c>
      <c r="K2155" s="4">
        <v>1</v>
      </c>
      <c r="L2155" s="4">
        <f>J2155+K2155</f>
        <v>0</v>
      </c>
      <c r="M2155" s="4"/>
      <c r="N2155" s="4"/>
      <c r="O2155" s="4">
        <v>0</v>
      </c>
      <c r="P2155" s="4"/>
      <c r="Q2155" s="4"/>
      <c r="R2155" s="7">
        <v>0</v>
      </c>
      <c r="S2155" s="7">
        <v>0</v>
      </c>
      <c r="T2155" s="7">
        <f>R2155-S2155</f>
        <v>0</v>
      </c>
      <c r="U2155" s="7">
        <f>T2155*O2155</f>
        <v>0</v>
      </c>
    </row>
    <row r="2156" spans="1:21">
      <c r="A2156" s="4" t="s">
        <v>3178</v>
      </c>
      <c r="B2156" s="4" t="s">
        <v>39</v>
      </c>
      <c r="C2156" s="5">
        <v>45953.27209490741</v>
      </c>
      <c r="D2156" s="5">
        <v>45953</v>
      </c>
      <c r="E2156" s="6">
        <f>IF(AND(C2156&lt;&gt;"",D2156&lt;&gt;""),D2156-C2156,"")</f>
        <v>0</v>
      </c>
      <c r="F2156" s="4" t="s">
        <v>3179</v>
      </c>
      <c r="G2156" s="4" t="s">
        <v>3180</v>
      </c>
      <c r="H2156" s="4" t="s">
        <v>32</v>
      </c>
      <c r="I2156" s="4" t="s">
        <v>33</v>
      </c>
      <c r="J2156" s="4">
        <v>0</v>
      </c>
      <c r="K2156" s="4">
        <v>0</v>
      </c>
      <c r="L2156" s="4">
        <f>J2156+K2156</f>
        <v>0</v>
      </c>
      <c r="M2156" s="4" t="s">
        <v>370</v>
      </c>
      <c r="N2156" s="4"/>
      <c r="O2156" s="4">
        <v>1</v>
      </c>
      <c r="P2156" s="4" t="s">
        <v>135</v>
      </c>
      <c r="Q2156" s="4" t="s">
        <v>44</v>
      </c>
      <c r="R2156" s="7">
        <v>2000000</v>
      </c>
      <c r="S2156" s="7">
        <v>0</v>
      </c>
      <c r="T2156" s="7">
        <f>R2156-S2156</f>
        <v>0</v>
      </c>
      <c r="U2156" s="7">
        <f>T2156*O2156</f>
        <v>0</v>
      </c>
    </row>
    <row r="2157" spans="1:21">
      <c r="A2157" s="4" t="s">
        <v>3181</v>
      </c>
      <c r="B2157" s="4" t="s">
        <v>39</v>
      </c>
      <c r="C2157" s="5">
        <v>45953.27216435185</v>
      </c>
      <c r="D2157" s="5">
        <v>45953</v>
      </c>
      <c r="E2157" s="6">
        <f>IF(AND(C2157&lt;&gt;"",D2157&lt;&gt;""),D2157-C2157,"")</f>
        <v>0</v>
      </c>
      <c r="F2157" s="4" t="s">
        <v>3182</v>
      </c>
      <c r="G2157" s="4" t="s">
        <v>3183</v>
      </c>
      <c r="H2157" s="4" t="s">
        <v>32</v>
      </c>
      <c r="I2157" s="4" t="s">
        <v>33</v>
      </c>
      <c r="J2157" s="4">
        <v>0</v>
      </c>
      <c r="K2157" s="4">
        <v>0</v>
      </c>
      <c r="L2157" s="4">
        <f>J2157+K2157</f>
        <v>0</v>
      </c>
      <c r="M2157" s="4" t="s">
        <v>370</v>
      </c>
      <c r="N2157" s="4"/>
      <c r="O2157" s="4">
        <v>1</v>
      </c>
      <c r="P2157" s="4" t="s">
        <v>135</v>
      </c>
      <c r="Q2157" s="4" t="s">
        <v>44</v>
      </c>
      <c r="R2157" s="7">
        <v>2000000</v>
      </c>
      <c r="S2157" s="7">
        <v>0</v>
      </c>
      <c r="T2157" s="7">
        <f>R2157-S2157</f>
        <v>0</v>
      </c>
      <c r="U2157" s="7">
        <f>T2157*O2157</f>
        <v>0</v>
      </c>
    </row>
    <row r="2158" spans="1:21">
      <c r="A2158" s="4" t="s">
        <v>3184</v>
      </c>
      <c r="B2158" s="4" t="s">
        <v>39</v>
      </c>
      <c r="C2158" s="5">
        <v>45953.27340277778</v>
      </c>
      <c r="D2158" s="5">
        <v>45953</v>
      </c>
      <c r="E2158" s="6">
        <f>IF(AND(C2158&lt;&gt;"",D2158&lt;&gt;""),D2158-C2158,"")</f>
        <v>0</v>
      </c>
      <c r="F2158" s="4" t="s">
        <v>563</v>
      </c>
      <c r="G2158" s="4" t="s">
        <v>564</v>
      </c>
      <c r="H2158" s="4" t="s">
        <v>190</v>
      </c>
      <c r="I2158" s="4" t="s">
        <v>56</v>
      </c>
      <c r="J2158" s="4">
        <v>0</v>
      </c>
      <c r="K2158" s="4">
        <v>0</v>
      </c>
      <c r="L2158" s="4">
        <f>J2158+K2158</f>
        <v>0</v>
      </c>
      <c r="M2158" s="4" t="s">
        <v>1285</v>
      </c>
      <c r="N2158" s="4"/>
      <c r="O2158" s="4">
        <v>1</v>
      </c>
      <c r="P2158" s="4" t="s">
        <v>135</v>
      </c>
      <c r="Q2158" s="4" t="s">
        <v>44</v>
      </c>
      <c r="R2158" s="7">
        <v>-300000</v>
      </c>
      <c r="S2158" s="7">
        <v>0</v>
      </c>
      <c r="T2158" s="7">
        <f>R2158-S2158</f>
        <v>0</v>
      </c>
      <c r="U2158" s="7">
        <f>T2158*O2158</f>
        <v>0</v>
      </c>
    </row>
    <row r="2159" spans="1:21">
      <c r="A2159" s="4" t="s">
        <v>3185</v>
      </c>
      <c r="B2159" s="4" t="s">
        <v>39</v>
      </c>
      <c r="C2159" s="5">
        <v>45953.27746527778</v>
      </c>
      <c r="D2159" s="5">
        <v>45953</v>
      </c>
      <c r="E2159" s="6">
        <f>IF(AND(C2159&lt;&gt;"",D2159&lt;&gt;""),D2159-C2159,"")</f>
        <v>0</v>
      </c>
      <c r="F2159" s="4" t="s">
        <v>3186</v>
      </c>
      <c r="G2159" s="4" t="s">
        <v>3187</v>
      </c>
      <c r="H2159" s="4" t="s">
        <v>190</v>
      </c>
      <c r="I2159" s="4" t="s">
        <v>56</v>
      </c>
      <c r="J2159" s="4">
        <v>0</v>
      </c>
      <c r="K2159" s="4">
        <v>0</v>
      </c>
      <c r="L2159" s="4">
        <f>J2159+K2159</f>
        <v>0</v>
      </c>
      <c r="M2159" s="4" t="s">
        <v>370</v>
      </c>
      <c r="N2159" s="4"/>
      <c r="O2159" s="4">
        <v>1</v>
      </c>
      <c r="P2159" s="4" t="s">
        <v>135</v>
      </c>
      <c r="Q2159" s="4" t="s">
        <v>44</v>
      </c>
      <c r="R2159" s="7">
        <v>500000</v>
      </c>
      <c r="S2159" s="7">
        <v>0</v>
      </c>
      <c r="T2159" s="7">
        <f>R2159-S2159</f>
        <v>0</v>
      </c>
      <c r="U2159" s="7">
        <f>T2159*O2159</f>
        <v>0</v>
      </c>
    </row>
    <row r="2160" spans="1:21">
      <c r="A2160" s="4" t="s">
        <v>3188</v>
      </c>
      <c r="B2160" s="4" t="s">
        <v>39</v>
      </c>
      <c r="C2160" s="5">
        <v>45953.2781712963</v>
      </c>
      <c r="D2160" s="5">
        <v>45953</v>
      </c>
      <c r="E2160" s="6">
        <f>IF(AND(C2160&lt;&gt;"",D2160&lt;&gt;""),D2160-C2160,"")</f>
        <v>0</v>
      </c>
      <c r="F2160" s="4" t="s">
        <v>3189</v>
      </c>
      <c r="G2160" s="4" t="s">
        <v>3190</v>
      </c>
      <c r="H2160" s="4" t="s">
        <v>3191</v>
      </c>
      <c r="I2160" s="4" t="s">
        <v>56</v>
      </c>
      <c r="J2160" s="4">
        <v>0</v>
      </c>
      <c r="K2160" s="4">
        <v>0</v>
      </c>
      <c r="L2160" s="4">
        <f>J2160+K2160</f>
        <v>0</v>
      </c>
      <c r="M2160" s="4" t="s">
        <v>370</v>
      </c>
      <c r="N2160" s="4"/>
      <c r="O2160" s="4">
        <v>1</v>
      </c>
      <c r="P2160" s="4" t="s">
        <v>135</v>
      </c>
      <c r="Q2160" s="4" t="s">
        <v>44</v>
      </c>
      <c r="R2160" s="7">
        <v>7000000</v>
      </c>
      <c r="S2160" s="7">
        <v>0</v>
      </c>
      <c r="T2160" s="7">
        <f>R2160-S2160</f>
        <v>0</v>
      </c>
      <c r="U2160" s="7">
        <f>T2160*O2160</f>
        <v>0</v>
      </c>
    </row>
    <row r="2161" spans="1:21">
      <c r="A2161" s="4" t="s">
        <v>3192</v>
      </c>
      <c r="B2161" s="4" t="s">
        <v>39</v>
      </c>
      <c r="C2161" s="5">
        <v>45953.27869212963</v>
      </c>
      <c r="D2161" s="5">
        <v>45953</v>
      </c>
      <c r="E2161" s="6">
        <f>IF(AND(C2161&lt;&gt;"",D2161&lt;&gt;""),D2161-C2161,"")</f>
        <v>0</v>
      </c>
      <c r="F2161" s="4" t="s">
        <v>3193</v>
      </c>
      <c r="G2161" s="4" t="s">
        <v>3194</v>
      </c>
      <c r="H2161" s="4" t="s">
        <v>190</v>
      </c>
      <c r="I2161" s="4" t="s">
        <v>56</v>
      </c>
      <c r="J2161" s="4">
        <v>0</v>
      </c>
      <c r="K2161" s="4">
        <v>0</v>
      </c>
      <c r="L2161" s="4">
        <f>J2161+K2161</f>
        <v>0</v>
      </c>
      <c r="M2161" s="4" t="s">
        <v>370</v>
      </c>
      <c r="N2161" s="4"/>
      <c r="O2161" s="4">
        <v>1</v>
      </c>
      <c r="P2161" s="4" t="s">
        <v>135</v>
      </c>
      <c r="Q2161" s="4" t="s">
        <v>44</v>
      </c>
      <c r="R2161" s="7">
        <v>1500000</v>
      </c>
      <c r="S2161" s="7">
        <v>0</v>
      </c>
      <c r="T2161" s="7">
        <f>R2161-S2161</f>
        <v>0</v>
      </c>
      <c r="U2161" s="7">
        <f>T2161*O2161</f>
        <v>0</v>
      </c>
    </row>
    <row r="2162" spans="1:21">
      <c r="A2162" s="4" t="s">
        <v>3195</v>
      </c>
      <c r="B2162" s="4" t="s">
        <v>39</v>
      </c>
      <c r="C2162" s="5">
        <v>45953.2794212963</v>
      </c>
      <c r="D2162" s="5">
        <v>45953</v>
      </c>
      <c r="E2162" s="6">
        <f>IF(AND(C2162&lt;&gt;"",D2162&lt;&gt;""),D2162-C2162,"")</f>
        <v>0</v>
      </c>
      <c r="F2162" s="4" t="s">
        <v>3196</v>
      </c>
      <c r="G2162" s="4" t="s">
        <v>3197</v>
      </c>
      <c r="H2162" s="4" t="s">
        <v>1262</v>
      </c>
      <c r="I2162" s="4" t="s">
        <v>56</v>
      </c>
      <c r="J2162" s="4">
        <v>0</v>
      </c>
      <c r="K2162" s="4">
        <v>0</v>
      </c>
      <c r="L2162" s="4">
        <f>J2162+K2162</f>
        <v>0</v>
      </c>
      <c r="M2162" s="4" t="s">
        <v>370</v>
      </c>
      <c r="N2162" s="4"/>
      <c r="O2162" s="4">
        <v>1</v>
      </c>
      <c r="P2162" s="4" t="s">
        <v>135</v>
      </c>
      <c r="Q2162" s="4" t="s">
        <v>44</v>
      </c>
      <c r="R2162" s="7">
        <v>500000</v>
      </c>
      <c r="S2162" s="7">
        <v>0</v>
      </c>
      <c r="T2162" s="7">
        <f>R2162-S2162</f>
        <v>0</v>
      </c>
      <c r="U2162" s="7">
        <f>T2162*O2162</f>
        <v>0</v>
      </c>
    </row>
    <row r="2163" spans="1:21">
      <c r="A2163" s="4" t="s">
        <v>3195</v>
      </c>
      <c r="B2163" s="4" t="s">
        <v>39</v>
      </c>
      <c r="C2163" s="5">
        <v>45953.2794212963</v>
      </c>
      <c r="D2163" s="5">
        <v>45953</v>
      </c>
      <c r="E2163" s="6">
        <f>IF(AND(C2163&lt;&gt;"",D2163&lt;&gt;""),D2163-C2163,"")</f>
        <v>0</v>
      </c>
      <c r="F2163" s="4" t="s">
        <v>3196</v>
      </c>
      <c r="G2163" s="4" t="s">
        <v>3197</v>
      </c>
      <c r="H2163" s="4" t="s">
        <v>1262</v>
      </c>
      <c r="I2163" s="4" t="s">
        <v>56</v>
      </c>
      <c r="J2163" s="4">
        <v>2</v>
      </c>
      <c r="K2163" s="4">
        <v>0</v>
      </c>
      <c r="L2163" s="4">
        <f>J2163+K2163</f>
        <v>0</v>
      </c>
      <c r="M2163" s="4" t="s">
        <v>80</v>
      </c>
      <c r="N2163" s="4"/>
      <c r="O2163" s="4">
        <v>2</v>
      </c>
      <c r="P2163" s="4" t="s">
        <v>135</v>
      </c>
      <c r="Q2163" s="4" t="s">
        <v>44</v>
      </c>
      <c r="R2163" s="7">
        <v>610000</v>
      </c>
      <c r="S2163" s="7">
        <v>0</v>
      </c>
      <c r="T2163" s="7">
        <f>R2163-S2163</f>
        <v>0</v>
      </c>
      <c r="U2163" s="7">
        <f>T2163*O2163</f>
        <v>0</v>
      </c>
    </row>
    <row r="2164" spans="1:21">
      <c r="A2164" s="4" t="s">
        <v>3198</v>
      </c>
      <c r="B2164" s="4" t="s">
        <v>39</v>
      </c>
      <c r="C2164" s="5">
        <v>45953.2837037037</v>
      </c>
      <c r="D2164" s="5">
        <v>45953</v>
      </c>
      <c r="E2164" s="6">
        <f>IF(AND(C2164&lt;&gt;"",D2164&lt;&gt;""),D2164-C2164,"")</f>
        <v>0</v>
      </c>
      <c r="F2164" s="4" t="s">
        <v>3199</v>
      </c>
      <c r="G2164" s="4" t="s">
        <v>3200</v>
      </c>
      <c r="H2164" s="4" t="s">
        <v>32</v>
      </c>
      <c r="I2164" s="4" t="s">
        <v>33</v>
      </c>
      <c r="J2164" s="4">
        <v>0</v>
      </c>
      <c r="K2164" s="4">
        <v>0</v>
      </c>
      <c r="L2164" s="4">
        <f>J2164+K2164</f>
        <v>0</v>
      </c>
      <c r="M2164" s="4" t="s">
        <v>370</v>
      </c>
      <c r="N2164" s="4"/>
      <c r="O2164" s="4">
        <v>1</v>
      </c>
      <c r="P2164" s="4" t="s">
        <v>135</v>
      </c>
      <c r="Q2164" s="4"/>
      <c r="R2164" s="7">
        <v>3000000</v>
      </c>
      <c r="S2164" s="7">
        <v>0</v>
      </c>
      <c r="T2164" s="7">
        <f>R2164-S2164</f>
        <v>0</v>
      </c>
      <c r="U2164" s="7">
        <f>T2164*O2164</f>
        <v>0</v>
      </c>
    </row>
    <row r="2165" spans="1:21">
      <c r="A2165" s="4" t="s">
        <v>3201</v>
      </c>
      <c r="B2165" s="4" t="s">
        <v>48</v>
      </c>
      <c r="C2165" s="5">
        <v>45953.28396990741</v>
      </c>
      <c r="D2165" s="5">
        <v>45961</v>
      </c>
      <c r="E2165" s="6">
        <f>IF(AND(C2165&lt;&gt;"",D2165&lt;&gt;""),D2165-C2165,"")</f>
        <v>0</v>
      </c>
      <c r="F2165" s="4" t="s">
        <v>3202</v>
      </c>
      <c r="G2165" s="4" t="s">
        <v>3203</v>
      </c>
      <c r="H2165" s="4" t="s">
        <v>32</v>
      </c>
      <c r="I2165" s="4" t="s">
        <v>33</v>
      </c>
      <c r="J2165" s="4">
        <v>3</v>
      </c>
      <c r="K2165" s="4">
        <v>0</v>
      </c>
      <c r="L2165" s="4">
        <f>J2165+K2165</f>
        <v>0</v>
      </c>
      <c r="M2165" s="4"/>
      <c r="N2165" s="4"/>
      <c r="O2165" s="4">
        <v>0</v>
      </c>
      <c r="P2165" s="4"/>
      <c r="Q2165" s="4"/>
      <c r="R2165" s="7">
        <v>0</v>
      </c>
      <c r="S2165" s="7">
        <v>0</v>
      </c>
      <c r="T2165" s="7">
        <f>R2165-S2165</f>
        <v>0</v>
      </c>
      <c r="U2165" s="7">
        <f>T2165*O2165</f>
        <v>0</v>
      </c>
    </row>
    <row r="2166" spans="1:21">
      <c r="A2166" s="4" t="s">
        <v>3204</v>
      </c>
      <c r="B2166" s="4" t="s">
        <v>39</v>
      </c>
      <c r="C2166" s="5">
        <v>45953.29304398148</v>
      </c>
      <c r="D2166" s="5">
        <v>45953</v>
      </c>
      <c r="E2166" s="6">
        <f>IF(AND(C2166&lt;&gt;"",D2166&lt;&gt;""),D2166-C2166,"")</f>
        <v>0</v>
      </c>
      <c r="F2166" s="4" t="s">
        <v>3205</v>
      </c>
      <c r="G2166" s="4" t="s">
        <v>3206</v>
      </c>
      <c r="H2166" s="4" t="s">
        <v>32</v>
      </c>
      <c r="I2166" s="4" t="s">
        <v>33</v>
      </c>
      <c r="J2166" s="4">
        <v>2</v>
      </c>
      <c r="K2166" s="4">
        <v>0</v>
      </c>
      <c r="L2166" s="4">
        <f>J2166+K2166</f>
        <v>0</v>
      </c>
      <c r="M2166" s="4" t="s">
        <v>80</v>
      </c>
      <c r="N2166" s="4"/>
      <c r="O2166" s="4">
        <v>2</v>
      </c>
      <c r="P2166" s="4" t="s">
        <v>135</v>
      </c>
      <c r="Q2166" s="4" t="s">
        <v>44</v>
      </c>
      <c r="R2166" s="7">
        <v>610000</v>
      </c>
      <c r="S2166" s="7">
        <v>0</v>
      </c>
      <c r="T2166" s="7">
        <f>R2166-S2166</f>
        <v>0</v>
      </c>
      <c r="U2166" s="7">
        <f>T2166*O2166</f>
        <v>0</v>
      </c>
    </row>
    <row r="2167" spans="1:21">
      <c r="A2167" s="4" t="s">
        <v>3207</v>
      </c>
      <c r="B2167" s="4" t="s">
        <v>39</v>
      </c>
      <c r="C2167" s="5">
        <v>45953.29435185185</v>
      </c>
      <c r="D2167" s="5">
        <v>45953</v>
      </c>
      <c r="E2167" s="6">
        <f>IF(AND(C2167&lt;&gt;"",D2167&lt;&gt;""),D2167-C2167,"")</f>
        <v>0</v>
      </c>
      <c r="F2167" s="4" t="s">
        <v>3208</v>
      </c>
      <c r="G2167" s="4" t="s">
        <v>3209</v>
      </c>
      <c r="H2167" s="4" t="s">
        <v>32</v>
      </c>
      <c r="I2167" s="4" t="s">
        <v>33</v>
      </c>
      <c r="J2167" s="4">
        <v>2</v>
      </c>
      <c r="K2167" s="4">
        <v>0</v>
      </c>
      <c r="L2167" s="4">
        <f>J2167+K2167</f>
        <v>0</v>
      </c>
      <c r="M2167" s="4" t="s">
        <v>80</v>
      </c>
      <c r="N2167" s="4"/>
      <c r="O2167" s="4">
        <v>2</v>
      </c>
      <c r="P2167" s="4" t="s">
        <v>135</v>
      </c>
      <c r="Q2167" s="4" t="s">
        <v>3210</v>
      </c>
      <c r="R2167" s="7">
        <v>350000</v>
      </c>
      <c r="S2167" s="7">
        <v>0</v>
      </c>
      <c r="T2167" s="7">
        <f>R2167-S2167</f>
        <v>0</v>
      </c>
      <c r="U2167" s="7">
        <f>T2167*O2167</f>
        <v>0</v>
      </c>
    </row>
    <row r="2168" spans="1:21">
      <c r="A2168" s="4" t="s">
        <v>3211</v>
      </c>
      <c r="B2168" s="4" t="s">
        <v>39</v>
      </c>
      <c r="C2168" s="5">
        <v>45953.29561342593</v>
      </c>
      <c r="D2168" s="5">
        <v>45953</v>
      </c>
      <c r="E2168" s="6">
        <f>IF(AND(C2168&lt;&gt;"",D2168&lt;&gt;""),D2168-C2168,"")</f>
        <v>0</v>
      </c>
      <c r="F2168" s="4" t="s">
        <v>3205</v>
      </c>
      <c r="G2168" s="4" t="s">
        <v>3212</v>
      </c>
      <c r="H2168" s="4" t="s">
        <v>32</v>
      </c>
      <c r="I2168" s="4" t="s">
        <v>33</v>
      </c>
      <c r="J2168" s="4">
        <v>1</v>
      </c>
      <c r="K2168" s="4">
        <v>0</v>
      </c>
      <c r="L2168" s="4">
        <f>J2168+K2168</f>
        <v>0</v>
      </c>
      <c r="M2168" s="4" t="s">
        <v>80</v>
      </c>
      <c r="N2168" s="4"/>
      <c r="O2168" s="4">
        <v>1</v>
      </c>
      <c r="P2168" s="4" t="s">
        <v>135</v>
      </c>
      <c r="Q2168" s="4" t="s">
        <v>3213</v>
      </c>
      <c r="R2168" s="7">
        <v>549000</v>
      </c>
      <c r="S2168" s="7">
        <v>0</v>
      </c>
      <c r="T2168" s="7">
        <f>R2168-S2168</f>
        <v>0</v>
      </c>
      <c r="U2168" s="7">
        <f>T2168*O2168</f>
        <v>0</v>
      </c>
    </row>
    <row r="2169" spans="1:21">
      <c r="A2169" s="4" t="s">
        <v>3211</v>
      </c>
      <c r="B2169" s="4" t="s">
        <v>39</v>
      </c>
      <c r="C2169" s="5">
        <v>45953.29561342593</v>
      </c>
      <c r="D2169" s="5">
        <v>45953</v>
      </c>
      <c r="E2169" s="6">
        <f>IF(AND(C2169&lt;&gt;"",D2169&lt;&gt;""),D2169-C2169,"")</f>
        <v>0</v>
      </c>
      <c r="F2169" s="4" t="s">
        <v>3205</v>
      </c>
      <c r="G2169" s="4" t="s">
        <v>3212</v>
      </c>
      <c r="H2169" s="4" t="s">
        <v>32</v>
      </c>
      <c r="I2169" s="4" t="s">
        <v>33</v>
      </c>
      <c r="J2169" s="4">
        <v>1</v>
      </c>
      <c r="K2169" s="4">
        <v>0</v>
      </c>
      <c r="L2169" s="4">
        <f>J2169+K2169</f>
        <v>0</v>
      </c>
      <c r="M2169" s="4" t="s">
        <v>80</v>
      </c>
      <c r="N2169" s="4"/>
      <c r="O2169" s="4">
        <v>1</v>
      </c>
      <c r="P2169" s="4" t="s">
        <v>135</v>
      </c>
      <c r="Q2169" s="4" t="s">
        <v>3213</v>
      </c>
      <c r="R2169" s="7">
        <v>549000</v>
      </c>
      <c r="S2169" s="7">
        <v>0</v>
      </c>
      <c r="T2169" s="7">
        <f>R2169-S2169</f>
        <v>0</v>
      </c>
      <c r="U2169" s="7">
        <f>T2169*O2169</f>
        <v>0</v>
      </c>
    </row>
    <row r="2170" spans="1:21">
      <c r="A2170" s="4" t="s">
        <v>3214</v>
      </c>
      <c r="B2170" s="4" t="s">
        <v>39</v>
      </c>
      <c r="C2170" s="5">
        <v>45953.29616898148</v>
      </c>
      <c r="D2170" s="5">
        <v>45953</v>
      </c>
      <c r="E2170" s="6">
        <f>IF(AND(C2170&lt;&gt;"",D2170&lt;&gt;""),D2170-C2170,"")</f>
        <v>0</v>
      </c>
      <c r="F2170" s="4" t="s">
        <v>3193</v>
      </c>
      <c r="G2170" s="4" t="s">
        <v>3194</v>
      </c>
      <c r="H2170" s="4" t="s">
        <v>190</v>
      </c>
      <c r="I2170" s="4" t="s">
        <v>56</v>
      </c>
      <c r="J2170" s="4">
        <v>1</v>
      </c>
      <c r="K2170" s="4">
        <v>0</v>
      </c>
      <c r="L2170" s="4">
        <f>J2170+K2170</f>
        <v>0</v>
      </c>
      <c r="M2170" s="4" t="s">
        <v>42</v>
      </c>
      <c r="N2170" s="4"/>
      <c r="O2170" s="4">
        <v>1</v>
      </c>
      <c r="P2170" s="4" t="s">
        <v>135</v>
      </c>
      <c r="Q2170" s="4" t="s">
        <v>44</v>
      </c>
      <c r="R2170" s="7">
        <v>370000</v>
      </c>
      <c r="S2170" s="7">
        <v>370000</v>
      </c>
      <c r="T2170" s="7">
        <f>R2170-S2170</f>
        <v>0</v>
      </c>
      <c r="U2170" s="7">
        <f>T2170*O2170</f>
        <v>0</v>
      </c>
    </row>
    <row r="2171" spans="1:21">
      <c r="A2171" s="4" t="s">
        <v>3215</v>
      </c>
      <c r="B2171" s="4" t="s">
        <v>39</v>
      </c>
      <c r="C2171" s="5">
        <v>45953.29667824074</v>
      </c>
      <c r="D2171" s="5">
        <v>45953</v>
      </c>
      <c r="E2171" s="6">
        <f>IF(AND(C2171&lt;&gt;"",D2171&lt;&gt;""),D2171-C2171,"")</f>
        <v>0</v>
      </c>
      <c r="F2171" s="4" t="s">
        <v>3216</v>
      </c>
      <c r="G2171" s="4" t="s">
        <v>3217</v>
      </c>
      <c r="H2171" s="4" t="s">
        <v>32</v>
      </c>
      <c r="I2171" s="4" t="s">
        <v>33</v>
      </c>
      <c r="J2171" s="4">
        <v>1</v>
      </c>
      <c r="K2171" s="4">
        <v>0</v>
      </c>
      <c r="L2171" s="4">
        <f>J2171+K2171</f>
        <v>0</v>
      </c>
      <c r="M2171" s="4" t="s">
        <v>80</v>
      </c>
      <c r="N2171" s="4"/>
      <c r="O2171" s="4">
        <v>1</v>
      </c>
      <c r="P2171" s="4" t="s">
        <v>135</v>
      </c>
      <c r="Q2171" s="4" t="s">
        <v>44</v>
      </c>
      <c r="R2171" s="7">
        <v>610000</v>
      </c>
      <c r="S2171" s="7">
        <v>610000</v>
      </c>
      <c r="T2171" s="7">
        <f>R2171-S2171</f>
        <v>0</v>
      </c>
      <c r="U2171" s="7">
        <f>T2171*O2171</f>
        <v>0</v>
      </c>
    </row>
    <row r="2172" spans="1:21">
      <c r="A2172" s="4" t="s">
        <v>3218</v>
      </c>
      <c r="B2172" s="4" t="s">
        <v>39</v>
      </c>
      <c r="C2172" s="5">
        <v>45953.29671296296</v>
      </c>
      <c r="D2172" s="5">
        <v>45953</v>
      </c>
      <c r="E2172" s="6">
        <f>IF(AND(C2172&lt;&gt;"",D2172&lt;&gt;""),D2172-C2172,"")</f>
        <v>0</v>
      </c>
      <c r="F2172" s="4" t="s">
        <v>3219</v>
      </c>
      <c r="G2172" s="4" t="s">
        <v>3220</v>
      </c>
      <c r="H2172" s="4" t="s">
        <v>32</v>
      </c>
      <c r="I2172" s="4" t="s">
        <v>33</v>
      </c>
      <c r="J2172" s="4">
        <v>1</v>
      </c>
      <c r="K2172" s="4">
        <v>0</v>
      </c>
      <c r="L2172" s="4">
        <f>J2172+K2172</f>
        <v>0</v>
      </c>
      <c r="M2172" s="4" t="s">
        <v>42</v>
      </c>
      <c r="N2172" s="4"/>
      <c r="O2172" s="4">
        <v>1</v>
      </c>
      <c r="P2172" s="4" t="s">
        <v>43</v>
      </c>
      <c r="Q2172" s="4" t="s">
        <v>44</v>
      </c>
      <c r="R2172" s="7">
        <v>370000</v>
      </c>
      <c r="S2172" s="7">
        <v>370000</v>
      </c>
      <c r="T2172" s="7">
        <f>R2172-S2172</f>
        <v>0</v>
      </c>
      <c r="U2172" s="7">
        <f>T2172*O2172</f>
        <v>0</v>
      </c>
    </row>
    <row r="2173" spans="1:21">
      <c r="A2173" s="4" t="s">
        <v>3221</v>
      </c>
      <c r="B2173" s="4" t="s">
        <v>39</v>
      </c>
      <c r="C2173" s="5">
        <v>45953.29677083333</v>
      </c>
      <c r="D2173" s="5">
        <v>45953</v>
      </c>
      <c r="E2173" s="6">
        <f>IF(AND(C2173&lt;&gt;"",D2173&lt;&gt;""),D2173-C2173,"")</f>
        <v>0</v>
      </c>
      <c r="F2173" s="4" t="s">
        <v>3222</v>
      </c>
      <c r="G2173" s="4" t="s">
        <v>3223</v>
      </c>
      <c r="H2173" s="4" t="s">
        <v>32</v>
      </c>
      <c r="I2173" s="4" t="s">
        <v>33</v>
      </c>
      <c r="J2173" s="4">
        <v>1</v>
      </c>
      <c r="K2173" s="4">
        <v>0</v>
      </c>
      <c r="L2173" s="4">
        <f>J2173+K2173</f>
        <v>0</v>
      </c>
      <c r="M2173" s="4" t="s">
        <v>80</v>
      </c>
      <c r="N2173" s="4"/>
      <c r="O2173" s="4">
        <v>1</v>
      </c>
      <c r="P2173" s="4" t="s">
        <v>43</v>
      </c>
      <c r="Q2173" s="4" t="s">
        <v>44</v>
      </c>
      <c r="R2173" s="7">
        <v>610000</v>
      </c>
      <c r="S2173" s="7">
        <v>610000</v>
      </c>
      <c r="T2173" s="7">
        <f>R2173-S2173</f>
        <v>0</v>
      </c>
      <c r="U2173" s="7">
        <f>T2173*O2173</f>
        <v>0</v>
      </c>
    </row>
    <row r="2174" spans="1:21">
      <c r="A2174" s="4" t="s">
        <v>3224</v>
      </c>
      <c r="B2174" s="4" t="s">
        <v>39</v>
      </c>
      <c r="C2174" s="5">
        <v>45953.29697916667</v>
      </c>
      <c r="D2174" s="5">
        <v>45953</v>
      </c>
      <c r="E2174" s="6">
        <f>IF(AND(C2174&lt;&gt;"",D2174&lt;&gt;""),D2174-C2174,"")</f>
        <v>0</v>
      </c>
      <c r="F2174" s="4" t="s">
        <v>1915</v>
      </c>
      <c r="G2174" s="4" t="s">
        <v>1916</v>
      </c>
      <c r="H2174" s="4" t="s">
        <v>1917</v>
      </c>
      <c r="I2174" s="4" t="s">
        <v>56</v>
      </c>
      <c r="J2174" s="4">
        <v>1</v>
      </c>
      <c r="K2174" s="4">
        <v>0</v>
      </c>
      <c r="L2174" s="4">
        <f>J2174+K2174</f>
        <v>0</v>
      </c>
      <c r="M2174" s="4" t="s">
        <v>80</v>
      </c>
      <c r="N2174" s="4"/>
      <c r="O2174" s="4">
        <v>1</v>
      </c>
      <c r="P2174" s="4" t="s">
        <v>135</v>
      </c>
      <c r="Q2174" s="4" t="s">
        <v>44</v>
      </c>
      <c r="R2174" s="7">
        <v>610000</v>
      </c>
      <c r="S2174" s="7">
        <v>610000</v>
      </c>
      <c r="T2174" s="7">
        <f>R2174-S2174</f>
        <v>0</v>
      </c>
      <c r="U2174" s="7">
        <f>T2174*O2174</f>
        <v>0</v>
      </c>
    </row>
    <row r="2175" spans="1:21">
      <c r="A2175" s="4" t="s">
        <v>3225</v>
      </c>
      <c r="B2175" s="4" t="s">
        <v>39</v>
      </c>
      <c r="C2175" s="5">
        <v>45953.29850694445</v>
      </c>
      <c r="D2175" s="5">
        <v>45953</v>
      </c>
      <c r="E2175" s="6">
        <f>IF(AND(C2175&lt;&gt;"",D2175&lt;&gt;""),D2175-C2175,"")</f>
        <v>0</v>
      </c>
      <c r="F2175" s="4" t="s">
        <v>162</v>
      </c>
      <c r="G2175" s="4" t="s">
        <v>163</v>
      </c>
      <c r="H2175" s="4" t="s">
        <v>32</v>
      </c>
      <c r="I2175" s="4" t="s">
        <v>33</v>
      </c>
      <c r="J2175" s="4">
        <v>1</v>
      </c>
      <c r="K2175" s="4">
        <v>0</v>
      </c>
      <c r="L2175" s="4">
        <f>J2175+K2175</f>
        <v>0</v>
      </c>
      <c r="M2175" s="4" t="s">
        <v>80</v>
      </c>
      <c r="N2175" s="4"/>
      <c r="O2175" s="4">
        <v>1</v>
      </c>
      <c r="P2175" s="4" t="s">
        <v>135</v>
      </c>
      <c r="Q2175" s="4" t="s">
        <v>44</v>
      </c>
      <c r="R2175" s="7">
        <v>610000</v>
      </c>
      <c r="S2175" s="7">
        <v>0</v>
      </c>
      <c r="T2175" s="7">
        <f>R2175-S2175</f>
        <v>0</v>
      </c>
      <c r="U2175" s="7">
        <f>T2175*O2175</f>
        <v>0</v>
      </c>
    </row>
    <row r="2176" spans="1:21">
      <c r="A2176" s="4" t="s">
        <v>3226</v>
      </c>
      <c r="B2176" s="4" t="s">
        <v>39</v>
      </c>
      <c r="C2176" s="5">
        <v>45953.29863425926</v>
      </c>
      <c r="D2176" s="5">
        <v>45953</v>
      </c>
      <c r="E2176" s="6">
        <f>IF(AND(C2176&lt;&gt;"",D2176&lt;&gt;""),D2176-C2176,"")</f>
        <v>0</v>
      </c>
      <c r="F2176" s="4" t="s">
        <v>918</v>
      </c>
      <c r="G2176" s="4" t="s">
        <v>919</v>
      </c>
      <c r="H2176" s="4"/>
      <c r="I2176" s="4" t="s">
        <v>56</v>
      </c>
      <c r="J2176" s="4">
        <v>1</v>
      </c>
      <c r="K2176" s="4">
        <v>0</v>
      </c>
      <c r="L2176" s="4">
        <f>J2176+K2176</f>
        <v>0</v>
      </c>
      <c r="M2176" s="4" t="s">
        <v>42</v>
      </c>
      <c r="N2176" s="4"/>
      <c r="O2176" s="4">
        <v>1</v>
      </c>
      <c r="P2176" s="4" t="s">
        <v>135</v>
      </c>
      <c r="Q2176" s="4" t="s">
        <v>44</v>
      </c>
      <c r="R2176" s="7">
        <v>370000</v>
      </c>
      <c r="S2176" s="7">
        <v>0</v>
      </c>
      <c r="T2176" s="7">
        <f>R2176-S2176</f>
        <v>0</v>
      </c>
      <c r="U2176" s="7">
        <f>T2176*O2176</f>
        <v>0</v>
      </c>
    </row>
    <row r="2177" spans="1:21">
      <c r="A2177" s="4" t="s">
        <v>3227</v>
      </c>
      <c r="B2177" s="4" t="s">
        <v>39</v>
      </c>
      <c r="C2177" s="5">
        <v>45953.29876157407</v>
      </c>
      <c r="D2177" s="5">
        <v>45953</v>
      </c>
      <c r="E2177" s="6">
        <f>IF(AND(C2177&lt;&gt;"",D2177&lt;&gt;""),D2177-C2177,"")</f>
        <v>0</v>
      </c>
      <c r="F2177" s="4" t="s">
        <v>918</v>
      </c>
      <c r="G2177" s="4" t="s">
        <v>919</v>
      </c>
      <c r="H2177" s="4"/>
      <c r="I2177" s="4" t="s">
        <v>56</v>
      </c>
      <c r="J2177" s="4">
        <v>1</v>
      </c>
      <c r="K2177" s="4">
        <v>0</v>
      </c>
      <c r="L2177" s="4">
        <f>J2177+K2177</f>
        <v>0</v>
      </c>
      <c r="M2177" s="4" t="s">
        <v>42</v>
      </c>
      <c r="N2177" s="4"/>
      <c r="O2177" s="4">
        <v>1</v>
      </c>
      <c r="P2177" s="4" t="s">
        <v>135</v>
      </c>
      <c r="Q2177" s="4" t="s">
        <v>44</v>
      </c>
      <c r="R2177" s="7">
        <v>370000</v>
      </c>
      <c r="S2177" s="7">
        <v>0</v>
      </c>
      <c r="T2177" s="7">
        <f>R2177-S2177</f>
        <v>0</v>
      </c>
      <c r="U2177" s="7">
        <f>T2177*O2177</f>
        <v>0</v>
      </c>
    </row>
    <row r="2178" spans="1:21">
      <c r="A2178" s="4" t="s">
        <v>3228</v>
      </c>
      <c r="B2178" s="4" t="s">
        <v>39</v>
      </c>
      <c r="C2178" s="5">
        <v>45953.29887731482</v>
      </c>
      <c r="D2178" s="5">
        <v>45953</v>
      </c>
      <c r="E2178" s="6">
        <f>IF(AND(C2178&lt;&gt;"",D2178&lt;&gt;""),D2178-C2178,"")</f>
        <v>0</v>
      </c>
      <c r="F2178" s="4" t="s">
        <v>78</v>
      </c>
      <c r="G2178" s="4" t="s">
        <v>79</v>
      </c>
      <c r="H2178" s="4"/>
      <c r="I2178" s="4" t="s">
        <v>56</v>
      </c>
      <c r="J2178" s="4">
        <v>1</v>
      </c>
      <c r="K2178" s="4">
        <v>0</v>
      </c>
      <c r="L2178" s="4">
        <f>J2178+K2178</f>
        <v>0</v>
      </c>
      <c r="M2178" s="4" t="s">
        <v>42</v>
      </c>
      <c r="N2178" s="4"/>
      <c r="O2178" s="4">
        <v>1</v>
      </c>
      <c r="P2178" s="4" t="s">
        <v>135</v>
      </c>
      <c r="Q2178" s="4" t="s">
        <v>44</v>
      </c>
      <c r="R2178" s="7">
        <v>370000</v>
      </c>
      <c r="S2178" s="7">
        <v>0</v>
      </c>
      <c r="T2178" s="7">
        <f>R2178-S2178</f>
        <v>0</v>
      </c>
      <c r="U2178" s="7">
        <f>T2178*O2178</f>
        <v>0</v>
      </c>
    </row>
    <row r="2179" spans="1:21">
      <c r="A2179" s="4" t="s">
        <v>3229</v>
      </c>
      <c r="B2179" s="4" t="s">
        <v>39</v>
      </c>
      <c r="C2179" s="5">
        <v>45953.29918981482</v>
      </c>
      <c r="D2179" s="5">
        <v>45953</v>
      </c>
      <c r="E2179" s="6">
        <f>IF(AND(C2179&lt;&gt;"",D2179&lt;&gt;""),D2179-C2179,"")</f>
        <v>0</v>
      </c>
      <c r="F2179" s="4" t="s">
        <v>3230</v>
      </c>
      <c r="G2179" s="4" t="s">
        <v>3231</v>
      </c>
      <c r="H2179" s="4" t="s">
        <v>32</v>
      </c>
      <c r="I2179" s="4" t="s">
        <v>33</v>
      </c>
      <c r="J2179" s="4">
        <v>0</v>
      </c>
      <c r="K2179" s="4">
        <v>0</v>
      </c>
      <c r="L2179" s="4">
        <f>J2179+K2179</f>
        <v>0</v>
      </c>
      <c r="M2179" s="4" t="s">
        <v>370</v>
      </c>
      <c r="N2179" s="4"/>
      <c r="O2179" s="4">
        <v>1</v>
      </c>
      <c r="P2179" s="4" t="s">
        <v>43</v>
      </c>
      <c r="Q2179" s="4" t="s">
        <v>44</v>
      </c>
      <c r="R2179" s="7">
        <v>1000000</v>
      </c>
      <c r="S2179" s="7">
        <v>0</v>
      </c>
      <c r="T2179" s="7">
        <f>R2179-S2179</f>
        <v>0</v>
      </c>
      <c r="U2179" s="7">
        <f>T2179*O2179</f>
        <v>0</v>
      </c>
    </row>
    <row r="2180" spans="1:21">
      <c r="A2180" s="4" t="s">
        <v>3232</v>
      </c>
      <c r="B2180" s="4" t="s">
        <v>39</v>
      </c>
      <c r="C2180" s="5">
        <v>45953.29997685185</v>
      </c>
      <c r="D2180" s="5">
        <v>45953</v>
      </c>
      <c r="E2180" s="6">
        <f>IF(AND(C2180&lt;&gt;"",D2180&lt;&gt;""),D2180-C2180,"")</f>
        <v>0</v>
      </c>
      <c r="F2180" s="4" t="s">
        <v>918</v>
      </c>
      <c r="G2180" s="4" t="s">
        <v>919</v>
      </c>
      <c r="H2180" s="4"/>
      <c r="I2180" s="4" t="s">
        <v>56</v>
      </c>
      <c r="J2180" s="4">
        <v>1</v>
      </c>
      <c r="K2180" s="4">
        <v>0</v>
      </c>
      <c r="L2180" s="4">
        <f>J2180+K2180</f>
        <v>0</v>
      </c>
      <c r="M2180" s="4" t="s">
        <v>42</v>
      </c>
      <c r="N2180" s="4"/>
      <c r="O2180" s="4">
        <v>1</v>
      </c>
      <c r="P2180" s="4" t="s">
        <v>135</v>
      </c>
      <c r="Q2180" s="4" t="s">
        <v>44</v>
      </c>
      <c r="R2180" s="7">
        <v>370000</v>
      </c>
      <c r="S2180" s="7">
        <v>0</v>
      </c>
      <c r="T2180" s="7">
        <f>R2180-S2180</f>
        <v>0</v>
      </c>
      <c r="U2180" s="7">
        <f>T2180*O2180</f>
        <v>0</v>
      </c>
    </row>
    <row r="2181" spans="1:21">
      <c r="A2181" s="4" t="s">
        <v>3233</v>
      </c>
      <c r="B2181" s="4" t="s">
        <v>39</v>
      </c>
      <c r="C2181" s="5">
        <v>45953.32194444445</v>
      </c>
      <c r="D2181" s="5">
        <v>45953</v>
      </c>
      <c r="E2181" s="6">
        <f>IF(AND(C2181&lt;&gt;"",D2181&lt;&gt;""),D2181-C2181,"")</f>
        <v>0</v>
      </c>
      <c r="F2181" s="4" t="s">
        <v>3234</v>
      </c>
      <c r="G2181" s="4" t="s">
        <v>3235</v>
      </c>
      <c r="H2181" s="4" t="s">
        <v>975</v>
      </c>
      <c r="I2181" s="4" t="s">
        <v>56</v>
      </c>
      <c r="J2181" s="4">
        <v>0</v>
      </c>
      <c r="K2181" s="4">
        <v>0</v>
      </c>
      <c r="L2181" s="4">
        <f>J2181+K2181</f>
        <v>0</v>
      </c>
      <c r="M2181" s="4" t="s">
        <v>370</v>
      </c>
      <c r="N2181" s="4"/>
      <c r="O2181" s="4">
        <v>1</v>
      </c>
      <c r="P2181" s="4" t="s">
        <v>135</v>
      </c>
      <c r="Q2181" s="4" t="s">
        <v>44</v>
      </c>
      <c r="R2181" s="7">
        <v>10000</v>
      </c>
      <c r="S2181" s="7">
        <v>0</v>
      </c>
      <c r="T2181" s="7">
        <f>R2181-S2181</f>
        <v>0</v>
      </c>
      <c r="U2181" s="7">
        <f>T2181*O2181</f>
        <v>0</v>
      </c>
    </row>
    <row r="2182" spans="1:21">
      <c r="A2182" s="4" t="s">
        <v>3236</v>
      </c>
      <c r="B2182" s="4" t="s">
        <v>39</v>
      </c>
      <c r="C2182" s="5">
        <v>45953.32270833333</v>
      </c>
      <c r="D2182" s="5">
        <v>45953</v>
      </c>
      <c r="E2182" s="6">
        <f>IF(AND(C2182&lt;&gt;"",D2182&lt;&gt;""),D2182-C2182,"")</f>
        <v>0</v>
      </c>
      <c r="F2182" s="4" t="s">
        <v>3237</v>
      </c>
      <c r="G2182" s="4" t="s">
        <v>3238</v>
      </c>
      <c r="H2182" s="4"/>
      <c r="I2182" s="4" t="s">
        <v>56</v>
      </c>
      <c r="J2182" s="4">
        <v>3</v>
      </c>
      <c r="K2182" s="4">
        <v>0</v>
      </c>
      <c r="L2182" s="4">
        <f>J2182+K2182</f>
        <v>0</v>
      </c>
      <c r="M2182" s="4" t="s">
        <v>42</v>
      </c>
      <c r="N2182" s="4"/>
      <c r="O2182" s="4">
        <v>3</v>
      </c>
      <c r="P2182" s="4" t="s">
        <v>135</v>
      </c>
      <c r="Q2182" s="4" t="s">
        <v>44</v>
      </c>
      <c r="R2182" s="7">
        <v>370000</v>
      </c>
      <c r="S2182" s="7">
        <v>0</v>
      </c>
      <c r="T2182" s="7">
        <f>R2182-S2182</f>
        <v>0</v>
      </c>
      <c r="U2182" s="7">
        <f>T2182*O2182</f>
        <v>0</v>
      </c>
    </row>
    <row r="2183" spans="1:21">
      <c r="A2183" s="4" t="s">
        <v>3236</v>
      </c>
      <c r="B2183" s="4" t="s">
        <v>39</v>
      </c>
      <c r="C2183" s="5">
        <v>45953.32270833333</v>
      </c>
      <c r="D2183" s="5">
        <v>45953</v>
      </c>
      <c r="E2183" s="6">
        <f>IF(AND(C2183&lt;&gt;"",D2183&lt;&gt;""),D2183-C2183,"")</f>
        <v>0</v>
      </c>
      <c r="F2183" s="4" t="s">
        <v>3237</v>
      </c>
      <c r="G2183" s="4" t="s">
        <v>3238</v>
      </c>
      <c r="H2183" s="4"/>
      <c r="I2183" s="4" t="s">
        <v>56</v>
      </c>
      <c r="J2183" s="4">
        <v>0</v>
      </c>
      <c r="K2183" s="4">
        <v>0</v>
      </c>
      <c r="L2183" s="4">
        <f>J2183+K2183</f>
        <v>0</v>
      </c>
      <c r="M2183" s="4" t="s">
        <v>370</v>
      </c>
      <c r="N2183" s="4"/>
      <c r="O2183" s="4">
        <v>1</v>
      </c>
      <c r="P2183" s="4" t="s">
        <v>135</v>
      </c>
      <c r="Q2183" s="4" t="s">
        <v>44</v>
      </c>
      <c r="R2183" s="7">
        <v>2000000</v>
      </c>
      <c r="S2183" s="7">
        <v>0</v>
      </c>
      <c r="T2183" s="7">
        <f>R2183-S2183</f>
        <v>0</v>
      </c>
      <c r="U2183" s="7">
        <f>T2183*O2183</f>
        <v>0</v>
      </c>
    </row>
    <row r="2184" spans="1:21">
      <c r="A2184" s="4" t="s">
        <v>3239</v>
      </c>
      <c r="B2184" s="4" t="s">
        <v>39</v>
      </c>
      <c r="C2184" s="5">
        <v>45953.32337962963</v>
      </c>
      <c r="D2184" s="5">
        <v>45953</v>
      </c>
      <c r="E2184" s="6">
        <f>IF(AND(C2184&lt;&gt;"",D2184&lt;&gt;""),D2184-C2184,"")</f>
        <v>0</v>
      </c>
      <c r="F2184" s="4" t="s">
        <v>3240</v>
      </c>
      <c r="G2184" s="4" t="s">
        <v>3241</v>
      </c>
      <c r="H2184" s="4" t="s">
        <v>32</v>
      </c>
      <c r="I2184" s="4" t="s">
        <v>33</v>
      </c>
      <c r="J2184" s="4">
        <v>1</v>
      </c>
      <c r="K2184" s="4">
        <v>0</v>
      </c>
      <c r="L2184" s="4">
        <f>J2184+K2184</f>
        <v>0</v>
      </c>
      <c r="M2184" s="4" t="s">
        <v>1645</v>
      </c>
      <c r="N2184" s="4"/>
      <c r="O2184" s="4">
        <v>1</v>
      </c>
      <c r="P2184" s="4" t="s">
        <v>135</v>
      </c>
      <c r="Q2184" s="4" t="s">
        <v>44</v>
      </c>
      <c r="R2184" s="7">
        <v>2100000</v>
      </c>
      <c r="S2184" s="7">
        <v>0</v>
      </c>
      <c r="T2184" s="7">
        <f>R2184-S2184</f>
        <v>0</v>
      </c>
      <c r="U2184" s="7">
        <f>T2184*O2184</f>
        <v>0</v>
      </c>
    </row>
    <row r="2185" spans="1:21">
      <c r="A2185" s="4" t="s">
        <v>3239</v>
      </c>
      <c r="B2185" s="4" t="s">
        <v>39</v>
      </c>
      <c r="C2185" s="5">
        <v>45953.32337962963</v>
      </c>
      <c r="D2185" s="5">
        <v>45953</v>
      </c>
      <c r="E2185" s="6">
        <f>IF(AND(C2185&lt;&gt;"",D2185&lt;&gt;""),D2185-C2185,"")</f>
        <v>0</v>
      </c>
      <c r="F2185" s="4" t="s">
        <v>3240</v>
      </c>
      <c r="G2185" s="4" t="s">
        <v>3241</v>
      </c>
      <c r="H2185" s="4" t="s">
        <v>32</v>
      </c>
      <c r="I2185" s="4" t="s">
        <v>33</v>
      </c>
      <c r="J2185" s="4">
        <v>0</v>
      </c>
      <c r="K2185" s="4">
        <v>0</v>
      </c>
      <c r="L2185" s="4">
        <f>J2185+K2185</f>
        <v>0</v>
      </c>
      <c r="M2185" s="4" t="s">
        <v>370</v>
      </c>
      <c r="N2185" s="4"/>
      <c r="O2185" s="4">
        <v>1</v>
      </c>
      <c r="P2185" s="4" t="s">
        <v>135</v>
      </c>
      <c r="Q2185" s="4" t="s">
        <v>44</v>
      </c>
      <c r="R2185" s="7">
        <v>1000000</v>
      </c>
      <c r="S2185" s="7">
        <v>0</v>
      </c>
      <c r="T2185" s="7">
        <f>R2185-S2185</f>
        <v>0</v>
      </c>
      <c r="U2185" s="7">
        <f>T2185*O2185</f>
        <v>0</v>
      </c>
    </row>
    <row r="2186" spans="1:21">
      <c r="A2186" s="4" t="s">
        <v>3242</v>
      </c>
      <c r="B2186" s="4" t="s">
        <v>39</v>
      </c>
      <c r="C2186" s="5">
        <v>45953.32356481482</v>
      </c>
      <c r="D2186" s="5">
        <v>45953</v>
      </c>
      <c r="E2186" s="6">
        <f>IF(AND(C2186&lt;&gt;"",D2186&lt;&gt;""),D2186-C2186,"")</f>
        <v>0</v>
      </c>
      <c r="F2186" s="4" t="s">
        <v>3243</v>
      </c>
      <c r="G2186" s="4" t="s">
        <v>3244</v>
      </c>
      <c r="H2186" s="4" t="s">
        <v>1262</v>
      </c>
      <c r="I2186" s="4" t="s">
        <v>56</v>
      </c>
      <c r="J2186" s="4">
        <v>3</v>
      </c>
      <c r="K2186" s="4">
        <v>0</v>
      </c>
      <c r="L2186" s="4">
        <f>J2186+K2186</f>
        <v>0</v>
      </c>
      <c r="M2186" s="4" t="s">
        <v>80</v>
      </c>
      <c r="N2186" s="4"/>
      <c r="O2186" s="4">
        <v>3</v>
      </c>
      <c r="P2186" s="4" t="s">
        <v>135</v>
      </c>
      <c r="Q2186" s="4" t="s">
        <v>44</v>
      </c>
      <c r="R2186" s="7">
        <v>610000</v>
      </c>
      <c r="S2186" s="7">
        <v>0</v>
      </c>
      <c r="T2186" s="7">
        <f>R2186-S2186</f>
        <v>0</v>
      </c>
      <c r="U2186" s="7">
        <f>T2186*O2186</f>
        <v>0</v>
      </c>
    </row>
    <row r="2187" spans="1:21">
      <c r="A2187" s="4" t="s">
        <v>3242</v>
      </c>
      <c r="B2187" s="4" t="s">
        <v>39</v>
      </c>
      <c r="C2187" s="5">
        <v>45953.32356481482</v>
      </c>
      <c r="D2187" s="5">
        <v>45953</v>
      </c>
      <c r="E2187" s="6">
        <f>IF(AND(C2187&lt;&gt;"",D2187&lt;&gt;""),D2187-C2187,"")</f>
        <v>0</v>
      </c>
      <c r="F2187" s="4" t="s">
        <v>3243</v>
      </c>
      <c r="G2187" s="4" t="s">
        <v>3244</v>
      </c>
      <c r="H2187" s="4" t="s">
        <v>1262</v>
      </c>
      <c r="I2187" s="4" t="s">
        <v>56</v>
      </c>
      <c r="J2187" s="4">
        <v>0</v>
      </c>
      <c r="K2187" s="4">
        <v>0</v>
      </c>
      <c r="L2187" s="4">
        <f>J2187+K2187</f>
        <v>0</v>
      </c>
      <c r="M2187" s="4" t="s">
        <v>370</v>
      </c>
      <c r="N2187" s="4"/>
      <c r="O2187" s="4">
        <v>1</v>
      </c>
      <c r="P2187" s="4" t="s">
        <v>135</v>
      </c>
      <c r="Q2187" s="4" t="s">
        <v>44</v>
      </c>
      <c r="R2187" s="7">
        <v>2000000</v>
      </c>
      <c r="S2187" s="7">
        <v>0</v>
      </c>
      <c r="T2187" s="7">
        <f>R2187-S2187</f>
        <v>0</v>
      </c>
      <c r="U2187" s="7">
        <f>T2187*O2187</f>
        <v>0</v>
      </c>
    </row>
    <row r="2188" spans="1:21">
      <c r="A2188" s="4" t="s">
        <v>3245</v>
      </c>
      <c r="B2188" s="4" t="s">
        <v>39</v>
      </c>
      <c r="C2188" s="5">
        <v>45953.32391203703</v>
      </c>
      <c r="D2188" s="5">
        <v>45953</v>
      </c>
      <c r="E2188" s="6">
        <f>IF(AND(C2188&lt;&gt;"",D2188&lt;&gt;""),D2188-C2188,"")</f>
        <v>0</v>
      </c>
      <c r="F2188" s="4" t="s">
        <v>3246</v>
      </c>
      <c r="G2188" s="4" t="s">
        <v>3247</v>
      </c>
      <c r="H2188" s="4" t="s">
        <v>2905</v>
      </c>
      <c r="I2188" s="4" t="s">
        <v>56</v>
      </c>
      <c r="J2188" s="4">
        <v>3</v>
      </c>
      <c r="K2188" s="4">
        <v>0</v>
      </c>
      <c r="L2188" s="4">
        <f>J2188+K2188</f>
        <v>0</v>
      </c>
      <c r="M2188" s="4" t="s">
        <v>42</v>
      </c>
      <c r="N2188" s="4"/>
      <c r="O2188" s="4">
        <v>3</v>
      </c>
      <c r="P2188" s="4" t="s">
        <v>135</v>
      </c>
      <c r="Q2188" s="4" t="s">
        <v>44</v>
      </c>
      <c r="R2188" s="7">
        <v>370000</v>
      </c>
      <c r="S2188" s="7">
        <v>0</v>
      </c>
      <c r="T2188" s="7">
        <f>R2188-S2188</f>
        <v>0</v>
      </c>
      <c r="U2188" s="7">
        <f>T2188*O2188</f>
        <v>0</v>
      </c>
    </row>
    <row r="2189" spans="1:21">
      <c r="A2189" s="4" t="s">
        <v>3245</v>
      </c>
      <c r="B2189" s="4" t="s">
        <v>39</v>
      </c>
      <c r="C2189" s="5">
        <v>45953.32391203703</v>
      </c>
      <c r="D2189" s="5">
        <v>45953</v>
      </c>
      <c r="E2189" s="6">
        <f>IF(AND(C2189&lt;&gt;"",D2189&lt;&gt;""),D2189-C2189,"")</f>
        <v>0</v>
      </c>
      <c r="F2189" s="4" t="s">
        <v>3246</v>
      </c>
      <c r="G2189" s="4" t="s">
        <v>3247</v>
      </c>
      <c r="H2189" s="4" t="s">
        <v>2905</v>
      </c>
      <c r="I2189" s="4" t="s">
        <v>56</v>
      </c>
      <c r="J2189" s="4">
        <v>0</v>
      </c>
      <c r="K2189" s="4">
        <v>0</v>
      </c>
      <c r="L2189" s="4">
        <f>J2189+K2189</f>
        <v>0</v>
      </c>
      <c r="M2189" s="4" t="s">
        <v>370</v>
      </c>
      <c r="N2189" s="4"/>
      <c r="O2189" s="4">
        <v>1</v>
      </c>
      <c r="P2189" s="4" t="s">
        <v>135</v>
      </c>
      <c r="Q2189" s="4" t="s">
        <v>44</v>
      </c>
      <c r="R2189" s="7">
        <v>500000</v>
      </c>
      <c r="S2189" s="7">
        <v>0</v>
      </c>
      <c r="T2189" s="7">
        <f>R2189-S2189</f>
        <v>0</v>
      </c>
      <c r="U2189" s="7">
        <f>T2189*O2189</f>
        <v>0</v>
      </c>
    </row>
    <row r="2190" spans="1:21">
      <c r="A2190" s="4" t="s">
        <v>3248</v>
      </c>
      <c r="B2190" s="4" t="s">
        <v>39</v>
      </c>
      <c r="C2190" s="5">
        <v>45953.33991898148</v>
      </c>
      <c r="D2190" s="5">
        <v>45953</v>
      </c>
      <c r="E2190" s="6">
        <f>IF(AND(C2190&lt;&gt;"",D2190&lt;&gt;""),D2190-C2190,"")</f>
        <v>0</v>
      </c>
      <c r="F2190" s="4" t="s">
        <v>3205</v>
      </c>
      <c r="G2190" s="4" t="s">
        <v>3249</v>
      </c>
      <c r="H2190" s="4" t="s">
        <v>32</v>
      </c>
      <c r="I2190" s="4" t="s">
        <v>33</v>
      </c>
      <c r="J2190" s="4">
        <v>1</v>
      </c>
      <c r="K2190" s="4">
        <v>0</v>
      </c>
      <c r="L2190" s="4">
        <f>J2190+K2190</f>
        <v>0</v>
      </c>
      <c r="M2190" s="4" t="s">
        <v>80</v>
      </c>
      <c r="N2190" s="4"/>
      <c r="O2190" s="4">
        <v>1</v>
      </c>
      <c r="P2190" s="4" t="s">
        <v>135</v>
      </c>
      <c r="Q2190" s="4" t="s">
        <v>44</v>
      </c>
      <c r="R2190" s="7">
        <v>610000</v>
      </c>
      <c r="S2190" s="7">
        <v>0</v>
      </c>
      <c r="T2190" s="7">
        <f>R2190-S2190</f>
        <v>0</v>
      </c>
      <c r="U2190" s="7">
        <f>T2190*O2190</f>
        <v>0</v>
      </c>
    </row>
    <row r="2191" spans="1:21">
      <c r="A2191" s="4" t="s">
        <v>3248</v>
      </c>
      <c r="B2191" s="4" t="s">
        <v>39</v>
      </c>
      <c r="C2191" s="5">
        <v>45953.33991898148</v>
      </c>
      <c r="D2191" s="5">
        <v>45953</v>
      </c>
      <c r="E2191" s="6">
        <f>IF(AND(C2191&lt;&gt;"",D2191&lt;&gt;""),D2191-C2191,"")</f>
        <v>0</v>
      </c>
      <c r="F2191" s="4" t="s">
        <v>3205</v>
      </c>
      <c r="G2191" s="4" t="s">
        <v>3249</v>
      </c>
      <c r="H2191" s="4" t="s">
        <v>32</v>
      </c>
      <c r="I2191" s="4" t="s">
        <v>33</v>
      </c>
      <c r="J2191" s="4">
        <v>1</v>
      </c>
      <c r="K2191" s="4">
        <v>0</v>
      </c>
      <c r="L2191" s="4">
        <f>J2191+K2191</f>
        <v>0</v>
      </c>
      <c r="M2191" s="4" t="s">
        <v>42</v>
      </c>
      <c r="N2191" s="4"/>
      <c r="O2191" s="4">
        <v>1</v>
      </c>
      <c r="P2191" s="4" t="s">
        <v>135</v>
      </c>
      <c r="Q2191" s="4" t="s">
        <v>44</v>
      </c>
      <c r="R2191" s="7">
        <v>370000</v>
      </c>
      <c r="S2191" s="7">
        <v>0</v>
      </c>
      <c r="T2191" s="7">
        <f>R2191-S2191</f>
        <v>0</v>
      </c>
      <c r="U2191" s="7">
        <f>T2191*O2191</f>
        <v>0</v>
      </c>
    </row>
    <row r="2192" spans="1:21">
      <c r="A2192" s="4" t="s">
        <v>3250</v>
      </c>
      <c r="B2192" s="4" t="s">
        <v>39</v>
      </c>
      <c r="C2192" s="5">
        <v>45953.34783564815</v>
      </c>
      <c r="D2192" s="5">
        <v>45953</v>
      </c>
      <c r="E2192" s="6">
        <f>IF(AND(C2192&lt;&gt;"",D2192&lt;&gt;""),D2192-C2192,"")</f>
        <v>0</v>
      </c>
      <c r="F2192" s="4" t="s">
        <v>3130</v>
      </c>
      <c r="G2192" s="4" t="s">
        <v>3131</v>
      </c>
      <c r="H2192" s="4" t="s">
        <v>190</v>
      </c>
      <c r="I2192" s="4" t="s">
        <v>56</v>
      </c>
      <c r="J2192" s="4">
        <v>0</v>
      </c>
      <c r="K2192" s="4">
        <v>0</v>
      </c>
      <c r="L2192" s="4">
        <f>J2192+K2192</f>
        <v>0</v>
      </c>
      <c r="M2192" s="4" t="s">
        <v>370</v>
      </c>
      <c r="N2192" s="4"/>
      <c r="O2192" s="4">
        <v>1</v>
      </c>
      <c r="P2192" s="4" t="s">
        <v>43</v>
      </c>
      <c r="Q2192" s="4" t="s">
        <v>44</v>
      </c>
      <c r="R2192" s="7">
        <v>500000</v>
      </c>
      <c r="S2192" s="7">
        <v>0</v>
      </c>
      <c r="T2192" s="7">
        <f>R2192-S2192</f>
        <v>0</v>
      </c>
      <c r="U2192" s="7">
        <f>T2192*O2192</f>
        <v>0</v>
      </c>
    </row>
    <row r="2193" spans="1:21">
      <c r="A2193" s="4" t="s">
        <v>3251</v>
      </c>
      <c r="B2193" s="4" t="s">
        <v>48</v>
      </c>
      <c r="C2193" s="5">
        <v>45953.34945601852</v>
      </c>
      <c r="D2193" s="5">
        <v>45961</v>
      </c>
      <c r="E2193" s="6">
        <f>IF(AND(C2193&lt;&gt;"",D2193&lt;&gt;""),D2193-C2193,"")</f>
        <v>0</v>
      </c>
      <c r="F2193" s="4" t="s">
        <v>64</v>
      </c>
      <c r="G2193" s="4" t="s">
        <v>3252</v>
      </c>
      <c r="H2193" s="4" t="s">
        <v>32</v>
      </c>
      <c r="I2193" s="4" t="s">
        <v>33</v>
      </c>
      <c r="J2193" s="4">
        <v>2</v>
      </c>
      <c r="K2193" s="4">
        <v>0</v>
      </c>
      <c r="L2193" s="4">
        <f>J2193+K2193</f>
        <v>0</v>
      </c>
      <c r="M2193" s="4"/>
      <c r="N2193" s="4"/>
      <c r="O2193" s="4">
        <v>0</v>
      </c>
      <c r="P2193" s="4"/>
      <c r="Q2193" s="4"/>
      <c r="R2193" s="7">
        <v>0</v>
      </c>
      <c r="S2193" s="7">
        <v>0</v>
      </c>
      <c r="T2193" s="7">
        <f>R2193-S2193</f>
        <v>0</v>
      </c>
      <c r="U2193" s="7">
        <f>T2193*O2193</f>
        <v>0</v>
      </c>
    </row>
    <row r="2194" spans="1:21">
      <c r="A2194" s="4" t="s">
        <v>3253</v>
      </c>
      <c r="B2194" s="4" t="s">
        <v>39</v>
      </c>
      <c r="C2194" s="5">
        <v>45953.35008101852</v>
      </c>
      <c r="D2194" s="5">
        <v>45953</v>
      </c>
      <c r="E2194" s="6">
        <f>IF(AND(C2194&lt;&gt;"",D2194&lt;&gt;""),D2194-C2194,"")</f>
        <v>0</v>
      </c>
      <c r="F2194" s="4" t="s">
        <v>3130</v>
      </c>
      <c r="G2194" s="4" t="s">
        <v>3131</v>
      </c>
      <c r="H2194" s="4" t="s">
        <v>190</v>
      </c>
      <c r="I2194" s="4" t="s">
        <v>56</v>
      </c>
      <c r="J2194" s="4">
        <v>0</v>
      </c>
      <c r="K2194" s="4">
        <v>0</v>
      </c>
      <c r="L2194" s="4">
        <f>J2194+K2194</f>
        <v>0</v>
      </c>
      <c r="M2194" s="4" t="s">
        <v>1285</v>
      </c>
      <c r="N2194" s="4"/>
      <c r="O2194" s="4">
        <v>1</v>
      </c>
      <c r="P2194" s="4" t="s">
        <v>135</v>
      </c>
      <c r="Q2194" s="4" t="s">
        <v>44</v>
      </c>
      <c r="R2194" s="7">
        <v>-3127000</v>
      </c>
      <c r="S2194" s="7">
        <v>0</v>
      </c>
      <c r="T2194" s="7">
        <f>R2194-S2194</f>
        <v>0</v>
      </c>
      <c r="U2194" s="7">
        <f>T2194*O2194</f>
        <v>0</v>
      </c>
    </row>
    <row r="2195" spans="1:21">
      <c r="A2195" s="4" t="s">
        <v>3254</v>
      </c>
      <c r="B2195" s="4" t="s">
        <v>39</v>
      </c>
      <c r="C2195" s="5">
        <v>45953.35295138889</v>
      </c>
      <c r="D2195" s="5">
        <v>45953</v>
      </c>
      <c r="E2195" s="6">
        <f>IF(AND(C2195&lt;&gt;"",D2195&lt;&gt;""),D2195-C2195,"")</f>
        <v>0</v>
      </c>
      <c r="F2195" s="4" t="s">
        <v>3255</v>
      </c>
      <c r="G2195" s="4" t="s">
        <v>3256</v>
      </c>
      <c r="H2195" s="4" t="s">
        <v>32</v>
      </c>
      <c r="I2195" s="4" t="s">
        <v>33</v>
      </c>
      <c r="J2195" s="4">
        <v>0</v>
      </c>
      <c r="K2195" s="4">
        <v>0</v>
      </c>
      <c r="L2195" s="4">
        <f>J2195+K2195</f>
        <v>0</v>
      </c>
      <c r="M2195" s="4" t="s">
        <v>370</v>
      </c>
      <c r="N2195" s="4"/>
      <c r="O2195" s="4">
        <v>1</v>
      </c>
      <c r="P2195" s="4" t="s">
        <v>135</v>
      </c>
      <c r="Q2195" s="4" t="s">
        <v>44</v>
      </c>
      <c r="R2195" s="7">
        <v>500000</v>
      </c>
      <c r="S2195" s="7">
        <v>0</v>
      </c>
      <c r="T2195" s="7">
        <f>R2195-S2195</f>
        <v>0</v>
      </c>
      <c r="U2195" s="7">
        <f>T2195*O2195</f>
        <v>0</v>
      </c>
    </row>
    <row r="2196" spans="1:21">
      <c r="A2196" s="4" t="s">
        <v>3257</v>
      </c>
      <c r="B2196" s="4" t="s">
        <v>39</v>
      </c>
      <c r="C2196" s="5">
        <v>45953.35893518518</v>
      </c>
      <c r="D2196" s="5">
        <v>45953</v>
      </c>
      <c r="E2196" s="6">
        <f>IF(AND(C2196&lt;&gt;"",D2196&lt;&gt;""),D2196-C2196,"")</f>
        <v>0</v>
      </c>
      <c r="F2196" s="4" t="s">
        <v>3258</v>
      </c>
      <c r="G2196" s="4" t="s">
        <v>3259</v>
      </c>
      <c r="H2196" s="4" t="s">
        <v>32</v>
      </c>
      <c r="I2196" s="4" t="s">
        <v>33</v>
      </c>
      <c r="J2196" s="4">
        <v>2</v>
      </c>
      <c r="K2196" s="4">
        <v>0</v>
      </c>
      <c r="L2196" s="4">
        <f>J2196+K2196</f>
        <v>0</v>
      </c>
      <c r="M2196" s="4" t="s">
        <v>80</v>
      </c>
      <c r="N2196" s="4"/>
      <c r="O2196" s="4">
        <v>2</v>
      </c>
      <c r="P2196" s="4" t="s">
        <v>135</v>
      </c>
      <c r="Q2196" s="4" t="s">
        <v>44</v>
      </c>
      <c r="R2196" s="7">
        <v>610000</v>
      </c>
      <c r="S2196" s="7">
        <v>610000</v>
      </c>
      <c r="T2196" s="7">
        <f>R2196-S2196</f>
        <v>0</v>
      </c>
      <c r="U2196" s="7">
        <f>T2196*O2196</f>
        <v>0</v>
      </c>
    </row>
    <row r="2197" spans="1:21">
      <c r="A2197" s="4" t="s">
        <v>3260</v>
      </c>
      <c r="B2197" s="4" t="s">
        <v>39</v>
      </c>
      <c r="C2197" s="5">
        <v>45953.35899305555</v>
      </c>
      <c r="D2197" s="5">
        <v>45953</v>
      </c>
      <c r="E2197" s="6">
        <f>IF(AND(C2197&lt;&gt;"",D2197&lt;&gt;""),D2197-C2197,"")</f>
        <v>0</v>
      </c>
      <c r="F2197" s="4" t="s">
        <v>3240</v>
      </c>
      <c r="G2197" s="4" t="s">
        <v>3241</v>
      </c>
      <c r="H2197" s="4" t="s">
        <v>32</v>
      </c>
      <c r="I2197" s="4" t="s">
        <v>33</v>
      </c>
      <c r="J2197" s="4">
        <v>2</v>
      </c>
      <c r="K2197" s="4">
        <v>0</v>
      </c>
      <c r="L2197" s="4">
        <f>J2197+K2197</f>
        <v>0</v>
      </c>
      <c r="M2197" s="4" t="s">
        <v>42</v>
      </c>
      <c r="N2197" s="4"/>
      <c r="O2197" s="4">
        <v>2</v>
      </c>
      <c r="P2197" s="4" t="s">
        <v>135</v>
      </c>
      <c r="Q2197" s="4" t="s">
        <v>44</v>
      </c>
      <c r="R2197" s="7">
        <v>370000</v>
      </c>
      <c r="S2197" s="7">
        <v>370000</v>
      </c>
      <c r="T2197" s="7">
        <f>R2197-S2197</f>
        <v>0</v>
      </c>
      <c r="U2197" s="7">
        <f>T2197*O2197</f>
        <v>0</v>
      </c>
    </row>
    <row r="2198" spans="1:21">
      <c r="A2198" s="4" t="s">
        <v>3261</v>
      </c>
      <c r="B2198" s="4" t="s">
        <v>39</v>
      </c>
      <c r="C2198" s="5">
        <v>45953.35903935185</v>
      </c>
      <c r="D2198" s="5">
        <v>45953</v>
      </c>
      <c r="E2198" s="6">
        <f>IF(AND(C2198&lt;&gt;"",D2198&lt;&gt;""),D2198-C2198,"")</f>
        <v>0</v>
      </c>
      <c r="F2198" s="4" t="s">
        <v>3262</v>
      </c>
      <c r="G2198" s="4" t="s">
        <v>3263</v>
      </c>
      <c r="H2198" s="4" t="s">
        <v>190</v>
      </c>
      <c r="I2198" s="4" t="s">
        <v>56</v>
      </c>
      <c r="J2198" s="4">
        <v>2</v>
      </c>
      <c r="K2198" s="4">
        <v>0</v>
      </c>
      <c r="L2198" s="4">
        <f>J2198+K2198</f>
        <v>0</v>
      </c>
      <c r="M2198" s="4" t="s">
        <v>80</v>
      </c>
      <c r="N2198" s="4"/>
      <c r="O2198" s="4">
        <v>2</v>
      </c>
      <c r="P2198" s="4" t="s">
        <v>135</v>
      </c>
      <c r="Q2198" s="4" t="s">
        <v>44</v>
      </c>
      <c r="R2198" s="7">
        <v>610000</v>
      </c>
      <c r="S2198" s="7">
        <v>610000</v>
      </c>
      <c r="T2198" s="7">
        <f>R2198-S2198</f>
        <v>0</v>
      </c>
      <c r="U2198" s="7">
        <f>T2198*O2198</f>
        <v>0</v>
      </c>
    </row>
    <row r="2199" spans="1:21">
      <c r="A2199" s="4" t="s">
        <v>3264</v>
      </c>
      <c r="B2199" s="4" t="s">
        <v>39</v>
      </c>
      <c r="C2199" s="5">
        <v>45953.35935185185</v>
      </c>
      <c r="D2199" s="5">
        <v>45953</v>
      </c>
      <c r="E2199" s="6">
        <f>IF(AND(C2199&lt;&gt;"",D2199&lt;&gt;""),D2199-C2199,"")</f>
        <v>0</v>
      </c>
      <c r="F2199" s="4" t="s">
        <v>3246</v>
      </c>
      <c r="G2199" s="4" t="s">
        <v>3247</v>
      </c>
      <c r="H2199" s="4" t="s">
        <v>2905</v>
      </c>
      <c r="I2199" s="4" t="s">
        <v>56</v>
      </c>
      <c r="J2199" s="4">
        <v>1</v>
      </c>
      <c r="K2199" s="4">
        <v>0</v>
      </c>
      <c r="L2199" s="4">
        <f>J2199+K2199</f>
        <v>0</v>
      </c>
      <c r="M2199" s="4" t="s">
        <v>80</v>
      </c>
      <c r="N2199" s="4"/>
      <c r="O2199" s="4">
        <v>1</v>
      </c>
      <c r="P2199" s="4" t="s">
        <v>43</v>
      </c>
      <c r="Q2199" s="4" t="s">
        <v>44</v>
      </c>
      <c r="R2199" s="7">
        <v>610000</v>
      </c>
      <c r="S2199" s="7">
        <v>610000</v>
      </c>
      <c r="T2199" s="7">
        <f>R2199-S2199</f>
        <v>0</v>
      </c>
      <c r="U2199" s="7">
        <f>T2199*O2199</f>
        <v>0</v>
      </c>
    </row>
    <row r="2200" spans="1:21">
      <c r="A2200" s="4" t="s">
        <v>3265</v>
      </c>
      <c r="B2200" s="4" t="s">
        <v>39</v>
      </c>
      <c r="C2200" s="5">
        <v>45953.36053240741</v>
      </c>
      <c r="D2200" s="5">
        <v>45953</v>
      </c>
      <c r="E2200" s="6">
        <f>IF(AND(C2200&lt;&gt;"",D2200&lt;&gt;""),D2200-C2200,"")</f>
        <v>0</v>
      </c>
      <c r="F2200" s="4" t="s">
        <v>918</v>
      </c>
      <c r="G2200" s="4" t="s">
        <v>919</v>
      </c>
      <c r="H2200" s="4"/>
      <c r="I2200" s="4" t="s">
        <v>56</v>
      </c>
      <c r="J2200" s="4">
        <v>1</v>
      </c>
      <c r="K2200" s="4">
        <v>0</v>
      </c>
      <c r="L2200" s="4">
        <f>J2200+K2200</f>
        <v>0</v>
      </c>
      <c r="M2200" s="4" t="s">
        <v>80</v>
      </c>
      <c r="N2200" s="4"/>
      <c r="O2200" s="4">
        <v>1</v>
      </c>
      <c r="P2200" s="4" t="s">
        <v>135</v>
      </c>
      <c r="Q2200" s="4" t="s">
        <v>44</v>
      </c>
      <c r="R2200" s="7">
        <v>610000</v>
      </c>
      <c r="S2200" s="7">
        <v>0</v>
      </c>
      <c r="T2200" s="7">
        <f>R2200-S2200</f>
        <v>0</v>
      </c>
      <c r="U2200" s="7">
        <f>T2200*O2200</f>
        <v>0</v>
      </c>
    </row>
    <row r="2201" spans="1:21">
      <c r="A2201" s="4" t="s">
        <v>3266</v>
      </c>
      <c r="B2201" s="4" t="s">
        <v>39</v>
      </c>
      <c r="C2201" s="5">
        <v>45953.36060185185</v>
      </c>
      <c r="D2201" s="5">
        <v>45953</v>
      </c>
      <c r="E2201" s="6">
        <f>IF(AND(C2201&lt;&gt;"",D2201&lt;&gt;""),D2201-C2201,"")</f>
        <v>0</v>
      </c>
      <c r="F2201" s="4" t="s">
        <v>918</v>
      </c>
      <c r="G2201" s="4" t="s">
        <v>919</v>
      </c>
      <c r="H2201" s="4"/>
      <c r="I2201" s="4" t="s">
        <v>56</v>
      </c>
      <c r="J2201" s="4">
        <v>2</v>
      </c>
      <c r="K2201" s="4">
        <v>0</v>
      </c>
      <c r="L2201" s="4">
        <f>J2201+K2201</f>
        <v>0</v>
      </c>
      <c r="M2201" s="4" t="s">
        <v>80</v>
      </c>
      <c r="N2201" s="4"/>
      <c r="O2201" s="4">
        <v>2</v>
      </c>
      <c r="P2201" s="4" t="s">
        <v>135</v>
      </c>
      <c r="Q2201" s="4" t="s">
        <v>44</v>
      </c>
      <c r="R2201" s="7">
        <v>610000</v>
      </c>
      <c r="S2201" s="7">
        <v>0</v>
      </c>
      <c r="T2201" s="7">
        <f>R2201-S2201</f>
        <v>0</v>
      </c>
      <c r="U2201" s="7">
        <f>T2201*O2201</f>
        <v>0</v>
      </c>
    </row>
    <row r="2202" spans="1:21">
      <c r="A2202" s="4" t="s">
        <v>3267</v>
      </c>
      <c r="B2202" s="4" t="s">
        <v>39</v>
      </c>
      <c r="C2202" s="5">
        <v>45953.3629050926</v>
      </c>
      <c r="D2202" s="5">
        <v>45953</v>
      </c>
      <c r="E2202" s="6">
        <f>IF(AND(C2202&lt;&gt;"",D2202&lt;&gt;""),D2202-C2202,"")</f>
        <v>0</v>
      </c>
      <c r="F2202" s="4" t="s">
        <v>3205</v>
      </c>
      <c r="G2202" s="4" t="s">
        <v>3268</v>
      </c>
      <c r="H2202" s="4" t="s">
        <v>32</v>
      </c>
      <c r="I2202" s="4" t="s">
        <v>33</v>
      </c>
      <c r="J2202" s="4">
        <v>1</v>
      </c>
      <c r="K2202" s="4">
        <v>0</v>
      </c>
      <c r="L2202" s="4">
        <f>J2202+K2202</f>
        <v>0</v>
      </c>
      <c r="M2202" s="4" t="s">
        <v>80</v>
      </c>
      <c r="N2202" s="4"/>
      <c r="O2202" s="4">
        <v>1</v>
      </c>
      <c r="P2202" s="4" t="s">
        <v>135</v>
      </c>
      <c r="Q2202" s="4" t="s">
        <v>44</v>
      </c>
      <c r="R2202" s="7">
        <v>610000</v>
      </c>
      <c r="S2202" s="7">
        <v>0</v>
      </c>
      <c r="T2202" s="7">
        <f>R2202-S2202</f>
        <v>0</v>
      </c>
      <c r="U2202" s="7">
        <f>T2202*O2202</f>
        <v>0</v>
      </c>
    </row>
    <row r="2203" spans="1:21">
      <c r="A2203" s="4" t="s">
        <v>3267</v>
      </c>
      <c r="B2203" s="4" t="s">
        <v>39</v>
      </c>
      <c r="C2203" s="5">
        <v>45953.3629050926</v>
      </c>
      <c r="D2203" s="5">
        <v>45953</v>
      </c>
      <c r="E2203" s="6">
        <f>IF(AND(C2203&lt;&gt;"",D2203&lt;&gt;""),D2203-C2203,"")</f>
        <v>0</v>
      </c>
      <c r="F2203" s="4" t="s">
        <v>3205</v>
      </c>
      <c r="G2203" s="4" t="s">
        <v>3268</v>
      </c>
      <c r="H2203" s="4" t="s">
        <v>32</v>
      </c>
      <c r="I2203" s="4" t="s">
        <v>33</v>
      </c>
      <c r="J2203" s="4">
        <v>1</v>
      </c>
      <c r="K2203" s="4">
        <v>0</v>
      </c>
      <c r="L2203" s="4">
        <f>J2203+K2203</f>
        <v>0</v>
      </c>
      <c r="M2203" s="4" t="s">
        <v>42</v>
      </c>
      <c r="N2203" s="4"/>
      <c r="O2203" s="4">
        <v>1</v>
      </c>
      <c r="P2203" s="4" t="s">
        <v>135</v>
      </c>
      <c r="Q2203" s="4" t="s">
        <v>44</v>
      </c>
      <c r="R2203" s="7">
        <v>370000</v>
      </c>
      <c r="S2203" s="7">
        <v>0</v>
      </c>
      <c r="T2203" s="7">
        <f>R2203-S2203</f>
        <v>0</v>
      </c>
      <c r="U2203" s="7">
        <f>T2203*O2203</f>
        <v>0</v>
      </c>
    </row>
    <row r="2204" spans="1:21">
      <c r="A2204" s="4" t="s">
        <v>3269</v>
      </c>
      <c r="B2204" s="4" t="s">
        <v>39</v>
      </c>
      <c r="C2204" s="5">
        <v>45953.3629050926</v>
      </c>
      <c r="D2204" s="5">
        <v>45953</v>
      </c>
      <c r="E2204" s="6">
        <f>IF(AND(C2204&lt;&gt;"",D2204&lt;&gt;""),D2204-C2204,"")</f>
        <v>0</v>
      </c>
      <c r="F2204" s="4" t="s">
        <v>3205</v>
      </c>
      <c r="G2204" s="4" t="s">
        <v>3268</v>
      </c>
      <c r="H2204" s="4" t="s">
        <v>32</v>
      </c>
      <c r="I2204" s="4" t="s">
        <v>33</v>
      </c>
      <c r="J2204" s="4">
        <v>1</v>
      </c>
      <c r="K2204" s="4">
        <v>0</v>
      </c>
      <c r="L2204" s="4">
        <f>J2204+K2204</f>
        <v>0</v>
      </c>
      <c r="M2204" s="4" t="s">
        <v>42</v>
      </c>
      <c r="N2204" s="4"/>
      <c r="O2204" s="4">
        <v>1</v>
      </c>
      <c r="P2204" s="4" t="s">
        <v>135</v>
      </c>
      <c r="Q2204" s="4" t="s">
        <v>44</v>
      </c>
      <c r="R2204" s="7">
        <v>370000</v>
      </c>
      <c r="S2204" s="7">
        <v>0</v>
      </c>
      <c r="T2204" s="7">
        <f>R2204-S2204</f>
        <v>0</v>
      </c>
      <c r="U2204" s="7">
        <f>T2204*O2204</f>
        <v>0</v>
      </c>
    </row>
    <row r="2205" spans="1:21">
      <c r="A2205" s="4" t="s">
        <v>3269</v>
      </c>
      <c r="B2205" s="4" t="s">
        <v>39</v>
      </c>
      <c r="C2205" s="5">
        <v>45953.3629050926</v>
      </c>
      <c r="D2205" s="5">
        <v>45953</v>
      </c>
      <c r="E2205" s="6">
        <f>IF(AND(C2205&lt;&gt;"",D2205&lt;&gt;""),D2205-C2205,"")</f>
        <v>0</v>
      </c>
      <c r="F2205" s="4" t="s">
        <v>3205</v>
      </c>
      <c r="G2205" s="4" t="s">
        <v>3268</v>
      </c>
      <c r="H2205" s="4" t="s">
        <v>32</v>
      </c>
      <c r="I2205" s="4" t="s">
        <v>33</v>
      </c>
      <c r="J2205" s="4">
        <v>1</v>
      </c>
      <c r="K2205" s="4">
        <v>0</v>
      </c>
      <c r="L2205" s="4">
        <f>J2205+K2205</f>
        <v>0</v>
      </c>
      <c r="M2205" s="4" t="s">
        <v>80</v>
      </c>
      <c r="N2205" s="4"/>
      <c r="O2205" s="4">
        <v>1</v>
      </c>
      <c r="P2205" s="4" t="s">
        <v>135</v>
      </c>
      <c r="Q2205" s="4" t="s">
        <v>44</v>
      </c>
      <c r="R2205" s="7">
        <v>610000</v>
      </c>
      <c r="S2205" s="7">
        <v>0</v>
      </c>
      <c r="T2205" s="7">
        <f>R2205-S2205</f>
        <v>0</v>
      </c>
      <c r="U2205" s="7">
        <f>T2205*O2205</f>
        <v>0</v>
      </c>
    </row>
    <row r="2206" spans="1:21">
      <c r="A2206" s="4" t="s">
        <v>3270</v>
      </c>
      <c r="B2206" s="4" t="s">
        <v>48</v>
      </c>
      <c r="C2206" s="5">
        <v>45953.38424768519</v>
      </c>
      <c r="D2206" s="5">
        <v>45961</v>
      </c>
      <c r="E2206" s="6">
        <f>IF(AND(C2206&lt;&gt;"",D2206&lt;&gt;""),D2206-C2206,"")</f>
        <v>0</v>
      </c>
      <c r="F2206" s="4" t="s">
        <v>3271</v>
      </c>
      <c r="G2206" s="4" t="s">
        <v>3272</v>
      </c>
      <c r="H2206" s="4" t="s">
        <v>699</v>
      </c>
      <c r="I2206" s="4" t="s">
        <v>56</v>
      </c>
      <c r="J2206" s="4">
        <v>5</v>
      </c>
      <c r="K2206" s="4">
        <v>0</v>
      </c>
      <c r="L2206" s="4">
        <f>J2206+K2206</f>
        <v>0</v>
      </c>
      <c r="M2206" s="4"/>
      <c r="N2206" s="4"/>
      <c r="O2206" s="4">
        <v>0</v>
      </c>
      <c r="P2206" s="4"/>
      <c r="Q2206" s="4"/>
      <c r="R2206" s="7">
        <v>0</v>
      </c>
      <c r="S2206" s="7">
        <v>0</v>
      </c>
      <c r="T2206" s="7">
        <f>R2206-S2206</f>
        <v>0</v>
      </c>
      <c r="U2206" s="7">
        <f>T2206*O2206</f>
        <v>0</v>
      </c>
    </row>
    <row r="2207" spans="1:21">
      <c r="A2207" s="4" t="s">
        <v>3273</v>
      </c>
      <c r="B2207" s="4" t="s">
        <v>39</v>
      </c>
      <c r="C2207" s="5">
        <v>45953.40670138889</v>
      </c>
      <c r="D2207" s="5">
        <v>45953</v>
      </c>
      <c r="E2207" s="6">
        <f>IF(AND(C2207&lt;&gt;"",D2207&lt;&gt;""),D2207-C2207,"")</f>
        <v>0</v>
      </c>
      <c r="F2207" s="4" t="s">
        <v>219</v>
      </c>
      <c r="G2207" s="4" t="s">
        <v>3274</v>
      </c>
      <c r="H2207" s="4" t="s">
        <v>32</v>
      </c>
      <c r="I2207" s="4" t="s">
        <v>33</v>
      </c>
      <c r="J2207" s="4">
        <v>0</v>
      </c>
      <c r="K2207" s="4">
        <v>0</v>
      </c>
      <c r="L2207" s="4">
        <f>J2207+K2207</f>
        <v>0</v>
      </c>
      <c r="M2207" s="4" t="s">
        <v>370</v>
      </c>
      <c r="N2207" s="4"/>
      <c r="O2207" s="4">
        <v>1</v>
      </c>
      <c r="P2207" s="4" t="s">
        <v>135</v>
      </c>
      <c r="Q2207" s="4"/>
      <c r="R2207" s="7">
        <v>2000000</v>
      </c>
      <c r="S2207" s="7">
        <v>0</v>
      </c>
      <c r="T2207" s="7">
        <f>R2207-S2207</f>
        <v>0</v>
      </c>
      <c r="U2207" s="7">
        <f>T2207*O2207</f>
        <v>0</v>
      </c>
    </row>
    <row r="2208" spans="1:21">
      <c r="A2208" s="4" t="s">
        <v>3275</v>
      </c>
      <c r="B2208" s="4" t="s">
        <v>39</v>
      </c>
      <c r="C2208" s="5">
        <v>45953.41806712963</v>
      </c>
      <c r="D2208" s="5">
        <v>45953</v>
      </c>
      <c r="E2208" s="6">
        <f>IF(AND(C2208&lt;&gt;"",D2208&lt;&gt;""),D2208-C2208,"")</f>
        <v>0</v>
      </c>
      <c r="F2208" s="4" t="s">
        <v>219</v>
      </c>
      <c r="G2208" s="4" t="s">
        <v>3276</v>
      </c>
      <c r="H2208" s="4" t="s">
        <v>32</v>
      </c>
      <c r="I2208" s="4" t="s">
        <v>33</v>
      </c>
      <c r="J2208" s="4">
        <v>4</v>
      </c>
      <c r="K2208" s="4">
        <v>0</v>
      </c>
      <c r="L2208" s="4">
        <f>J2208+K2208</f>
        <v>0</v>
      </c>
      <c r="M2208" s="4" t="s">
        <v>80</v>
      </c>
      <c r="N2208" s="4"/>
      <c r="O2208" s="4">
        <v>4</v>
      </c>
      <c r="P2208" s="4" t="s">
        <v>135</v>
      </c>
      <c r="Q2208" s="4" t="s">
        <v>44</v>
      </c>
      <c r="R2208" s="7">
        <v>610000</v>
      </c>
      <c r="S2208" s="7">
        <v>0</v>
      </c>
      <c r="T2208" s="7">
        <f>R2208-S2208</f>
        <v>0</v>
      </c>
      <c r="U2208" s="7">
        <f>T2208*O2208</f>
        <v>0</v>
      </c>
    </row>
    <row r="2209" spans="1:21">
      <c r="A2209" s="4" t="s">
        <v>3277</v>
      </c>
      <c r="B2209" s="4" t="s">
        <v>48</v>
      </c>
      <c r="C2209" s="5">
        <v>45953.42309027778</v>
      </c>
      <c r="D2209" s="5">
        <v>45961</v>
      </c>
      <c r="E2209" s="6">
        <f>IF(AND(C2209&lt;&gt;"",D2209&lt;&gt;""),D2209-C2209,"")</f>
        <v>0</v>
      </c>
      <c r="F2209" s="4" t="s">
        <v>64</v>
      </c>
      <c r="G2209" s="4" t="s">
        <v>3278</v>
      </c>
      <c r="H2209" s="4" t="s">
        <v>32</v>
      </c>
      <c r="I2209" s="4" t="s">
        <v>33</v>
      </c>
      <c r="J2209" s="4">
        <v>4</v>
      </c>
      <c r="K2209" s="4">
        <v>2</v>
      </c>
      <c r="L2209" s="4">
        <f>J2209+K2209</f>
        <v>0</v>
      </c>
      <c r="M2209" s="4"/>
      <c r="N2209" s="4"/>
      <c r="O2209" s="4">
        <v>0</v>
      </c>
      <c r="P2209" s="4"/>
      <c r="Q2209" s="4"/>
      <c r="R2209" s="7">
        <v>0</v>
      </c>
      <c r="S2209" s="7">
        <v>0</v>
      </c>
      <c r="T2209" s="7">
        <f>R2209-S2209</f>
        <v>0</v>
      </c>
      <c r="U2209" s="7">
        <f>T2209*O2209</f>
        <v>0</v>
      </c>
    </row>
    <row r="2210" spans="1:21">
      <c r="A2210" s="4" t="s">
        <v>3279</v>
      </c>
      <c r="B2210" s="4" t="s">
        <v>48</v>
      </c>
      <c r="C2210" s="5">
        <v>45953.42900462963</v>
      </c>
      <c r="D2210" s="5">
        <v>45961</v>
      </c>
      <c r="E2210" s="6">
        <f>IF(AND(C2210&lt;&gt;"",D2210&lt;&gt;""),D2210-C2210,"")</f>
        <v>0</v>
      </c>
      <c r="F2210" s="4" t="s">
        <v>64</v>
      </c>
      <c r="G2210" s="4" t="s">
        <v>3280</v>
      </c>
      <c r="H2210" s="4" t="s">
        <v>32</v>
      </c>
      <c r="I2210" s="4" t="s">
        <v>33</v>
      </c>
      <c r="J2210" s="4">
        <v>2</v>
      </c>
      <c r="K2210" s="4">
        <v>2</v>
      </c>
      <c r="L2210" s="4">
        <f>J2210+K2210</f>
        <v>0</v>
      </c>
      <c r="M2210" s="4"/>
      <c r="N2210" s="4"/>
      <c r="O2210" s="4">
        <v>0</v>
      </c>
      <c r="P2210" s="4"/>
      <c r="Q2210" s="4"/>
      <c r="R2210" s="7">
        <v>0</v>
      </c>
      <c r="S2210" s="7">
        <v>0</v>
      </c>
      <c r="T2210" s="7">
        <f>R2210-S2210</f>
        <v>0</v>
      </c>
      <c r="U2210" s="7">
        <f>T2210*O2210</f>
        <v>0</v>
      </c>
    </row>
    <row r="2211" spans="1:21">
      <c r="A2211" s="4" t="s">
        <v>3281</v>
      </c>
      <c r="B2211" s="4" t="s">
        <v>39</v>
      </c>
      <c r="C2211" s="5">
        <v>45953.43974537037</v>
      </c>
      <c r="D2211" s="5">
        <v>45953</v>
      </c>
      <c r="E2211" s="6">
        <f>IF(AND(C2211&lt;&gt;"",D2211&lt;&gt;""),D2211-C2211,"")</f>
        <v>0</v>
      </c>
      <c r="F2211" s="4" t="s">
        <v>219</v>
      </c>
      <c r="G2211" s="4" t="s">
        <v>3282</v>
      </c>
      <c r="H2211" s="4" t="s">
        <v>32</v>
      </c>
      <c r="I2211" s="4" t="s">
        <v>33</v>
      </c>
      <c r="J2211" s="4">
        <v>50</v>
      </c>
      <c r="K2211" s="4">
        <v>0</v>
      </c>
      <c r="L2211" s="4">
        <f>J2211+K2211</f>
        <v>0</v>
      </c>
      <c r="M2211" s="4" t="s">
        <v>80</v>
      </c>
      <c r="N2211" s="4"/>
      <c r="O2211" s="4">
        <v>50</v>
      </c>
      <c r="P2211" s="4" t="s">
        <v>135</v>
      </c>
      <c r="Q2211" s="4" t="s">
        <v>44</v>
      </c>
      <c r="R2211" s="7">
        <v>610000</v>
      </c>
      <c r="S2211" s="7">
        <v>0</v>
      </c>
      <c r="T2211" s="7">
        <f>R2211-S2211</f>
        <v>0</v>
      </c>
      <c r="U2211" s="7">
        <f>T2211*O2211</f>
        <v>0</v>
      </c>
    </row>
    <row r="2212" spans="1:21">
      <c r="A2212" s="4" t="s">
        <v>3283</v>
      </c>
      <c r="B2212" s="4" t="s">
        <v>29</v>
      </c>
      <c r="C2212" s="5">
        <v>45953.47115740741</v>
      </c>
      <c r="D2212" s="5">
        <v>45961</v>
      </c>
      <c r="E2212" s="6">
        <f>IF(AND(C2212&lt;&gt;"",D2212&lt;&gt;""),D2212-C2212,"")</f>
        <v>0</v>
      </c>
      <c r="F2212" s="4" t="s">
        <v>3284</v>
      </c>
      <c r="G2212" s="4" t="s">
        <v>3285</v>
      </c>
      <c r="H2212" s="4"/>
      <c r="I2212" s="4" t="s">
        <v>56</v>
      </c>
      <c r="J2212" s="4">
        <v>1</v>
      </c>
      <c r="K2212" s="4">
        <v>0</v>
      </c>
      <c r="L2212" s="4">
        <f>J2212+K2212</f>
        <v>0</v>
      </c>
      <c r="M2212" s="4"/>
      <c r="N2212" s="4"/>
      <c r="O2212" s="4">
        <v>0</v>
      </c>
      <c r="P2212" s="4"/>
      <c r="Q2212" s="4"/>
      <c r="R2212" s="7">
        <v>0</v>
      </c>
      <c r="S2212" s="7">
        <v>0</v>
      </c>
      <c r="T2212" s="7">
        <f>R2212-S2212</f>
        <v>0</v>
      </c>
      <c r="U2212" s="7">
        <f>T2212*O2212</f>
        <v>0</v>
      </c>
    </row>
    <row r="2213" spans="1:21">
      <c r="A2213" s="4" t="s">
        <v>3286</v>
      </c>
      <c r="B2213" s="4" t="s">
        <v>29</v>
      </c>
      <c r="C2213" s="5">
        <v>45953.47126157407</v>
      </c>
      <c r="D2213" s="5">
        <v>45961</v>
      </c>
      <c r="E2213" s="6">
        <f>IF(AND(C2213&lt;&gt;"",D2213&lt;&gt;""),D2213-C2213,"")</f>
        <v>0</v>
      </c>
      <c r="F2213" s="4" t="s">
        <v>3284</v>
      </c>
      <c r="G2213" s="4" t="s">
        <v>3285</v>
      </c>
      <c r="H2213" s="4"/>
      <c r="I2213" s="4" t="s">
        <v>56</v>
      </c>
      <c r="J2213" s="4">
        <v>1</v>
      </c>
      <c r="K2213" s="4">
        <v>0</v>
      </c>
      <c r="L2213" s="4">
        <f>J2213+K2213</f>
        <v>0</v>
      </c>
      <c r="M2213" s="4"/>
      <c r="N2213" s="4"/>
      <c r="O2213" s="4">
        <v>0</v>
      </c>
      <c r="P2213" s="4"/>
      <c r="Q2213" s="4"/>
      <c r="R2213" s="7">
        <v>0</v>
      </c>
      <c r="S2213" s="7">
        <v>0</v>
      </c>
      <c r="T2213" s="7">
        <f>R2213-S2213</f>
        <v>0</v>
      </c>
      <c r="U2213" s="7">
        <f>T2213*O2213</f>
        <v>0</v>
      </c>
    </row>
    <row r="2214" spans="1:21">
      <c r="A2214" s="4" t="s">
        <v>3287</v>
      </c>
      <c r="B2214" s="4" t="s">
        <v>39</v>
      </c>
      <c r="C2214" s="5">
        <v>45953.52168981481</v>
      </c>
      <c r="D2214" s="5">
        <v>45953</v>
      </c>
      <c r="E2214" s="6">
        <f>IF(AND(C2214&lt;&gt;"",D2214&lt;&gt;""),D2214-C2214,"")</f>
        <v>0</v>
      </c>
      <c r="F2214" s="4" t="s">
        <v>459</v>
      </c>
      <c r="G2214" s="4" t="s">
        <v>3288</v>
      </c>
      <c r="H2214" s="4" t="s">
        <v>32</v>
      </c>
      <c r="I2214" s="4" t="s">
        <v>33</v>
      </c>
      <c r="J2214" s="4">
        <v>1</v>
      </c>
      <c r="K2214" s="4">
        <v>0</v>
      </c>
      <c r="L2214" s="4">
        <f>J2214+K2214</f>
        <v>0</v>
      </c>
      <c r="M2214" s="4" t="s">
        <v>80</v>
      </c>
      <c r="N2214" s="4"/>
      <c r="O2214" s="4">
        <v>1</v>
      </c>
      <c r="P2214" s="4" t="s">
        <v>135</v>
      </c>
      <c r="Q2214" s="4" t="s">
        <v>44</v>
      </c>
      <c r="R2214" s="7">
        <v>610000</v>
      </c>
      <c r="S2214" s="7">
        <v>0</v>
      </c>
      <c r="T2214" s="7">
        <f>R2214-S2214</f>
        <v>0</v>
      </c>
      <c r="U2214" s="7">
        <f>T2214*O2214</f>
        <v>0</v>
      </c>
    </row>
    <row r="2215" spans="1:21">
      <c r="A2215" s="4" t="s">
        <v>3289</v>
      </c>
      <c r="B2215" s="4" t="s">
        <v>39</v>
      </c>
      <c r="C2215" s="5">
        <v>45953.5237037037</v>
      </c>
      <c r="D2215" s="5">
        <v>45953</v>
      </c>
      <c r="E2215" s="6">
        <f>IF(AND(C2215&lt;&gt;"",D2215&lt;&gt;""),D2215-C2215,"")</f>
        <v>0</v>
      </c>
      <c r="F2215" s="4" t="s">
        <v>188</v>
      </c>
      <c r="G2215" s="4" t="s">
        <v>3290</v>
      </c>
      <c r="H2215" s="4" t="s">
        <v>32</v>
      </c>
      <c r="I2215" s="4" t="s">
        <v>33</v>
      </c>
      <c r="J2215" s="4">
        <v>1</v>
      </c>
      <c r="K2215" s="4">
        <v>0</v>
      </c>
      <c r="L2215" s="4">
        <f>J2215+K2215</f>
        <v>0</v>
      </c>
      <c r="M2215" s="4" t="s">
        <v>80</v>
      </c>
      <c r="N2215" s="4"/>
      <c r="O2215" s="4">
        <v>1</v>
      </c>
      <c r="P2215" s="4" t="s">
        <v>135</v>
      </c>
      <c r="Q2215" s="4"/>
      <c r="R2215" s="7">
        <v>610000</v>
      </c>
      <c r="S2215" s="7">
        <v>0</v>
      </c>
      <c r="T2215" s="7">
        <f>R2215-S2215</f>
        <v>0</v>
      </c>
      <c r="U2215" s="7">
        <f>T2215*O2215</f>
        <v>0</v>
      </c>
    </row>
    <row r="2216" spans="1:21">
      <c r="A2216" s="4" t="s">
        <v>3291</v>
      </c>
      <c r="B2216" s="4" t="s">
        <v>39</v>
      </c>
      <c r="C2216" s="5">
        <v>45953.52710648148</v>
      </c>
      <c r="D2216" s="5">
        <v>45953</v>
      </c>
      <c r="E2216" s="6">
        <f>IF(AND(C2216&lt;&gt;"",D2216&lt;&gt;""),D2216-C2216,"")</f>
        <v>0</v>
      </c>
      <c r="F2216" s="4" t="s">
        <v>3205</v>
      </c>
      <c r="G2216" s="4" t="s">
        <v>3292</v>
      </c>
      <c r="H2216" s="4" t="s">
        <v>32</v>
      </c>
      <c r="I2216" s="4" t="s">
        <v>33</v>
      </c>
      <c r="J2216" s="4">
        <v>1</v>
      </c>
      <c r="K2216" s="4">
        <v>0</v>
      </c>
      <c r="L2216" s="4">
        <f>J2216+K2216</f>
        <v>0</v>
      </c>
      <c r="M2216" s="4" t="s">
        <v>80</v>
      </c>
      <c r="N2216" s="4"/>
      <c r="O2216" s="4">
        <v>1</v>
      </c>
      <c r="P2216" s="4" t="s">
        <v>135</v>
      </c>
      <c r="Q2216" s="4" t="s">
        <v>44</v>
      </c>
      <c r="R2216" s="7">
        <v>610000</v>
      </c>
      <c r="S2216" s="7">
        <v>0</v>
      </c>
      <c r="T2216" s="7">
        <f>R2216-S2216</f>
        <v>0</v>
      </c>
      <c r="U2216" s="7">
        <f>T2216*O2216</f>
        <v>0</v>
      </c>
    </row>
    <row r="2217" spans="1:21">
      <c r="A2217" s="4" t="s">
        <v>3293</v>
      </c>
      <c r="B2217" s="4" t="s">
        <v>39</v>
      </c>
      <c r="C2217" s="5">
        <v>45953.5278125</v>
      </c>
      <c r="D2217" s="5">
        <v>45953</v>
      </c>
      <c r="E2217" s="6">
        <f>IF(AND(C2217&lt;&gt;"",D2217&lt;&gt;""),D2217-C2217,"")</f>
        <v>0</v>
      </c>
      <c r="F2217" s="4" t="s">
        <v>114</v>
      </c>
      <c r="G2217" s="4"/>
      <c r="H2217" s="4"/>
      <c r="I2217" s="4" t="s">
        <v>56</v>
      </c>
      <c r="J2217" s="4">
        <v>1</v>
      </c>
      <c r="K2217" s="4">
        <v>0</v>
      </c>
      <c r="L2217" s="4">
        <f>J2217+K2217</f>
        <v>0</v>
      </c>
      <c r="M2217" s="4" t="s">
        <v>80</v>
      </c>
      <c r="N2217" s="4"/>
      <c r="O2217" s="4">
        <v>1</v>
      </c>
      <c r="P2217" s="4" t="s">
        <v>135</v>
      </c>
      <c r="Q2217" s="4" t="s">
        <v>44</v>
      </c>
      <c r="R2217" s="7">
        <v>610000</v>
      </c>
      <c r="S2217" s="7">
        <v>0</v>
      </c>
      <c r="T2217" s="7">
        <f>R2217-S2217</f>
        <v>0</v>
      </c>
      <c r="U2217" s="7">
        <f>T2217*O2217</f>
        <v>0</v>
      </c>
    </row>
    <row r="2218" spans="1:21">
      <c r="A2218" s="4" t="s">
        <v>3294</v>
      </c>
      <c r="B2218" s="4" t="s">
        <v>39</v>
      </c>
      <c r="C2218" s="5">
        <v>45953.53092592592</v>
      </c>
      <c r="D2218" s="5">
        <v>45953</v>
      </c>
      <c r="E2218" s="6">
        <f>IF(AND(C2218&lt;&gt;"",D2218&lt;&gt;""),D2218-C2218,"")</f>
        <v>0</v>
      </c>
      <c r="F2218" s="4" t="s">
        <v>3030</v>
      </c>
      <c r="G2218" s="4" t="s">
        <v>3295</v>
      </c>
      <c r="H2218" s="4" t="s">
        <v>32</v>
      </c>
      <c r="I2218" s="4" t="s">
        <v>33</v>
      </c>
      <c r="J2218" s="4">
        <v>100</v>
      </c>
      <c r="K2218" s="4">
        <v>0</v>
      </c>
      <c r="L2218" s="4">
        <f>J2218+K2218</f>
        <v>0</v>
      </c>
      <c r="M2218" s="4" t="s">
        <v>80</v>
      </c>
      <c r="N2218" s="4"/>
      <c r="O2218" s="4">
        <v>100</v>
      </c>
      <c r="P2218" s="4" t="s">
        <v>135</v>
      </c>
      <c r="Q2218" s="4" t="s">
        <v>44</v>
      </c>
      <c r="R2218" s="7">
        <v>610000</v>
      </c>
      <c r="S2218" s="7">
        <v>0</v>
      </c>
      <c r="T2218" s="7">
        <f>R2218-S2218</f>
        <v>0</v>
      </c>
      <c r="U2218" s="7">
        <f>T2218*O2218</f>
        <v>0</v>
      </c>
    </row>
    <row r="2219" spans="1:21">
      <c r="A2219" s="4" t="s">
        <v>3296</v>
      </c>
      <c r="B2219" s="4" t="s">
        <v>39</v>
      </c>
      <c r="C2219" s="5">
        <v>45953.54561342593</v>
      </c>
      <c r="D2219" s="5">
        <v>45953</v>
      </c>
      <c r="E2219" s="6">
        <f>IF(AND(C2219&lt;&gt;"",D2219&lt;&gt;""),D2219-C2219,"")</f>
        <v>0</v>
      </c>
      <c r="F2219" s="4" t="s">
        <v>459</v>
      </c>
      <c r="G2219" s="4" t="s">
        <v>3297</v>
      </c>
      <c r="H2219" s="4" t="s">
        <v>32</v>
      </c>
      <c r="I2219" s="4" t="s">
        <v>33</v>
      </c>
      <c r="J2219" s="4">
        <v>20</v>
      </c>
      <c r="K2219" s="4">
        <v>0</v>
      </c>
      <c r="L2219" s="4">
        <f>J2219+K2219</f>
        <v>0</v>
      </c>
      <c r="M2219" s="4" t="s">
        <v>80</v>
      </c>
      <c r="N2219" s="4"/>
      <c r="O2219" s="4">
        <v>20</v>
      </c>
      <c r="P2219" s="4" t="s">
        <v>135</v>
      </c>
      <c r="Q2219" s="4" t="s">
        <v>44</v>
      </c>
      <c r="R2219" s="7">
        <v>610000</v>
      </c>
      <c r="S2219" s="7">
        <v>0</v>
      </c>
      <c r="T2219" s="7">
        <f>R2219-S2219</f>
        <v>0</v>
      </c>
      <c r="U2219" s="7">
        <f>T2219*O2219</f>
        <v>0</v>
      </c>
    </row>
    <row r="2220" spans="1:21">
      <c r="A2220" s="4" t="s">
        <v>3298</v>
      </c>
      <c r="B2220" s="4" t="s">
        <v>29</v>
      </c>
      <c r="C2220" s="5">
        <v>45953.55010416666</v>
      </c>
      <c r="D2220" s="5">
        <v>45961</v>
      </c>
      <c r="E2220" s="6">
        <f>IF(AND(C2220&lt;&gt;"",D2220&lt;&gt;""),D2220-C2220,"")</f>
        <v>0</v>
      </c>
      <c r="F2220" s="4" t="s">
        <v>307</v>
      </c>
      <c r="G2220" s="4" t="s">
        <v>308</v>
      </c>
      <c r="H2220" s="4" t="s">
        <v>190</v>
      </c>
      <c r="I2220" s="4" t="s">
        <v>56</v>
      </c>
      <c r="J2220" s="4">
        <v>1</v>
      </c>
      <c r="K2220" s="4">
        <v>0</v>
      </c>
      <c r="L2220" s="4">
        <f>J2220+K2220</f>
        <v>0</v>
      </c>
      <c r="M2220" s="4"/>
      <c r="N2220" s="4"/>
      <c r="O2220" s="4">
        <v>0</v>
      </c>
      <c r="P2220" s="4"/>
      <c r="Q2220" s="4"/>
      <c r="R2220" s="7">
        <v>0</v>
      </c>
      <c r="S2220" s="7">
        <v>0</v>
      </c>
      <c r="T2220" s="7">
        <f>R2220-S2220</f>
        <v>0</v>
      </c>
      <c r="U2220" s="7">
        <f>T2220*O2220</f>
        <v>0</v>
      </c>
    </row>
    <row r="2221" spans="1:21">
      <c r="A2221" s="4" t="s">
        <v>3299</v>
      </c>
      <c r="B2221" s="4" t="s">
        <v>39</v>
      </c>
      <c r="C2221" s="5">
        <v>45953.5517824074</v>
      </c>
      <c r="D2221" s="5">
        <v>45953</v>
      </c>
      <c r="E2221" s="6">
        <f>IF(AND(C2221&lt;&gt;"",D2221&lt;&gt;""),D2221-C2221,"")</f>
        <v>0</v>
      </c>
      <c r="F2221" s="4" t="s">
        <v>114</v>
      </c>
      <c r="G2221" s="4"/>
      <c r="H2221" s="4"/>
      <c r="I2221" s="4" t="s">
        <v>56</v>
      </c>
      <c r="J2221" s="4">
        <v>1</v>
      </c>
      <c r="K2221" s="4">
        <v>0</v>
      </c>
      <c r="L2221" s="4">
        <f>J2221+K2221</f>
        <v>0</v>
      </c>
      <c r="M2221" s="4" t="s">
        <v>80</v>
      </c>
      <c r="N2221" s="4"/>
      <c r="O2221" s="4">
        <v>1</v>
      </c>
      <c r="P2221" s="4" t="s">
        <v>135</v>
      </c>
      <c r="Q2221" s="4"/>
      <c r="R2221" s="7">
        <v>610000</v>
      </c>
      <c r="S2221" s="7">
        <v>0</v>
      </c>
      <c r="T2221" s="7">
        <f>R2221-S2221</f>
        <v>0</v>
      </c>
      <c r="U2221" s="7">
        <f>T2221*O2221</f>
        <v>0</v>
      </c>
    </row>
    <row r="2222" spans="1:21">
      <c r="A2222" s="4" t="s">
        <v>3300</v>
      </c>
      <c r="B2222" s="4" t="s">
        <v>39</v>
      </c>
      <c r="C2222" s="5">
        <v>45953.55266203704</v>
      </c>
      <c r="D2222" s="5">
        <v>45953</v>
      </c>
      <c r="E2222" s="6">
        <f>IF(AND(C2222&lt;&gt;"",D2222&lt;&gt;""),D2222-C2222,"")</f>
        <v>0</v>
      </c>
      <c r="F2222" s="4" t="s">
        <v>114</v>
      </c>
      <c r="G2222" s="4"/>
      <c r="H2222" s="4"/>
      <c r="I2222" s="4" t="s">
        <v>56</v>
      </c>
      <c r="J2222" s="4">
        <v>1</v>
      </c>
      <c r="K2222" s="4">
        <v>0</v>
      </c>
      <c r="L2222" s="4">
        <f>J2222+K2222</f>
        <v>0</v>
      </c>
      <c r="M2222" s="4" t="s">
        <v>80</v>
      </c>
      <c r="N2222" s="4"/>
      <c r="O2222" s="4">
        <v>1</v>
      </c>
      <c r="P2222" s="4" t="s">
        <v>135</v>
      </c>
      <c r="Q2222" s="4"/>
      <c r="R2222" s="7">
        <v>610000</v>
      </c>
      <c r="S2222" s="7">
        <v>0</v>
      </c>
      <c r="T2222" s="7">
        <f>R2222-S2222</f>
        <v>0</v>
      </c>
      <c r="U2222" s="7">
        <f>T2222*O2222</f>
        <v>0</v>
      </c>
    </row>
    <row r="2223" spans="1:21">
      <c r="A2223" s="4" t="s">
        <v>3301</v>
      </c>
      <c r="B2223" s="4" t="s">
        <v>39</v>
      </c>
      <c r="C2223" s="5">
        <v>45953.55569444445</v>
      </c>
      <c r="D2223" s="5">
        <v>45953</v>
      </c>
      <c r="E2223" s="6">
        <f>IF(AND(C2223&lt;&gt;"",D2223&lt;&gt;""),D2223-C2223,"")</f>
        <v>0</v>
      </c>
      <c r="F2223" s="4" t="s">
        <v>3302</v>
      </c>
      <c r="G2223" s="4" t="s">
        <v>3303</v>
      </c>
      <c r="H2223" s="4" t="s">
        <v>32</v>
      </c>
      <c r="I2223" s="4" t="s">
        <v>33</v>
      </c>
      <c r="J2223" s="4">
        <v>20</v>
      </c>
      <c r="K2223" s="4">
        <v>0</v>
      </c>
      <c r="L2223" s="4">
        <f>J2223+K2223</f>
        <v>0</v>
      </c>
      <c r="M2223" s="4" t="s">
        <v>80</v>
      </c>
      <c r="N2223" s="4"/>
      <c r="O2223" s="4">
        <v>20</v>
      </c>
      <c r="P2223" s="4" t="s">
        <v>135</v>
      </c>
      <c r="Q2223" s="4"/>
      <c r="R2223" s="7">
        <v>610000</v>
      </c>
      <c r="S2223" s="7">
        <v>0</v>
      </c>
      <c r="T2223" s="7">
        <f>R2223-S2223</f>
        <v>0</v>
      </c>
      <c r="U2223" s="7">
        <f>T2223*O2223</f>
        <v>0</v>
      </c>
    </row>
    <row r="2224" spans="1:21">
      <c r="A2224" s="4" t="s">
        <v>3304</v>
      </c>
      <c r="B2224" s="4" t="s">
        <v>39</v>
      </c>
      <c r="C2224" s="5">
        <v>45953.56318287037</v>
      </c>
      <c r="D2224" s="5">
        <v>45953</v>
      </c>
      <c r="E2224" s="6">
        <f>IF(AND(C2224&lt;&gt;"",D2224&lt;&gt;""),D2224-C2224,"")</f>
        <v>0</v>
      </c>
      <c r="F2224" s="4" t="s">
        <v>3302</v>
      </c>
      <c r="G2224" s="4" t="s">
        <v>3305</v>
      </c>
      <c r="H2224" s="4" t="s">
        <v>32</v>
      </c>
      <c r="I2224" s="4" t="s">
        <v>33</v>
      </c>
      <c r="J2224" s="4">
        <v>25</v>
      </c>
      <c r="K2224" s="4">
        <v>0</v>
      </c>
      <c r="L2224" s="4">
        <f>J2224+K2224</f>
        <v>0</v>
      </c>
      <c r="M2224" s="4" t="s">
        <v>80</v>
      </c>
      <c r="N2224" s="4"/>
      <c r="O2224" s="4">
        <v>25</v>
      </c>
      <c r="P2224" s="4" t="s">
        <v>135</v>
      </c>
      <c r="Q2224" s="4" t="s">
        <v>44</v>
      </c>
      <c r="R2224" s="7">
        <v>610000</v>
      </c>
      <c r="S2224" s="7">
        <v>0</v>
      </c>
      <c r="T2224" s="7">
        <f>R2224-S2224</f>
        <v>0</v>
      </c>
      <c r="U2224" s="7">
        <f>T2224*O2224</f>
        <v>0</v>
      </c>
    </row>
    <row r="2225" spans="1:21">
      <c r="A2225" s="4" t="s">
        <v>3306</v>
      </c>
      <c r="B2225" s="4" t="s">
        <v>39</v>
      </c>
      <c r="C2225" s="5">
        <v>45953.56706018518</v>
      </c>
      <c r="D2225" s="5">
        <v>45953</v>
      </c>
      <c r="E2225" s="6">
        <f>IF(AND(C2225&lt;&gt;"",D2225&lt;&gt;""),D2225-C2225,"")</f>
        <v>0</v>
      </c>
      <c r="F2225" s="4" t="s">
        <v>114</v>
      </c>
      <c r="G2225" s="4"/>
      <c r="H2225" s="4"/>
      <c r="I2225" s="4" t="s">
        <v>56</v>
      </c>
      <c r="J2225" s="4">
        <v>1</v>
      </c>
      <c r="K2225" s="4">
        <v>0</v>
      </c>
      <c r="L2225" s="4">
        <f>J2225+K2225</f>
        <v>0</v>
      </c>
      <c r="M2225" s="4" t="s">
        <v>80</v>
      </c>
      <c r="N2225" s="4"/>
      <c r="O2225" s="4">
        <v>1</v>
      </c>
      <c r="P2225" s="4" t="s">
        <v>135</v>
      </c>
      <c r="Q2225" s="4" t="s">
        <v>44</v>
      </c>
      <c r="R2225" s="7">
        <v>610000</v>
      </c>
      <c r="S2225" s="7">
        <v>0</v>
      </c>
      <c r="T2225" s="7">
        <f>R2225-S2225</f>
        <v>0</v>
      </c>
      <c r="U2225" s="7">
        <f>T2225*O2225</f>
        <v>0</v>
      </c>
    </row>
    <row r="2226" spans="1:21">
      <c r="A2226" s="4" t="s">
        <v>3307</v>
      </c>
      <c r="B2226" s="4" t="s">
        <v>39</v>
      </c>
      <c r="C2226" s="5">
        <v>45953.57091435185</v>
      </c>
      <c r="D2226" s="5">
        <v>45953</v>
      </c>
      <c r="E2226" s="6">
        <f>IF(AND(C2226&lt;&gt;"",D2226&lt;&gt;""),D2226-C2226,"")</f>
        <v>0</v>
      </c>
      <c r="F2226" s="4" t="s">
        <v>3308</v>
      </c>
      <c r="G2226" s="4" t="s">
        <v>3309</v>
      </c>
      <c r="H2226" s="4" t="s">
        <v>32</v>
      </c>
      <c r="I2226" s="4" t="s">
        <v>33</v>
      </c>
      <c r="J2226" s="4">
        <v>1</v>
      </c>
      <c r="K2226" s="4">
        <v>0</v>
      </c>
      <c r="L2226" s="4">
        <f>J2226+K2226</f>
        <v>0</v>
      </c>
      <c r="M2226" s="4" t="s">
        <v>80</v>
      </c>
      <c r="N2226" s="4"/>
      <c r="O2226" s="4">
        <v>1</v>
      </c>
      <c r="P2226" s="4" t="s">
        <v>135</v>
      </c>
      <c r="Q2226" s="4" t="s">
        <v>44</v>
      </c>
      <c r="R2226" s="7">
        <v>610000</v>
      </c>
      <c r="S2226" s="7">
        <v>0</v>
      </c>
      <c r="T2226" s="7">
        <f>R2226-S2226</f>
        <v>0</v>
      </c>
      <c r="U2226" s="7">
        <f>T2226*O2226</f>
        <v>0</v>
      </c>
    </row>
    <row r="2227" spans="1:21">
      <c r="A2227" s="4" t="s">
        <v>3310</v>
      </c>
      <c r="B2227" s="4" t="s">
        <v>39</v>
      </c>
      <c r="C2227" s="5">
        <v>45953.57230324074</v>
      </c>
      <c r="D2227" s="5">
        <v>45953</v>
      </c>
      <c r="E2227" s="6">
        <f>IF(AND(C2227&lt;&gt;"",D2227&lt;&gt;""),D2227-C2227,"")</f>
        <v>0</v>
      </c>
      <c r="F2227" s="4" t="s">
        <v>114</v>
      </c>
      <c r="G2227" s="4"/>
      <c r="H2227" s="4"/>
      <c r="I2227" s="4" t="s">
        <v>56</v>
      </c>
      <c r="J2227" s="4">
        <v>1</v>
      </c>
      <c r="K2227" s="4">
        <v>0</v>
      </c>
      <c r="L2227" s="4">
        <f>J2227+K2227</f>
        <v>0</v>
      </c>
      <c r="M2227" s="4" t="s">
        <v>80</v>
      </c>
      <c r="N2227" s="4"/>
      <c r="O2227" s="4">
        <v>1</v>
      </c>
      <c r="P2227" s="4" t="s">
        <v>135</v>
      </c>
      <c r="Q2227" s="4" t="s">
        <v>44</v>
      </c>
      <c r="R2227" s="7">
        <v>610000</v>
      </c>
      <c r="S2227" s="7">
        <v>0</v>
      </c>
      <c r="T2227" s="7">
        <f>R2227-S2227</f>
        <v>0</v>
      </c>
      <c r="U2227" s="7">
        <f>T2227*O2227</f>
        <v>0</v>
      </c>
    </row>
    <row r="2228" spans="1:21">
      <c r="A2228" s="4" t="s">
        <v>3311</v>
      </c>
      <c r="B2228" s="4" t="s">
        <v>39</v>
      </c>
      <c r="C2228" s="5">
        <v>45953.57438657407</v>
      </c>
      <c r="D2228" s="5">
        <v>45953</v>
      </c>
      <c r="E2228" s="6">
        <f>IF(AND(C2228&lt;&gt;"",D2228&lt;&gt;""),D2228-C2228,"")</f>
        <v>0</v>
      </c>
      <c r="F2228" s="4" t="s">
        <v>114</v>
      </c>
      <c r="G2228" s="4"/>
      <c r="H2228" s="4"/>
      <c r="I2228" s="4" t="s">
        <v>56</v>
      </c>
      <c r="J2228" s="4">
        <v>1</v>
      </c>
      <c r="K2228" s="4">
        <v>0</v>
      </c>
      <c r="L2228" s="4">
        <f>J2228+K2228</f>
        <v>0</v>
      </c>
      <c r="M2228" s="4" t="s">
        <v>80</v>
      </c>
      <c r="N2228" s="4"/>
      <c r="O2228" s="4">
        <v>1</v>
      </c>
      <c r="P2228" s="4" t="s">
        <v>135</v>
      </c>
      <c r="Q2228" s="4" t="s">
        <v>44</v>
      </c>
      <c r="R2228" s="7">
        <v>610000</v>
      </c>
      <c r="S2228" s="7">
        <v>0</v>
      </c>
      <c r="T2228" s="7">
        <f>R2228-S2228</f>
        <v>0</v>
      </c>
      <c r="U2228" s="7">
        <f>T2228*O2228</f>
        <v>0</v>
      </c>
    </row>
    <row r="2229" spans="1:21">
      <c r="A2229" s="4" t="s">
        <v>3312</v>
      </c>
      <c r="B2229" s="4" t="s">
        <v>39</v>
      </c>
      <c r="C2229" s="5">
        <v>45953.57858796296</v>
      </c>
      <c r="D2229" s="5">
        <v>45953</v>
      </c>
      <c r="E2229" s="6">
        <f>IF(AND(C2229&lt;&gt;"",D2229&lt;&gt;""),D2229-C2229,"")</f>
        <v>0</v>
      </c>
      <c r="F2229" s="4" t="s">
        <v>3313</v>
      </c>
      <c r="G2229" s="4" t="s">
        <v>3314</v>
      </c>
      <c r="H2229" s="4" t="s">
        <v>32</v>
      </c>
      <c r="I2229" s="4" t="s">
        <v>33</v>
      </c>
      <c r="J2229" s="4">
        <v>21</v>
      </c>
      <c r="K2229" s="4">
        <v>0</v>
      </c>
      <c r="L2229" s="4">
        <f>J2229+K2229</f>
        <v>0</v>
      </c>
      <c r="M2229" s="4" t="s">
        <v>80</v>
      </c>
      <c r="N2229" s="4"/>
      <c r="O2229" s="4">
        <v>21</v>
      </c>
      <c r="P2229" s="4" t="s">
        <v>135</v>
      </c>
      <c r="Q2229" s="4" t="s">
        <v>44</v>
      </c>
      <c r="R2229" s="7">
        <v>610000</v>
      </c>
      <c r="S2229" s="7">
        <v>0</v>
      </c>
      <c r="T2229" s="7">
        <f>R2229-S2229</f>
        <v>0</v>
      </c>
      <c r="U2229" s="7">
        <f>T2229*O2229</f>
        <v>0</v>
      </c>
    </row>
    <row r="2230" spans="1:21">
      <c r="A2230" s="4" t="s">
        <v>3315</v>
      </c>
      <c r="B2230" s="4" t="s">
        <v>39</v>
      </c>
      <c r="C2230" s="5">
        <v>45953.58912037037</v>
      </c>
      <c r="D2230" s="5">
        <v>45953</v>
      </c>
      <c r="E2230" s="6">
        <f>IF(AND(C2230&lt;&gt;"",D2230&lt;&gt;""),D2230-C2230,"")</f>
        <v>0</v>
      </c>
      <c r="F2230" s="4" t="s">
        <v>3316</v>
      </c>
      <c r="G2230" s="4" t="s">
        <v>3317</v>
      </c>
      <c r="H2230" s="4" t="s">
        <v>32</v>
      </c>
      <c r="I2230" s="4" t="s">
        <v>33</v>
      </c>
      <c r="J2230" s="4">
        <v>100</v>
      </c>
      <c r="K2230" s="4">
        <v>0</v>
      </c>
      <c r="L2230" s="4">
        <f>J2230+K2230</f>
        <v>0</v>
      </c>
      <c r="M2230" s="4" t="s">
        <v>42</v>
      </c>
      <c r="N2230" s="4"/>
      <c r="O2230" s="4">
        <v>100</v>
      </c>
      <c r="P2230" s="4" t="s">
        <v>135</v>
      </c>
      <c r="Q2230" s="4"/>
      <c r="R2230" s="7">
        <v>370000</v>
      </c>
      <c r="S2230" s="7">
        <v>0</v>
      </c>
      <c r="T2230" s="7">
        <f>R2230-S2230</f>
        <v>0</v>
      </c>
      <c r="U2230" s="7">
        <f>T2230*O2230</f>
        <v>0</v>
      </c>
    </row>
    <row r="2231" spans="1:21">
      <c r="A2231" s="4" t="s">
        <v>3318</v>
      </c>
      <c r="B2231" s="4" t="s">
        <v>39</v>
      </c>
      <c r="C2231" s="5">
        <v>45953.58912037037</v>
      </c>
      <c r="D2231" s="5">
        <v>45953</v>
      </c>
      <c r="E2231" s="6">
        <f>IF(AND(C2231&lt;&gt;"",D2231&lt;&gt;""),D2231-C2231,"")</f>
        <v>0</v>
      </c>
      <c r="F2231" s="4" t="s">
        <v>3316</v>
      </c>
      <c r="G2231" s="4" t="s">
        <v>3317</v>
      </c>
      <c r="H2231" s="4" t="s">
        <v>32</v>
      </c>
      <c r="I2231" s="4" t="s">
        <v>33</v>
      </c>
      <c r="J2231" s="4">
        <v>100</v>
      </c>
      <c r="K2231" s="4">
        <v>0</v>
      </c>
      <c r="L2231" s="4">
        <f>J2231+K2231</f>
        <v>0</v>
      </c>
      <c r="M2231" s="4" t="s">
        <v>42</v>
      </c>
      <c r="N2231" s="4"/>
      <c r="O2231" s="4">
        <v>100</v>
      </c>
      <c r="P2231" s="4" t="s">
        <v>135</v>
      </c>
      <c r="Q2231" s="4"/>
      <c r="R2231" s="7">
        <v>370000</v>
      </c>
      <c r="S2231" s="7">
        <v>0</v>
      </c>
      <c r="T2231" s="7">
        <f>R2231-S2231</f>
        <v>0</v>
      </c>
      <c r="U2231" s="7">
        <f>T2231*O2231</f>
        <v>0</v>
      </c>
    </row>
    <row r="2232" spans="1:21">
      <c r="A2232" s="4" t="s">
        <v>3319</v>
      </c>
      <c r="B2232" s="4" t="s">
        <v>29</v>
      </c>
      <c r="C2232" s="5">
        <v>45953.59197916667</v>
      </c>
      <c r="D2232" s="5">
        <v>45961</v>
      </c>
      <c r="E2232" s="6">
        <f>IF(AND(C2232&lt;&gt;"",D2232&lt;&gt;""),D2232-C2232,"")</f>
        <v>0</v>
      </c>
      <c r="F2232" s="4" t="s">
        <v>1433</v>
      </c>
      <c r="G2232" s="4" t="s">
        <v>1434</v>
      </c>
      <c r="H2232" s="4" t="s">
        <v>1435</v>
      </c>
      <c r="I2232" s="4" t="s">
        <v>56</v>
      </c>
      <c r="J2232" s="4">
        <v>1</v>
      </c>
      <c r="K2232" s="4">
        <v>2</v>
      </c>
      <c r="L2232" s="4">
        <f>J2232+K2232</f>
        <v>0</v>
      </c>
      <c r="M2232" s="4"/>
      <c r="N2232" s="4"/>
      <c r="O2232" s="4">
        <v>0</v>
      </c>
      <c r="P2232" s="4"/>
      <c r="Q2232" s="4"/>
      <c r="R2232" s="7">
        <v>0</v>
      </c>
      <c r="S2232" s="7">
        <v>0</v>
      </c>
      <c r="T2232" s="7">
        <f>R2232-S2232</f>
        <v>0</v>
      </c>
      <c r="U2232" s="7">
        <f>T2232*O2232</f>
        <v>0</v>
      </c>
    </row>
    <row r="2233" spans="1:21">
      <c r="A2233" s="4" t="s">
        <v>3320</v>
      </c>
      <c r="B2233" s="4" t="s">
        <v>39</v>
      </c>
      <c r="C2233" s="5">
        <v>45953.5978587963</v>
      </c>
      <c r="D2233" s="5">
        <v>45953</v>
      </c>
      <c r="E2233" s="6">
        <f>IF(AND(C2233&lt;&gt;"",D2233&lt;&gt;""),D2233-C2233,"")</f>
        <v>0</v>
      </c>
      <c r="F2233" s="4" t="s">
        <v>3321</v>
      </c>
      <c r="G2233" s="4" t="s">
        <v>3322</v>
      </c>
      <c r="H2233" s="4" t="s">
        <v>32</v>
      </c>
      <c r="I2233" s="4" t="s">
        <v>33</v>
      </c>
      <c r="J2233" s="4">
        <v>3</v>
      </c>
      <c r="K2233" s="4">
        <v>0</v>
      </c>
      <c r="L2233" s="4">
        <f>J2233+K2233</f>
        <v>0</v>
      </c>
      <c r="M2233" s="4" t="s">
        <v>80</v>
      </c>
      <c r="N2233" s="4"/>
      <c r="O2233" s="4">
        <v>3</v>
      </c>
      <c r="P2233" s="4" t="s">
        <v>135</v>
      </c>
      <c r="Q2233" s="4"/>
      <c r="R2233" s="7">
        <v>610000</v>
      </c>
      <c r="S2233" s="7">
        <v>0</v>
      </c>
      <c r="T2233" s="7">
        <f>R2233-S2233</f>
        <v>0</v>
      </c>
      <c r="U2233" s="7">
        <f>T2233*O2233</f>
        <v>0</v>
      </c>
    </row>
    <row r="2234" spans="1:21">
      <c r="A2234" s="4" t="s">
        <v>3323</v>
      </c>
      <c r="B2234" s="4" t="s">
        <v>39</v>
      </c>
      <c r="C2234" s="5">
        <v>45953.60141203704</v>
      </c>
      <c r="D2234" s="5">
        <v>45953</v>
      </c>
      <c r="E2234" s="6">
        <f>IF(AND(C2234&lt;&gt;"",D2234&lt;&gt;""),D2234-C2234,"")</f>
        <v>0</v>
      </c>
      <c r="F2234" s="4" t="s">
        <v>3324</v>
      </c>
      <c r="G2234" s="4" t="s">
        <v>3325</v>
      </c>
      <c r="H2234" s="4" t="s">
        <v>32</v>
      </c>
      <c r="I2234" s="4" t="s">
        <v>33</v>
      </c>
      <c r="J2234" s="4">
        <v>1</v>
      </c>
      <c r="K2234" s="4">
        <v>0</v>
      </c>
      <c r="L2234" s="4">
        <f>J2234+K2234</f>
        <v>0</v>
      </c>
      <c r="M2234" s="4" t="s">
        <v>80</v>
      </c>
      <c r="N2234" s="4"/>
      <c r="O2234" s="4">
        <v>1</v>
      </c>
      <c r="P2234" s="4" t="s">
        <v>135</v>
      </c>
      <c r="Q2234" s="4" t="s">
        <v>44</v>
      </c>
      <c r="R2234" s="7">
        <v>610000</v>
      </c>
      <c r="S2234" s="7">
        <v>0</v>
      </c>
      <c r="T2234" s="7">
        <f>R2234-S2234</f>
        <v>0</v>
      </c>
      <c r="U2234" s="7">
        <f>T2234*O2234</f>
        <v>0</v>
      </c>
    </row>
    <row r="2235" spans="1:21">
      <c r="A2235" s="4" t="s">
        <v>3326</v>
      </c>
      <c r="B2235" s="4" t="s">
        <v>39</v>
      </c>
      <c r="C2235" s="5">
        <v>45953.60162037037</v>
      </c>
      <c r="D2235" s="5">
        <v>45953</v>
      </c>
      <c r="E2235" s="6">
        <f>IF(AND(C2235&lt;&gt;"",D2235&lt;&gt;""),D2235-C2235,"")</f>
        <v>0</v>
      </c>
      <c r="F2235" s="4" t="s">
        <v>3327</v>
      </c>
      <c r="G2235" s="4" t="s">
        <v>3328</v>
      </c>
      <c r="H2235" s="4" t="s">
        <v>32</v>
      </c>
      <c r="I2235" s="4" t="s">
        <v>33</v>
      </c>
      <c r="J2235" s="4">
        <v>5</v>
      </c>
      <c r="K2235" s="4">
        <v>0</v>
      </c>
      <c r="L2235" s="4">
        <f>J2235+K2235</f>
        <v>0</v>
      </c>
      <c r="M2235" s="4" t="s">
        <v>42</v>
      </c>
      <c r="N2235" s="4"/>
      <c r="O2235" s="4">
        <v>5</v>
      </c>
      <c r="P2235" s="4" t="s">
        <v>135</v>
      </c>
      <c r="Q2235" s="4"/>
      <c r="R2235" s="7">
        <v>370000</v>
      </c>
      <c r="S2235" s="7">
        <v>0</v>
      </c>
      <c r="T2235" s="7">
        <f>R2235-S2235</f>
        <v>0</v>
      </c>
      <c r="U2235" s="7">
        <f>T2235*O2235</f>
        <v>0</v>
      </c>
    </row>
    <row r="2236" spans="1:21">
      <c r="A2236" s="4" t="s">
        <v>3326</v>
      </c>
      <c r="B2236" s="4" t="s">
        <v>39</v>
      </c>
      <c r="C2236" s="5">
        <v>45953.60162037037</v>
      </c>
      <c r="D2236" s="5">
        <v>45953</v>
      </c>
      <c r="E2236" s="6">
        <f>IF(AND(C2236&lt;&gt;"",D2236&lt;&gt;""),D2236-C2236,"")</f>
        <v>0</v>
      </c>
      <c r="F2236" s="4" t="s">
        <v>3327</v>
      </c>
      <c r="G2236" s="4" t="s">
        <v>3328</v>
      </c>
      <c r="H2236" s="4" t="s">
        <v>32</v>
      </c>
      <c r="I2236" s="4" t="s">
        <v>33</v>
      </c>
      <c r="J2236" s="4">
        <v>1</v>
      </c>
      <c r="K2236" s="4">
        <v>0</v>
      </c>
      <c r="L2236" s="4">
        <f>J2236+K2236</f>
        <v>0</v>
      </c>
      <c r="M2236" s="4" t="s">
        <v>1645</v>
      </c>
      <c r="N2236" s="4"/>
      <c r="O2236" s="4">
        <v>1</v>
      </c>
      <c r="P2236" s="4" t="s">
        <v>135</v>
      </c>
      <c r="Q2236" s="4"/>
      <c r="R2236" s="7">
        <v>2100000</v>
      </c>
      <c r="S2236" s="7">
        <v>0</v>
      </c>
      <c r="T2236" s="7">
        <f>R2236-S2236</f>
        <v>0</v>
      </c>
      <c r="U2236" s="7">
        <f>T2236*O2236</f>
        <v>0</v>
      </c>
    </row>
    <row r="2237" spans="1:21">
      <c r="A2237" s="4" t="s">
        <v>3329</v>
      </c>
      <c r="B2237" s="4" t="s">
        <v>39</v>
      </c>
      <c r="C2237" s="5">
        <v>45953.61858796296</v>
      </c>
      <c r="D2237" s="5">
        <v>45953</v>
      </c>
      <c r="E2237" s="6">
        <f>IF(AND(C2237&lt;&gt;"",D2237&lt;&gt;""),D2237-C2237,"")</f>
        <v>0</v>
      </c>
      <c r="F2237" s="4" t="s">
        <v>3330</v>
      </c>
      <c r="G2237" s="4" t="s">
        <v>3331</v>
      </c>
      <c r="H2237" s="4" t="s">
        <v>32</v>
      </c>
      <c r="I2237" s="4" t="s">
        <v>33</v>
      </c>
      <c r="J2237" s="4">
        <v>41</v>
      </c>
      <c r="K2237" s="4">
        <v>0</v>
      </c>
      <c r="L2237" s="4">
        <f>J2237+K2237</f>
        <v>0</v>
      </c>
      <c r="M2237" s="4" t="s">
        <v>42</v>
      </c>
      <c r="N2237" s="4"/>
      <c r="O2237" s="4">
        <v>41</v>
      </c>
      <c r="P2237" s="4" t="s">
        <v>135</v>
      </c>
      <c r="Q2237" s="4"/>
      <c r="R2237" s="7">
        <v>370000</v>
      </c>
      <c r="S2237" s="7">
        <v>0</v>
      </c>
      <c r="T2237" s="7">
        <f>R2237-S2237</f>
        <v>0</v>
      </c>
      <c r="U2237" s="7">
        <f>T2237*O2237</f>
        <v>0</v>
      </c>
    </row>
    <row r="2238" spans="1:21">
      <c r="A2238" s="4" t="s">
        <v>3332</v>
      </c>
      <c r="B2238" s="4" t="s">
        <v>39</v>
      </c>
      <c r="C2238" s="5">
        <v>45953.6291550926</v>
      </c>
      <c r="D2238" s="5">
        <v>45953</v>
      </c>
      <c r="E2238" s="6">
        <f>IF(AND(C2238&lt;&gt;"",D2238&lt;&gt;""),D2238-C2238,"")</f>
        <v>0</v>
      </c>
      <c r="F2238" s="4" t="s">
        <v>3333</v>
      </c>
      <c r="G2238" s="4" t="s">
        <v>3334</v>
      </c>
      <c r="H2238" s="4" t="s">
        <v>32</v>
      </c>
      <c r="I2238" s="4" t="s">
        <v>33</v>
      </c>
      <c r="J2238" s="4">
        <v>0</v>
      </c>
      <c r="K2238" s="4">
        <v>100</v>
      </c>
      <c r="L2238" s="4">
        <f>J2238+K2238</f>
        <v>0</v>
      </c>
      <c r="M2238" s="4" t="s">
        <v>81</v>
      </c>
      <c r="N2238" s="4"/>
      <c r="O2238" s="4">
        <v>100</v>
      </c>
      <c r="P2238" s="4" t="s">
        <v>135</v>
      </c>
      <c r="Q2238" s="4"/>
      <c r="R2238" s="7">
        <v>495000</v>
      </c>
      <c r="S2238" s="7">
        <v>0</v>
      </c>
      <c r="T2238" s="7">
        <f>R2238-S2238</f>
        <v>0</v>
      </c>
      <c r="U2238" s="7">
        <f>T2238*O2238</f>
        <v>0</v>
      </c>
    </row>
    <row r="2239" spans="1:21">
      <c r="A2239" s="4" t="s">
        <v>3335</v>
      </c>
      <c r="B2239" s="4" t="s">
        <v>39</v>
      </c>
      <c r="C2239" s="5">
        <v>45953.62983796297</v>
      </c>
      <c r="D2239" s="5">
        <v>45953</v>
      </c>
      <c r="E2239" s="6">
        <f>IF(AND(C2239&lt;&gt;"",D2239&lt;&gt;""),D2239-C2239,"")</f>
        <v>0</v>
      </c>
      <c r="F2239" s="4" t="s">
        <v>162</v>
      </c>
      <c r="G2239" s="4" t="s">
        <v>163</v>
      </c>
      <c r="H2239" s="4" t="s">
        <v>32</v>
      </c>
      <c r="I2239" s="4" t="s">
        <v>33</v>
      </c>
      <c r="J2239" s="4">
        <v>1</v>
      </c>
      <c r="K2239" s="4">
        <v>0</v>
      </c>
      <c r="L2239" s="4">
        <f>J2239+K2239</f>
        <v>0</v>
      </c>
      <c r="M2239" s="4" t="s">
        <v>80</v>
      </c>
      <c r="N2239" s="4"/>
      <c r="O2239" s="4">
        <v>1</v>
      </c>
      <c r="P2239" s="4" t="s">
        <v>135</v>
      </c>
      <c r="Q2239" s="4" t="s">
        <v>44</v>
      </c>
      <c r="R2239" s="7">
        <v>610000</v>
      </c>
      <c r="S2239" s="7">
        <v>0</v>
      </c>
      <c r="T2239" s="7">
        <f>R2239-S2239</f>
        <v>0</v>
      </c>
      <c r="U2239" s="7">
        <f>T2239*O2239</f>
        <v>0</v>
      </c>
    </row>
    <row r="2240" spans="1:21">
      <c r="A2240" s="4" t="s">
        <v>3336</v>
      </c>
      <c r="B2240" s="4" t="s">
        <v>39</v>
      </c>
      <c r="C2240" s="5">
        <v>45953.63984953704</v>
      </c>
      <c r="D2240" s="5">
        <v>45953</v>
      </c>
      <c r="E2240" s="6">
        <f>IF(AND(C2240&lt;&gt;"",D2240&lt;&gt;""),D2240-C2240,"")</f>
        <v>0</v>
      </c>
      <c r="F2240" s="4" t="s">
        <v>3337</v>
      </c>
      <c r="G2240" s="4" t="s">
        <v>3338</v>
      </c>
      <c r="H2240" s="4" t="s">
        <v>32</v>
      </c>
      <c r="I2240" s="4" t="s">
        <v>33</v>
      </c>
      <c r="J2240" s="4">
        <v>0</v>
      </c>
      <c r="K2240" s="4">
        <v>100</v>
      </c>
      <c r="L2240" s="4">
        <f>J2240+K2240</f>
        <v>0</v>
      </c>
      <c r="M2240" s="4" t="s">
        <v>81</v>
      </c>
      <c r="N2240" s="4"/>
      <c r="O2240" s="4">
        <v>100</v>
      </c>
      <c r="P2240" s="4" t="s">
        <v>135</v>
      </c>
      <c r="Q2240" s="4"/>
      <c r="R2240" s="7">
        <v>495000</v>
      </c>
      <c r="S2240" s="7">
        <v>0</v>
      </c>
      <c r="T2240" s="7">
        <f>R2240-S2240</f>
        <v>0</v>
      </c>
      <c r="U2240" s="7">
        <f>T2240*O2240</f>
        <v>0</v>
      </c>
    </row>
    <row r="2241" spans="1:21">
      <c r="A2241" s="4" t="s">
        <v>3339</v>
      </c>
      <c r="B2241" s="4" t="s">
        <v>39</v>
      </c>
      <c r="C2241" s="5">
        <v>45953.65070601852</v>
      </c>
      <c r="D2241" s="5">
        <v>45953</v>
      </c>
      <c r="E2241" s="6">
        <f>IF(AND(C2241&lt;&gt;"",D2241&lt;&gt;""),D2241-C2241,"")</f>
        <v>0</v>
      </c>
      <c r="F2241" s="4" t="s">
        <v>64</v>
      </c>
      <c r="G2241" s="4" t="s">
        <v>65</v>
      </c>
      <c r="H2241" s="4" t="s">
        <v>32</v>
      </c>
      <c r="I2241" s="4" t="s">
        <v>33</v>
      </c>
      <c r="J2241" s="4">
        <v>0</v>
      </c>
      <c r="K2241" s="4">
        <v>9</v>
      </c>
      <c r="L2241" s="4">
        <f>J2241+K2241</f>
        <v>0</v>
      </c>
      <c r="M2241" s="4" t="s">
        <v>81</v>
      </c>
      <c r="N2241" s="4"/>
      <c r="O2241" s="4">
        <v>9</v>
      </c>
      <c r="P2241" s="4" t="s">
        <v>135</v>
      </c>
      <c r="Q2241" s="4"/>
      <c r="R2241" s="7">
        <v>495000</v>
      </c>
      <c r="S2241" s="7">
        <v>0</v>
      </c>
      <c r="T2241" s="7">
        <f>R2241-S2241</f>
        <v>0</v>
      </c>
      <c r="U2241" s="7">
        <f>T2241*O2241</f>
        <v>0</v>
      </c>
    </row>
    <row r="2242" spans="1:21">
      <c r="A2242" s="4" t="s">
        <v>3340</v>
      </c>
      <c r="B2242" s="4" t="s">
        <v>39</v>
      </c>
      <c r="C2242" s="5">
        <v>45953.65363425926</v>
      </c>
      <c r="D2242" s="5">
        <v>45953</v>
      </c>
      <c r="E2242" s="6">
        <f>IF(AND(C2242&lt;&gt;"",D2242&lt;&gt;""),D2242-C2242,"")</f>
        <v>0</v>
      </c>
      <c r="F2242" s="4" t="s">
        <v>3302</v>
      </c>
      <c r="G2242" s="4" t="s">
        <v>3341</v>
      </c>
      <c r="H2242" s="4" t="s">
        <v>32</v>
      </c>
      <c r="I2242" s="4" t="s">
        <v>33</v>
      </c>
      <c r="J2242" s="4">
        <v>0</v>
      </c>
      <c r="K2242" s="4">
        <v>100</v>
      </c>
      <c r="L2242" s="4">
        <f>J2242+K2242</f>
        <v>0</v>
      </c>
      <c r="M2242" s="4" t="s">
        <v>46</v>
      </c>
      <c r="N2242" s="4"/>
      <c r="O2242" s="4">
        <v>100</v>
      </c>
      <c r="P2242" s="4" t="s">
        <v>135</v>
      </c>
      <c r="Q2242" s="4"/>
      <c r="R2242" s="7">
        <v>325000</v>
      </c>
      <c r="S2242" s="7">
        <v>0</v>
      </c>
      <c r="T2242" s="7">
        <f>R2242-S2242</f>
        <v>0</v>
      </c>
      <c r="U2242" s="7">
        <f>T2242*O2242</f>
        <v>0</v>
      </c>
    </row>
    <row r="2243" spans="1:21">
      <c r="A2243" s="4" t="s">
        <v>3342</v>
      </c>
      <c r="B2243" s="4" t="s">
        <v>39</v>
      </c>
      <c r="C2243" s="5">
        <v>45953.66496527778</v>
      </c>
      <c r="D2243" s="5">
        <v>45953</v>
      </c>
      <c r="E2243" s="6">
        <f>IF(AND(C2243&lt;&gt;"",D2243&lt;&gt;""),D2243-C2243,"")</f>
        <v>0</v>
      </c>
      <c r="F2243" s="4" t="s">
        <v>3343</v>
      </c>
      <c r="G2243" s="4" t="s">
        <v>3344</v>
      </c>
      <c r="H2243" s="4" t="s">
        <v>32</v>
      </c>
      <c r="I2243" s="4" t="s">
        <v>33</v>
      </c>
      <c r="J2243" s="4">
        <v>0</v>
      </c>
      <c r="K2243" s="4">
        <v>50</v>
      </c>
      <c r="L2243" s="4">
        <f>J2243+K2243</f>
        <v>0</v>
      </c>
      <c r="M2243" s="4" t="s">
        <v>46</v>
      </c>
      <c r="N2243" s="4"/>
      <c r="O2243" s="4">
        <v>50</v>
      </c>
      <c r="P2243" s="4" t="s">
        <v>135</v>
      </c>
      <c r="Q2243" s="4"/>
      <c r="R2243" s="7">
        <v>325000</v>
      </c>
      <c r="S2243" s="7">
        <v>0</v>
      </c>
      <c r="T2243" s="7">
        <f>R2243-S2243</f>
        <v>0</v>
      </c>
      <c r="U2243" s="7">
        <f>T2243*O2243</f>
        <v>0</v>
      </c>
    </row>
    <row r="2244" spans="1:21">
      <c r="A2244" s="4" t="s">
        <v>3345</v>
      </c>
      <c r="B2244" s="4" t="s">
        <v>39</v>
      </c>
      <c r="C2244" s="5">
        <v>45953.67228009259</v>
      </c>
      <c r="D2244" s="5">
        <v>45953</v>
      </c>
      <c r="E2244" s="6">
        <f>IF(AND(C2244&lt;&gt;"",D2244&lt;&gt;""),D2244-C2244,"")</f>
        <v>0</v>
      </c>
      <c r="F2244" s="4" t="s">
        <v>3346</v>
      </c>
      <c r="G2244" s="4" t="s">
        <v>3347</v>
      </c>
      <c r="H2244" s="4" t="s">
        <v>32</v>
      </c>
      <c r="I2244" s="4" t="s">
        <v>33</v>
      </c>
      <c r="J2244" s="4">
        <v>0</v>
      </c>
      <c r="K2244" s="4">
        <v>50</v>
      </c>
      <c r="L2244" s="4">
        <f>J2244+K2244</f>
        <v>0</v>
      </c>
      <c r="M2244" s="4" t="s">
        <v>46</v>
      </c>
      <c r="N2244" s="4"/>
      <c r="O2244" s="4">
        <v>50</v>
      </c>
      <c r="P2244" s="4" t="s">
        <v>135</v>
      </c>
      <c r="Q2244" s="4"/>
      <c r="R2244" s="7">
        <v>325000</v>
      </c>
      <c r="S2244" s="7">
        <v>0</v>
      </c>
      <c r="T2244" s="7">
        <f>R2244-S2244</f>
        <v>0</v>
      </c>
      <c r="U2244" s="7">
        <f>T2244*O2244</f>
        <v>0</v>
      </c>
    </row>
    <row r="2245" spans="1:21">
      <c r="A2245" s="4" t="s">
        <v>3348</v>
      </c>
      <c r="B2245" s="4" t="s">
        <v>39</v>
      </c>
      <c r="C2245" s="5">
        <v>45953.68241898148</v>
      </c>
      <c r="D2245" s="5">
        <v>45953</v>
      </c>
      <c r="E2245" s="6">
        <f>IF(AND(C2245&lt;&gt;"",D2245&lt;&gt;""),D2245-C2245,"")</f>
        <v>0</v>
      </c>
      <c r="F2245" s="4" t="s">
        <v>3349</v>
      </c>
      <c r="G2245" s="4" t="s">
        <v>3350</v>
      </c>
      <c r="H2245" s="4" t="s">
        <v>32</v>
      </c>
      <c r="I2245" s="4" t="s">
        <v>33</v>
      </c>
      <c r="J2245" s="4">
        <v>0</v>
      </c>
      <c r="K2245" s="4">
        <v>0</v>
      </c>
      <c r="L2245" s="4">
        <f>J2245+K2245</f>
        <v>0</v>
      </c>
      <c r="M2245" s="4" t="s">
        <v>370</v>
      </c>
      <c r="N2245" s="4"/>
      <c r="O2245" s="4">
        <v>1</v>
      </c>
      <c r="P2245" s="4" t="s">
        <v>135</v>
      </c>
      <c r="Q2245" s="4"/>
      <c r="R2245" s="7">
        <v>4000000</v>
      </c>
      <c r="S2245" s="7">
        <v>0</v>
      </c>
      <c r="T2245" s="7">
        <f>R2245-S2245</f>
        <v>0</v>
      </c>
      <c r="U2245" s="7">
        <f>T2245*O2245</f>
        <v>0</v>
      </c>
    </row>
    <row r="2246" spans="1:21">
      <c r="A2246" s="4" t="s">
        <v>3351</v>
      </c>
      <c r="B2246" s="4" t="s">
        <v>39</v>
      </c>
      <c r="C2246" s="5">
        <v>45953.70694444444</v>
      </c>
      <c r="D2246" s="5">
        <v>45953</v>
      </c>
      <c r="E2246" s="6">
        <f>IF(AND(C2246&lt;&gt;"",D2246&lt;&gt;""),D2246-C2246,"")</f>
        <v>0</v>
      </c>
      <c r="F2246" s="4" t="s">
        <v>3352</v>
      </c>
      <c r="G2246" s="4" t="s">
        <v>3353</v>
      </c>
      <c r="H2246" s="4" t="s">
        <v>32</v>
      </c>
      <c r="I2246" s="4" t="s">
        <v>33</v>
      </c>
      <c r="J2246" s="4">
        <v>1</v>
      </c>
      <c r="K2246" s="4">
        <v>0</v>
      </c>
      <c r="L2246" s="4">
        <f>J2246+K2246</f>
        <v>0</v>
      </c>
      <c r="M2246" s="4" t="s">
        <v>80</v>
      </c>
      <c r="N2246" s="4"/>
      <c r="O2246" s="4">
        <v>1</v>
      </c>
      <c r="P2246" s="4" t="s">
        <v>135</v>
      </c>
      <c r="Q2246" s="4"/>
      <c r="R2246" s="7">
        <v>610000</v>
      </c>
      <c r="S2246" s="7">
        <v>0</v>
      </c>
      <c r="T2246" s="7">
        <f>R2246-S2246</f>
        <v>0</v>
      </c>
      <c r="U2246" s="7">
        <f>T2246*O2246</f>
        <v>0</v>
      </c>
    </row>
    <row r="2247" spans="1:21">
      <c r="A2247" s="4" t="s">
        <v>3351</v>
      </c>
      <c r="B2247" s="4" t="s">
        <v>39</v>
      </c>
      <c r="C2247" s="5">
        <v>45953.70694444444</v>
      </c>
      <c r="D2247" s="5">
        <v>45953</v>
      </c>
      <c r="E2247" s="6">
        <f>IF(AND(C2247&lt;&gt;"",D2247&lt;&gt;""),D2247-C2247,"")</f>
        <v>0</v>
      </c>
      <c r="F2247" s="4" t="s">
        <v>3352</v>
      </c>
      <c r="G2247" s="4" t="s">
        <v>3353</v>
      </c>
      <c r="H2247" s="4" t="s">
        <v>32</v>
      </c>
      <c r="I2247" s="4" t="s">
        <v>33</v>
      </c>
      <c r="J2247" s="4">
        <v>1</v>
      </c>
      <c r="K2247" s="4">
        <v>0</v>
      </c>
      <c r="L2247" s="4">
        <f>J2247+K2247</f>
        <v>0</v>
      </c>
      <c r="M2247" s="4" t="s">
        <v>80</v>
      </c>
      <c r="N2247" s="4"/>
      <c r="O2247" s="4">
        <v>1</v>
      </c>
      <c r="P2247" s="4" t="s">
        <v>135</v>
      </c>
      <c r="Q2247" s="4"/>
      <c r="R2247" s="7">
        <v>610000</v>
      </c>
      <c r="S2247" s="7">
        <v>0</v>
      </c>
      <c r="T2247" s="7">
        <f>R2247-S2247</f>
        <v>0</v>
      </c>
      <c r="U2247" s="7">
        <f>T2247*O2247</f>
        <v>0</v>
      </c>
    </row>
    <row r="2248" spans="1:21">
      <c r="A2248" s="4" t="s">
        <v>3354</v>
      </c>
      <c r="B2248" s="4" t="s">
        <v>39</v>
      </c>
      <c r="C2248" s="5">
        <v>45954.01021990741</v>
      </c>
      <c r="D2248" s="5">
        <v>45954</v>
      </c>
      <c r="E2248" s="6">
        <f>IF(AND(C2248&lt;&gt;"",D2248&lt;&gt;""),D2248-C2248,"")</f>
        <v>0</v>
      </c>
      <c r="F2248" s="4" t="s">
        <v>1264</v>
      </c>
      <c r="G2248" s="4" t="s">
        <v>1265</v>
      </c>
      <c r="H2248" s="4" t="s">
        <v>32</v>
      </c>
      <c r="I2248" s="4" t="s">
        <v>33</v>
      </c>
      <c r="J2248" s="4">
        <v>0</v>
      </c>
      <c r="K2248" s="4">
        <v>0</v>
      </c>
      <c r="L2248" s="4">
        <f>J2248+K2248</f>
        <v>0</v>
      </c>
      <c r="M2248" s="4" t="s">
        <v>370</v>
      </c>
      <c r="N2248" s="4"/>
      <c r="O2248" s="4">
        <v>1</v>
      </c>
      <c r="P2248" s="4" t="s">
        <v>135</v>
      </c>
      <c r="Q2248" s="4"/>
      <c r="R2248" s="7">
        <v>0</v>
      </c>
      <c r="S2248" s="7">
        <v>0</v>
      </c>
      <c r="T2248" s="7">
        <f>R2248-S2248</f>
        <v>0</v>
      </c>
      <c r="U2248" s="7">
        <f>T2248*O2248</f>
        <v>0</v>
      </c>
    </row>
    <row r="2249" spans="1:21">
      <c r="A2249" s="4" t="s">
        <v>3355</v>
      </c>
      <c r="B2249" s="4" t="s">
        <v>39</v>
      </c>
      <c r="C2249" s="5">
        <v>45954.05255787037</v>
      </c>
      <c r="D2249" s="5">
        <v>45954</v>
      </c>
      <c r="E2249" s="6">
        <f>IF(AND(C2249&lt;&gt;"",D2249&lt;&gt;""),D2249-C2249,"")</f>
        <v>0</v>
      </c>
      <c r="F2249" s="4" t="s">
        <v>3356</v>
      </c>
      <c r="G2249" s="4" t="s">
        <v>3357</v>
      </c>
      <c r="H2249" s="4" t="s">
        <v>3358</v>
      </c>
      <c r="I2249" s="4" t="s">
        <v>56</v>
      </c>
      <c r="J2249" s="4">
        <v>0</v>
      </c>
      <c r="K2249" s="4">
        <v>1</v>
      </c>
      <c r="L2249" s="4">
        <f>J2249+K2249</f>
        <v>0</v>
      </c>
      <c r="M2249" s="4" t="s">
        <v>81</v>
      </c>
      <c r="N2249" s="4"/>
      <c r="O2249" s="4">
        <v>1</v>
      </c>
      <c r="P2249" s="4" t="s">
        <v>135</v>
      </c>
      <c r="Q2249" s="4" t="s">
        <v>44</v>
      </c>
      <c r="R2249" s="7">
        <v>495000</v>
      </c>
      <c r="S2249" s="7">
        <v>0</v>
      </c>
      <c r="T2249" s="7">
        <f>R2249-S2249</f>
        <v>0</v>
      </c>
      <c r="U2249" s="7">
        <f>T2249*O2249</f>
        <v>0</v>
      </c>
    </row>
    <row r="2250" spans="1:21">
      <c r="A2250" s="4" t="s">
        <v>3355</v>
      </c>
      <c r="B2250" s="4" t="s">
        <v>39</v>
      </c>
      <c r="C2250" s="5">
        <v>45954.05255787037</v>
      </c>
      <c r="D2250" s="5">
        <v>45954</v>
      </c>
      <c r="E2250" s="6">
        <f>IF(AND(C2250&lt;&gt;"",D2250&lt;&gt;""),D2250-C2250,"")</f>
        <v>0</v>
      </c>
      <c r="F2250" s="4" t="s">
        <v>3356</v>
      </c>
      <c r="G2250" s="4" t="s">
        <v>3357</v>
      </c>
      <c r="H2250" s="4" t="s">
        <v>3358</v>
      </c>
      <c r="I2250" s="4" t="s">
        <v>56</v>
      </c>
      <c r="J2250" s="4">
        <v>1</v>
      </c>
      <c r="K2250" s="4">
        <v>0</v>
      </c>
      <c r="L2250" s="4">
        <f>J2250+K2250</f>
        <v>0</v>
      </c>
      <c r="M2250" s="4" t="s">
        <v>1645</v>
      </c>
      <c r="N2250" s="4"/>
      <c r="O2250" s="4">
        <v>1</v>
      </c>
      <c r="P2250" s="4" t="s">
        <v>135</v>
      </c>
      <c r="Q2250" s="4" t="s">
        <v>44</v>
      </c>
      <c r="R2250" s="7">
        <v>2100000</v>
      </c>
      <c r="S2250" s="7">
        <v>0</v>
      </c>
      <c r="T2250" s="7">
        <f>R2250-S2250</f>
        <v>0</v>
      </c>
      <c r="U2250" s="7">
        <f>T2250*O2250</f>
        <v>0</v>
      </c>
    </row>
    <row r="2251" spans="1:21">
      <c r="A2251" s="4" t="s">
        <v>3355</v>
      </c>
      <c r="B2251" s="4" t="s">
        <v>39</v>
      </c>
      <c r="C2251" s="5">
        <v>45954.05255787037</v>
      </c>
      <c r="D2251" s="5">
        <v>45954</v>
      </c>
      <c r="E2251" s="6">
        <f>IF(AND(C2251&lt;&gt;"",D2251&lt;&gt;""),D2251-C2251,"")</f>
        <v>0</v>
      </c>
      <c r="F2251" s="4" t="s">
        <v>3356</v>
      </c>
      <c r="G2251" s="4" t="s">
        <v>3357</v>
      </c>
      <c r="H2251" s="4" t="s">
        <v>3358</v>
      </c>
      <c r="I2251" s="4" t="s">
        <v>56</v>
      </c>
      <c r="J2251" s="4">
        <v>1</v>
      </c>
      <c r="K2251" s="4">
        <v>0</v>
      </c>
      <c r="L2251" s="4">
        <f>J2251+K2251</f>
        <v>0</v>
      </c>
      <c r="M2251" s="4" t="s">
        <v>80</v>
      </c>
      <c r="N2251" s="4"/>
      <c r="O2251" s="4">
        <v>1</v>
      </c>
      <c r="P2251" s="4" t="s">
        <v>135</v>
      </c>
      <c r="Q2251" s="4" t="s">
        <v>44</v>
      </c>
      <c r="R2251" s="7">
        <v>610000</v>
      </c>
      <c r="S2251" s="7">
        <v>0</v>
      </c>
      <c r="T2251" s="7">
        <f>R2251-S2251</f>
        <v>0</v>
      </c>
      <c r="U2251" s="7">
        <f>T2251*O2251</f>
        <v>0</v>
      </c>
    </row>
    <row r="2252" spans="1:21">
      <c r="A2252" s="4" t="s">
        <v>3359</v>
      </c>
      <c r="B2252" s="4" t="s">
        <v>39</v>
      </c>
      <c r="C2252" s="5">
        <v>45954.05494212963</v>
      </c>
      <c r="D2252" s="5">
        <v>45954</v>
      </c>
      <c r="E2252" s="6">
        <f>IF(AND(C2252&lt;&gt;"",D2252&lt;&gt;""),D2252-C2252,"")</f>
        <v>0</v>
      </c>
      <c r="F2252" s="4" t="s">
        <v>3360</v>
      </c>
      <c r="G2252" s="4" t="s">
        <v>3361</v>
      </c>
      <c r="H2252" s="4" t="s">
        <v>32</v>
      </c>
      <c r="I2252" s="4" t="s">
        <v>33</v>
      </c>
      <c r="J2252" s="4">
        <v>0</v>
      </c>
      <c r="K2252" s="4">
        <v>0</v>
      </c>
      <c r="L2252" s="4">
        <f>J2252+K2252</f>
        <v>0</v>
      </c>
      <c r="M2252" s="4" t="s">
        <v>370</v>
      </c>
      <c r="N2252" s="4"/>
      <c r="O2252" s="4">
        <v>1</v>
      </c>
      <c r="P2252" s="4" t="s">
        <v>135</v>
      </c>
      <c r="Q2252" s="4"/>
      <c r="R2252" s="7">
        <v>5000000</v>
      </c>
      <c r="S2252" s="7">
        <v>0</v>
      </c>
      <c r="T2252" s="7">
        <f>R2252-S2252</f>
        <v>0</v>
      </c>
      <c r="U2252" s="7">
        <f>T2252*O2252</f>
        <v>0</v>
      </c>
    </row>
    <row r="2253" spans="1:21">
      <c r="A2253" s="4" t="s">
        <v>3362</v>
      </c>
      <c r="B2253" s="4" t="s">
        <v>39</v>
      </c>
      <c r="C2253" s="5">
        <v>45954.05640046296</v>
      </c>
      <c r="D2253" s="5">
        <v>45954</v>
      </c>
      <c r="E2253" s="6">
        <f>IF(AND(C2253&lt;&gt;"",D2253&lt;&gt;""),D2253-C2253,"")</f>
        <v>0</v>
      </c>
      <c r="F2253" s="4" t="s">
        <v>3170</v>
      </c>
      <c r="G2253" s="4" t="s">
        <v>3171</v>
      </c>
      <c r="H2253" s="4" t="s">
        <v>190</v>
      </c>
      <c r="I2253" s="4" t="s">
        <v>56</v>
      </c>
      <c r="J2253" s="4">
        <v>0</v>
      </c>
      <c r="K2253" s="4">
        <v>0</v>
      </c>
      <c r="L2253" s="4">
        <f>J2253+K2253</f>
        <v>0</v>
      </c>
      <c r="M2253" s="4" t="s">
        <v>1285</v>
      </c>
      <c r="N2253" s="4"/>
      <c r="O2253" s="4">
        <v>1</v>
      </c>
      <c r="P2253" s="4" t="s">
        <v>135</v>
      </c>
      <c r="Q2253" s="4" t="s">
        <v>44</v>
      </c>
      <c r="R2253" s="7">
        <v>-360000</v>
      </c>
      <c r="S2253" s="7">
        <v>0</v>
      </c>
      <c r="T2253" s="7">
        <f>R2253-S2253</f>
        <v>0</v>
      </c>
      <c r="U2253" s="7">
        <f>T2253*O2253</f>
        <v>0</v>
      </c>
    </row>
    <row r="2254" spans="1:21">
      <c r="A2254" s="4" t="s">
        <v>3363</v>
      </c>
      <c r="B2254" s="4" t="s">
        <v>39</v>
      </c>
      <c r="C2254" s="5">
        <v>45954.05662037037</v>
      </c>
      <c r="D2254" s="5">
        <v>45954</v>
      </c>
      <c r="E2254" s="6">
        <f>IF(AND(C2254&lt;&gt;"",D2254&lt;&gt;""),D2254-C2254,"")</f>
        <v>0</v>
      </c>
      <c r="F2254" s="4" t="s">
        <v>3360</v>
      </c>
      <c r="G2254" s="4" t="s">
        <v>3364</v>
      </c>
      <c r="H2254" s="4" t="s">
        <v>32</v>
      </c>
      <c r="I2254" s="4" t="s">
        <v>33</v>
      </c>
      <c r="J2254" s="4">
        <v>0</v>
      </c>
      <c r="K2254" s="4">
        <v>0</v>
      </c>
      <c r="L2254" s="4">
        <f>J2254+K2254</f>
        <v>0</v>
      </c>
      <c r="M2254" s="4" t="s">
        <v>370</v>
      </c>
      <c r="N2254" s="4"/>
      <c r="O2254" s="4">
        <v>1</v>
      </c>
      <c r="P2254" s="4" t="s">
        <v>135</v>
      </c>
      <c r="Q2254" s="4"/>
      <c r="R2254" s="7">
        <v>3500000</v>
      </c>
      <c r="S2254" s="7">
        <v>0</v>
      </c>
      <c r="T2254" s="7">
        <f>R2254-S2254</f>
        <v>0</v>
      </c>
      <c r="U2254" s="7">
        <f>T2254*O2254</f>
        <v>0</v>
      </c>
    </row>
    <row r="2255" spans="1:21">
      <c r="A2255" s="4" t="s">
        <v>3363</v>
      </c>
      <c r="B2255" s="4" t="s">
        <v>39</v>
      </c>
      <c r="C2255" s="5">
        <v>45954.05662037037</v>
      </c>
      <c r="D2255" s="5">
        <v>45954</v>
      </c>
      <c r="E2255" s="6">
        <f>IF(AND(C2255&lt;&gt;"",D2255&lt;&gt;""),D2255-C2255,"")</f>
        <v>0</v>
      </c>
      <c r="F2255" s="4" t="s">
        <v>3360</v>
      </c>
      <c r="G2255" s="4" t="s">
        <v>3364</v>
      </c>
      <c r="H2255" s="4" t="s">
        <v>32</v>
      </c>
      <c r="I2255" s="4" t="s">
        <v>33</v>
      </c>
      <c r="J2255" s="4">
        <v>3</v>
      </c>
      <c r="K2255" s="4">
        <v>0</v>
      </c>
      <c r="L2255" s="4">
        <f>J2255+K2255</f>
        <v>0</v>
      </c>
      <c r="M2255" s="4" t="s">
        <v>80</v>
      </c>
      <c r="N2255" s="4"/>
      <c r="O2255" s="4">
        <v>3</v>
      </c>
      <c r="P2255" s="4" t="s">
        <v>135</v>
      </c>
      <c r="Q2255" s="4"/>
      <c r="R2255" s="7">
        <v>610000</v>
      </c>
      <c r="S2255" s="7">
        <v>0</v>
      </c>
      <c r="T2255" s="7">
        <f>R2255-S2255</f>
        <v>0</v>
      </c>
      <c r="U2255" s="7">
        <f>T2255*O2255</f>
        <v>0</v>
      </c>
    </row>
    <row r="2256" spans="1:21">
      <c r="A2256" s="4" t="s">
        <v>3365</v>
      </c>
      <c r="B2256" s="4" t="s">
        <v>39</v>
      </c>
      <c r="C2256" s="5">
        <v>45954.05940972222</v>
      </c>
      <c r="D2256" s="5">
        <v>45954</v>
      </c>
      <c r="E2256" s="6">
        <f>IF(AND(C2256&lt;&gt;"",D2256&lt;&gt;""),D2256-C2256,"")</f>
        <v>0</v>
      </c>
      <c r="F2256" s="4" t="s">
        <v>3366</v>
      </c>
      <c r="G2256" s="4" t="s">
        <v>3367</v>
      </c>
      <c r="H2256" s="4" t="s">
        <v>32</v>
      </c>
      <c r="I2256" s="4" t="s">
        <v>33</v>
      </c>
      <c r="J2256" s="4">
        <v>1</v>
      </c>
      <c r="K2256" s="4">
        <v>0</v>
      </c>
      <c r="L2256" s="4">
        <f>J2256+K2256</f>
        <v>0</v>
      </c>
      <c r="M2256" s="4" t="s">
        <v>42</v>
      </c>
      <c r="N2256" s="4"/>
      <c r="O2256" s="4">
        <v>1</v>
      </c>
      <c r="P2256" s="4" t="s">
        <v>135</v>
      </c>
      <c r="Q2256" s="4" t="s">
        <v>44</v>
      </c>
      <c r="R2256" s="7">
        <v>370000</v>
      </c>
      <c r="S2256" s="7">
        <v>0</v>
      </c>
      <c r="T2256" s="7">
        <f>R2256-S2256</f>
        <v>0</v>
      </c>
      <c r="U2256" s="7">
        <f>T2256*O2256</f>
        <v>0</v>
      </c>
    </row>
    <row r="2257" spans="1:21">
      <c r="A2257" s="4" t="s">
        <v>3365</v>
      </c>
      <c r="B2257" s="4" t="s">
        <v>39</v>
      </c>
      <c r="C2257" s="5">
        <v>45954.05940972222</v>
      </c>
      <c r="D2257" s="5">
        <v>45954</v>
      </c>
      <c r="E2257" s="6">
        <f>IF(AND(C2257&lt;&gt;"",D2257&lt;&gt;""),D2257-C2257,"")</f>
        <v>0</v>
      </c>
      <c r="F2257" s="4" t="s">
        <v>3366</v>
      </c>
      <c r="G2257" s="4" t="s">
        <v>3367</v>
      </c>
      <c r="H2257" s="4" t="s">
        <v>32</v>
      </c>
      <c r="I2257" s="4" t="s">
        <v>33</v>
      </c>
      <c r="J2257" s="4">
        <v>0</v>
      </c>
      <c r="K2257" s="4">
        <v>1</v>
      </c>
      <c r="L2257" s="4">
        <f>J2257+K2257</f>
        <v>0</v>
      </c>
      <c r="M2257" s="4" t="s">
        <v>46</v>
      </c>
      <c r="N2257" s="4"/>
      <c r="O2257" s="4">
        <v>1</v>
      </c>
      <c r="P2257" s="4" t="s">
        <v>135</v>
      </c>
      <c r="Q2257" s="4" t="s">
        <v>44</v>
      </c>
      <c r="R2257" s="7">
        <v>325000</v>
      </c>
      <c r="S2257" s="7">
        <v>0</v>
      </c>
      <c r="T2257" s="7">
        <f>R2257-S2257</f>
        <v>0</v>
      </c>
      <c r="U2257" s="7">
        <f>T2257*O2257</f>
        <v>0</v>
      </c>
    </row>
    <row r="2258" spans="1:21">
      <c r="A2258" s="4" t="s">
        <v>3365</v>
      </c>
      <c r="B2258" s="4" t="s">
        <v>39</v>
      </c>
      <c r="C2258" s="5">
        <v>45954.05940972222</v>
      </c>
      <c r="D2258" s="5">
        <v>45954</v>
      </c>
      <c r="E2258" s="6">
        <f>IF(AND(C2258&lt;&gt;"",D2258&lt;&gt;""),D2258-C2258,"")</f>
        <v>0</v>
      </c>
      <c r="F2258" s="4" t="s">
        <v>3366</v>
      </c>
      <c r="G2258" s="4" t="s">
        <v>3367</v>
      </c>
      <c r="H2258" s="4" t="s">
        <v>32</v>
      </c>
      <c r="I2258" s="4" t="s">
        <v>33</v>
      </c>
      <c r="J2258" s="4">
        <v>0</v>
      </c>
      <c r="K2258" s="4">
        <v>0</v>
      </c>
      <c r="L2258" s="4">
        <f>J2258+K2258</f>
        <v>0</v>
      </c>
      <c r="M2258" s="4" t="s">
        <v>370</v>
      </c>
      <c r="N2258" s="4"/>
      <c r="O2258" s="4">
        <v>1</v>
      </c>
      <c r="P2258" s="4" t="s">
        <v>135</v>
      </c>
      <c r="Q2258" s="4" t="s">
        <v>44</v>
      </c>
      <c r="R2258" s="7">
        <v>1000000</v>
      </c>
      <c r="S2258" s="7">
        <v>0</v>
      </c>
      <c r="T2258" s="7">
        <f>R2258-S2258</f>
        <v>0</v>
      </c>
      <c r="U2258" s="7">
        <f>T2258*O2258</f>
        <v>0</v>
      </c>
    </row>
    <row r="2259" spans="1:21">
      <c r="A2259" s="4" t="s">
        <v>3365</v>
      </c>
      <c r="B2259" s="4" t="s">
        <v>39</v>
      </c>
      <c r="C2259" s="5">
        <v>45954.05940972222</v>
      </c>
      <c r="D2259" s="5">
        <v>45954</v>
      </c>
      <c r="E2259" s="6">
        <f>IF(AND(C2259&lt;&gt;"",D2259&lt;&gt;""),D2259-C2259,"")</f>
        <v>0</v>
      </c>
      <c r="F2259" s="4" t="s">
        <v>3366</v>
      </c>
      <c r="G2259" s="4" t="s">
        <v>3367</v>
      </c>
      <c r="H2259" s="4" t="s">
        <v>32</v>
      </c>
      <c r="I2259" s="4" t="s">
        <v>33</v>
      </c>
      <c r="J2259" s="4">
        <v>1</v>
      </c>
      <c r="K2259" s="4">
        <v>0</v>
      </c>
      <c r="L2259" s="4">
        <f>J2259+K2259</f>
        <v>0</v>
      </c>
      <c r="M2259" s="4" t="s">
        <v>2291</v>
      </c>
      <c r="N2259" s="4"/>
      <c r="O2259" s="4">
        <v>1</v>
      </c>
      <c r="P2259" s="4" t="s">
        <v>135</v>
      </c>
      <c r="Q2259" s="4" t="s">
        <v>44</v>
      </c>
      <c r="R2259" s="7">
        <v>1300000</v>
      </c>
      <c r="S2259" s="7">
        <v>0</v>
      </c>
      <c r="T2259" s="7">
        <f>R2259-S2259</f>
        <v>0</v>
      </c>
      <c r="U2259" s="7">
        <f>T2259*O2259</f>
        <v>0</v>
      </c>
    </row>
    <row r="2260" spans="1:21">
      <c r="A2260" s="4" t="s">
        <v>3368</v>
      </c>
      <c r="B2260" s="4" t="s">
        <v>39</v>
      </c>
      <c r="C2260" s="5">
        <v>45954.06028935185</v>
      </c>
      <c r="D2260" s="5">
        <v>45954</v>
      </c>
      <c r="E2260" s="6">
        <f>IF(AND(C2260&lt;&gt;"",D2260&lt;&gt;""),D2260-C2260,"")</f>
        <v>0</v>
      </c>
      <c r="F2260" s="4" t="s">
        <v>3369</v>
      </c>
      <c r="G2260" s="4" t="s">
        <v>3370</v>
      </c>
      <c r="H2260" s="4" t="s">
        <v>32</v>
      </c>
      <c r="I2260" s="4" t="s">
        <v>33</v>
      </c>
      <c r="J2260" s="4">
        <v>0</v>
      </c>
      <c r="K2260" s="4">
        <v>0</v>
      </c>
      <c r="L2260" s="4">
        <f>J2260+K2260</f>
        <v>0</v>
      </c>
      <c r="M2260" s="4" t="s">
        <v>370</v>
      </c>
      <c r="N2260" s="4"/>
      <c r="O2260" s="4">
        <v>1</v>
      </c>
      <c r="P2260" s="4" t="s">
        <v>135</v>
      </c>
      <c r="Q2260" s="4" t="s">
        <v>44</v>
      </c>
      <c r="R2260" s="7">
        <v>500000</v>
      </c>
      <c r="S2260" s="7">
        <v>0</v>
      </c>
      <c r="T2260" s="7">
        <f>R2260-S2260</f>
        <v>0</v>
      </c>
      <c r="U2260" s="7">
        <f>T2260*O2260</f>
        <v>0</v>
      </c>
    </row>
    <row r="2261" spans="1:21">
      <c r="A2261" s="4" t="s">
        <v>3371</v>
      </c>
      <c r="B2261" s="4" t="s">
        <v>39</v>
      </c>
      <c r="C2261" s="5">
        <v>45954.06078703704</v>
      </c>
      <c r="D2261" s="5">
        <v>45954</v>
      </c>
      <c r="E2261" s="6">
        <f>IF(AND(C2261&lt;&gt;"",D2261&lt;&gt;""),D2261-C2261,"")</f>
        <v>0</v>
      </c>
      <c r="F2261" s="4" t="s">
        <v>3372</v>
      </c>
      <c r="G2261" s="4" t="s">
        <v>3373</v>
      </c>
      <c r="H2261" s="4" t="s">
        <v>32</v>
      </c>
      <c r="I2261" s="4" t="s">
        <v>33</v>
      </c>
      <c r="J2261" s="4">
        <v>0</v>
      </c>
      <c r="K2261" s="4">
        <v>0</v>
      </c>
      <c r="L2261" s="4">
        <f>J2261+K2261</f>
        <v>0</v>
      </c>
      <c r="M2261" s="4" t="s">
        <v>370</v>
      </c>
      <c r="N2261" s="4"/>
      <c r="O2261" s="4">
        <v>1</v>
      </c>
      <c r="P2261" s="4" t="s">
        <v>135</v>
      </c>
      <c r="Q2261" s="4" t="s">
        <v>44</v>
      </c>
      <c r="R2261" s="7">
        <v>300000</v>
      </c>
      <c r="S2261" s="7">
        <v>0</v>
      </c>
      <c r="T2261" s="7">
        <f>R2261-S2261</f>
        <v>0</v>
      </c>
      <c r="U2261" s="7">
        <f>T2261*O2261</f>
        <v>0</v>
      </c>
    </row>
    <row r="2262" spans="1:21">
      <c r="A2262" s="4" t="s">
        <v>3374</v>
      </c>
      <c r="B2262" s="4" t="s">
        <v>39</v>
      </c>
      <c r="C2262" s="5">
        <v>45954.06412037037</v>
      </c>
      <c r="D2262" s="5">
        <v>45954</v>
      </c>
      <c r="E2262" s="6">
        <f>IF(AND(C2262&lt;&gt;"",D2262&lt;&gt;""),D2262-C2262,"")</f>
        <v>0</v>
      </c>
      <c r="F2262" s="4" t="s">
        <v>3375</v>
      </c>
      <c r="G2262" s="4" t="s">
        <v>3376</v>
      </c>
      <c r="H2262" s="4" t="s">
        <v>32</v>
      </c>
      <c r="I2262" s="4" t="s">
        <v>33</v>
      </c>
      <c r="J2262" s="4">
        <v>0</v>
      </c>
      <c r="K2262" s="4">
        <v>0</v>
      </c>
      <c r="L2262" s="4">
        <f>J2262+K2262</f>
        <v>0</v>
      </c>
      <c r="M2262" s="4" t="s">
        <v>370</v>
      </c>
      <c r="N2262" s="4"/>
      <c r="O2262" s="4">
        <v>1</v>
      </c>
      <c r="P2262" s="4" t="s">
        <v>135</v>
      </c>
      <c r="Q2262" s="4" t="s">
        <v>44</v>
      </c>
      <c r="R2262" s="7">
        <v>2000000</v>
      </c>
      <c r="S2262" s="7">
        <v>0</v>
      </c>
      <c r="T2262" s="7">
        <f>R2262-S2262</f>
        <v>0</v>
      </c>
      <c r="U2262" s="7">
        <f>T2262*O2262</f>
        <v>0</v>
      </c>
    </row>
    <row r="2263" spans="1:21">
      <c r="A2263" s="4" t="s">
        <v>3374</v>
      </c>
      <c r="B2263" s="4" t="s">
        <v>39</v>
      </c>
      <c r="C2263" s="5">
        <v>45954.06412037037</v>
      </c>
      <c r="D2263" s="5">
        <v>45954</v>
      </c>
      <c r="E2263" s="6">
        <f>IF(AND(C2263&lt;&gt;"",D2263&lt;&gt;""),D2263-C2263,"")</f>
        <v>0</v>
      </c>
      <c r="F2263" s="4" t="s">
        <v>3375</v>
      </c>
      <c r="G2263" s="4" t="s">
        <v>3376</v>
      </c>
      <c r="H2263" s="4" t="s">
        <v>32</v>
      </c>
      <c r="I2263" s="4" t="s">
        <v>33</v>
      </c>
      <c r="J2263" s="4">
        <v>1</v>
      </c>
      <c r="K2263" s="4">
        <v>0</v>
      </c>
      <c r="L2263" s="4">
        <f>J2263+K2263</f>
        <v>0</v>
      </c>
      <c r="M2263" s="4" t="s">
        <v>2291</v>
      </c>
      <c r="N2263" s="4"/>
      <c r="O2263" s="4">
        <v>1</v>
      </c>
      <c r="P2263" s="4" t="s">
        <v>135</v>
      </c>
      <c r="Q2263" s="4" t="s">
        <v>44</v>
      </c>
      <c r="R2263" s="7">
        <v>1300000</v>
      </c>
      <c r="S2263" s="7">
        <v>0</v>
      </c>
      <c r="T2263" s="7">
        <f>R2263-S2263</f>
        <v>0</v>
      </c>
      <c r="U2263" s="7">
        <f>T2263*O2263</f>
        <v>0</v>
      </c>
    </row>
    <row r="2264" spans="1:21">
      <c r="A2264" s="4" t="s">
        <v>3377</v>
      </c>
      <c r="B2264" s="4" t="s">
        <v>39</v>
      </c>
      <c r="C2264" s="5">
        <v>45954.06965277778</v>
      </c>
      <c r="D2264" s="5">
        <v>45954</v>
      </c>
      <c r="E2264" s="6">
        <f>IF(AND(C2264&lt;&gt;"",D2264&lt;&gt;""),D2264-C2264,"")</f>
        <v>0</v>
      </c>
      <c r="F2264" s="4" t="s">
        <v>3366</v>
      </c>
      <c r="G2264" s="4" t="s">
        <v>3367</v>
      </c>
      <c r="H2264" s="4" t="s">
        <v>32</v>
      </c>
      <c r="I2264" s="4" t="s">
        <v>33</v>
      </c>
      <c r="J2264" s="4">
        <v>0</v>
      </c>
      <c r="K2264" s="4">
        <v>0</v>
      </c>
      <c r="L2264" s="4">
        <f>J2264+K2264</f>
        <v>0</v>
      </c>
      <c r="M2264" s="4" t="s">
        <v>1285</v>
      </c>
      <c r="N2264" s="4"/>
      <c r="O2264" s="4">
        <v>1</v>
      </c>
      <c r="P2264" s="4" t="s">
        <v>135</v>
      </c>
      <c r="Q2264" s="4" t="s">
        <v>44</v>
      </c>
      <c r="R2264" s="7">
        <v>-1000000</v>
      </c>
      <c r="S2264" s="7">
        <v>0</v>
      </c>
      <c r="T2264" s="7">
        <f>R2264-S2264</f>
        <v>0</v>
      </c>
      <c r="U2264" s="7">
        <f>T2264*O2264</f>
        <v>0</v>
      </c>
    </row>
    <row r="2265" spans="1:21">
      <c r="A2265" s="4" t="s">
        <v>3378</v>
      </c>
      <c r="B2265" s="4" t="s">
        <v>39</v>
      </c>
      <c r="C2265" s="5">
        <v>45954.07806712963</v>
      </c>
      <c r="D2265" s="5">
        <v>45954</v>
      </c>
      <c r="E2265" s="6">
        <f>IF(AND(C2265&lt;&gt;"",D2265&lt;&gt;""),D2265-C2265,"")</f>
        <v>0</v>
      </c>
      <c r="F2265" s="4" t="s">
        <v>3379</v>
      </c>
      <c r="G2265" s="4" t="s">
        <v>3380</v>
      </c>
      <c r="H2265" s="4" t="s">
        <v>32</v>
      </c>
      <c r="I2265" s="4" t="s">
        <v>33</v>
      </c>
      <c r="J2265" s="4">
        <v>3</v>
      </c>
      <c r="K2265" s="4">
        <v>0</v>
      </c>
      <c r="L2265" s="4">
        <f>J2265+K2265</f>
        <v>0</v>
      </c>
      <c r="M2265" s="4" t="s">
        <v>42</v>
      </c>
      <c r="N2265" s="4"/>
      <c r="O2265" s="4">
        <v>3</v>
      </c>
      <c r="P2265" s="4" t="s">
        <v>135</v>
      </c>
      <c r="Q2265" s="4" t="s">
        <v>44</v>
      </c>
      <c r="R2265" s="7">
        <v>370000</v>
      </c>
      <c r="S2265" s="7">
        <v>0</v>
      </c>
      <c r="T2265" s="7">
        <f>R2265-S2265</f>
        <v>0</v>
      </c>
      <c r="U2265" s="7">
        <f>T2265*O2265</f>
        <v>0</v>
      </c>
    </row>
    <row r="2266" spans="1:21">
      <c r="A2266" s="4" t="s">
        <v>3378</v>
      </c>
      <c r="B2266" s="4" t="s">
        <v>39</v>
      </c>
      <c r="C2266" s="5">
        <v>45954.07806712963</v>
      </c>
      <c r="D2266" s="5">
        <v>45954</v>
      </c>
      <c r="E2266" s="6">
        <f>IF(AND(C2266&lt;&gt;"",D2266&lt;&gt;""),D2266-C2266,"")</f>
        <v>0</v>
      </c>
      <c r="F2266" s="4" t="s">
        <v>3379</v>
      </c>
      <c r="G2266" s="4" t="s">
        <v>3380</v>
      </c>
      <c r="H2266" s="4" t="s">
        <v>32</v>
      </c>
      <c r="I2266" s="4" t="s">
        <v>33</v>
      </c>
      <c r="J2266" s="4">
        <v>0</v>
      </c>
      <c r="K2266" s="4">
        <v>1</v>
      </c>
      <c r="L2266" s="4">
        <f>J2266+K2266</f>
        <v>0</v>
      </c>
      <c r="M2266" s="4" t="s">
        <v>46</v>
      </c>
      <c r="N2266" s="4"/>
      <c r="O2266" s="4">
        <v>1</v>
      </c>
      <c r="P2266" s="4" t="s">
        <v>135</v>
      </c>
      <c r="Q2266" s="4" t="s">
        <v>44</v>
      </c>
      <c r="R2266" s="7">
        <v>325000</v>
      </c>
      <c r="S2266" s="7">
        <v>0</v>
      </c>
      <c r="T2266" s="7">
        <f>R2266-S2266</f>
        <v>0</v>
      </c>
      <c r="U2266" s="7">
        <f>T2266*O2266</f>
        <v>0</v>
      </c>
    </row>
    <row r="2267" spans="1:21">
      <c r="A2267" s="4" t="s">
        <v>3378</v>
      </c>
      <c r="B2267" s="4" t="s">
        <v>39</v>
      </c>
      <c r="C2267" s="5">
        <v>45954.07806712963</v>
      </c>
      <c r="D2267" s="5">
        <v>45954</v>
      </c>
      <c r="E2267" s="6">
        <f>IF(AND(C2267&lt;&gt;"",D2267&lt;&gt;""),D2267-C2267,"")</f>
        <v>0</v>
      </c>
      <c r="F2267" s="4" t="s">
        <v>3379</v>
      </c>
      <c r="G2267" s="4" t="s">
        <v>3380</v>
      </c>
      <c r="H2267" s="4" t="s">
        <v>32</v>
      </c>
      <c r="I2267" s="4" t="s">
        <v>33</v>
      </c>
      <c r="J2267" s="4">
        <v>0</v>
      </c>
      <c r="K2267" s="4">
        <v>0</v>
      </c>
      <c r="L2267" s="4">
        <f>J2267+K2267</f>
        <v>0</v>
      </c>
      <c r="M2267" s="4" t="s">
        <v>370</v>
      </c>
      <c r="N2267" s="4"/>
      <c r="O2267" s="4">
        <v>1</v>
      </c>
      <c r="P2267" s="4" t="s">
        <v>135</v>
      </c>
      <c r="Q2267" s="4" t="s">
        <v>44</v>
      </c>
      <c r="R2267" s="7">
        <v>1000000</v>
      </c>
      <c r="S2267" s="7">
        <v>0</v>
      </c>
      <c r="T2267" s="7">
        <f>R2267-S2267</f>
        <v>0</v>
      </c>
      <c r="U2267" s="7">
        <f>T2267*O2267</f>
        <v>0</v>
      </c>
    </row>
    <row r="2268" spans="1:21">
      <c r="A2268" s="4" t="s">
        <v>3381</v>
      </c>
      <c r="B2268" s="4" t="s">
        <v>39</v>
      </c>
      <c r="C2268" s="5">
        <v>45954.0900462963</v>
      </c>
      <c r="D2268" s="5">
        <v>45954</v>
      </c>
      <c r="E2268" s="6">
        <f>IF(AND(C2268&lt;&gt;"",D2268&lt;&gt;""),D2268-C2268,"")</f>
        <v>0</v>
      </c>
      <c r="F2268" s="4" t="s">
        <v>3382</v>
      </c>
      <c r="G2268" s="4" t="s">
        <v>3383</v>
      </c>
      <c r="H2268" s="4" t="s">
        <v>32</v>
      </c>
      <c r="I2268" s="4" t="s">
        <v>33</v>
      </c>
      <c r="J2268" s="4">
        <v>2</v>
      </c>
      <c r="K2268" s="4">
        <v>0</v>
      </c>
      <c r="L2268" s="4">
        <f>J2268+K2268</f>
        <v>0</v>
      </c>
      <c r="M2268" s="4" t="s">
        <v>42</v>
      </c>
      <c r="N2268" s="4"/>
      <c r="O2268" s="4">
        <v>2</v>
      </c>
      <c r="P2268" s="4" t="s">
        <v>43</v>
      </c>
      <c r="Q2268" s="4" t="s">
        <v>44</v>
      </c>
      <c r="R2268" s="7">
        <v>370000</v>
      </c>
      <c r="S2268" s="7">
        <v>370000</v>
      </c>
      <c r="T2268" s="7">
        <f>R2268-S2268</f>
        <v>0</v>
      </c>
      <c r="U2268" s="7">
        <f>T2268*O2268</f>
        <v>0</v>
      </c>
    </row>
    <row r="2269" spans="1:21">
      <c r="A2269" s="4" t="s">
        <v>3384</v>
      </c>
      <c r="B2269" s="4" t="s">
        <v>39</v>
      </c>
      <c r="C2269" s="5">
        <v>45954.09136574074</v>
      </c>
      <c r="D2269" s="5">
        <v>45954</v>
      </c>
      <c r="E2269" s="6">
        <f>IF(AND(C2269&lt;&gt;"",D2269&lt;&gt;""),D2269-C2269,"")</f>
        <v>0</v>
      </c>
      <c r="F2269" s="4" t="s">
        <v>162</v>
      </c>
      <c r="G2269" s="4" t="s">
        <v>163</v>
      </c>
      <c r="H2269" s="4" t="s">
        <v>32</v>
      </c>
      <c r="I2269" s="4" t="s">
        <v>33</v>
      </c>
      <c r="J2269" s="4">
        <v>2</v>
      </c>
      <c r="K2269" s="4">
        <v>0</v>
      </c>
      <c r="L2269" s="4">
        <f>J2269+K2269</f>
        <v>0</v>
      </c>
      <c r="M2269" s="4" t="s">
        <v>42</v>
      </c>
      <c r="N2269" s="4"/>
      <c r="O2269" s="4">
        <v>2</v>
      </c>
      <c r="P2269" s="4" t="s">
        <v>43</v>
      </c>
      <c r="Q2269" s="4" t="s">
        <v>44</v>
      </c>
      <c r="R2269" s="7">
        <v>370000</v>
      </c>
      <c r="S2269" s="7">
        <v>37000</v>
      </c>
      <c r="T2269" s="7">
        <f>R2269-S2269</f>
        <v>0</v>
      </c>
      <c r="U2269" s="7">
        <f>T2269*O2269</f>
        <v>0</v>
      </c>
    </row>
    <row r="2270" spans="1:21">
      <c r="A2270" s="4" t="s">
        <v>3385</v>
      </c>
      <c r="B2270" s="4" t="s">
        <v>39</v>
      </c>
      <c r="C2270" s="5">
        <v>45954.09318287037</v>
      </c>
      <c r="D2270" s="5">
        <v>45954</v>
      </c>
      <c r="E2270" s="6">
        <f>IF(AND(C2270&lt;&gt;"",D2270&lt;&gt;""),D2270-C2270,"")</f>
        <v>0</v>
      </c>
      <c r="F2270" s="4" t="s">
        <v>3356</v>
      </c>
      <c r="G2270" s="4" t="s">
        <v>3357</v>
      </c>
      <c r="H2270" s="4" t="s">
        <v>3358</v>
      </c>
      <c r="I2270" s="4" t="s">
        <v>56</v>
      </c>
      <c r="J2270" s="4">
        <v>0</v>
      </c>
      <c r="K2270" s="4">
        <v>0</v>
      </c>
      <c r="L2270" s="4">
        <f>J2270+K2270</f>
        <v>0</v>
      </c>
      <c r="M2270" s="4" t="s">
        <v>370</v>
      </c>
      <c r="N2270" s="4"/>
      <c r="O2270" s="4">
        <v>1</v>
      </c>
      <c r="P2270" s="4" t="s">
        <v>135</v>
      </c>
      <c r="Q2270" s="4" t="s">
        <v>44</v>
      </c>
      <c r="R2270" s="7">
        <v>0</v>
      </c>
      <c r="S2270" s="7">
        <v>0</v>
      </c>
      <c r="T2270" s="7">
        <f>R2270-S2270</f>
        <v>0</v>
      </c>
      <c r="U2270" s="7">
        <f>T2270*O2270</f>
        <v>0</v>
      </c>
    </row>
    <row r="2271" spans="1:21">
      <c r="A2271" s="4" t="s">
        <v>3386</v>
      </c>
      <c r="B2271" s="4" t="s">
        <v>39</v>
      </c>
      <c r="C2271" s="5">
        <v>45954.09318287037</v>
      </c>
      <c r="D2271" s="5">
        <v>45954</v>
      </c>
      <c r="E2271" s="6">
        <f>IF(AND(C2271&lt;&gt;"",D2271&lt;&gt;""),D2271-C2271,"")</f>
        <v>0</v>
      </c>
      <c r="F2271" s="4" t="s">
        <v>3356</v>
      </c>
      <c r="G2271" s="4" t="s">
        <v>3357</v>
      </c>
      <c r="H2271" s="4" t="s">
        <v>3358</v>
      </c>
      <c r="I2271" s="4" t="s">
        <v>56</v>
      </c>
      <c r="J2271" s="4">
        <v>0</v>
      </c>
      <c r="K2271" s="4">
        <v>0</v>
      </c>
      <c r="L2271" s="4">
        <f>J2271+K2271</f>
        <v>0</v>
      </c>
      <c r="M2271" s="4" t="s">
        <v>370</v>
      </c>
      <c r="N2271" s="4"/>
      <c r="O2271" s="4">
        <v>1</v>
      </c>
      <c r="P2271" s="4" t="s">
        <v>135</v>
      </c>
      <c r="Q2271" s="4" t="s">
        <v>44</v>
      </c>
      <c r="R2271" s="7">
        <v>0</v>
      </c>
      <c r="S2271" s="7">
        <v>0</v>
      </c>
      <c r="T2271" s="7">
        <f>R2271-S2271</f>
        <v>0</v>
      </c>
      <c r="U2271" s="7">
        <f>T2271*O2271</f>
        <v>0</v>
      </c>
    </row>
    <row r="2272" spans="1:21">
      <c r="A2272" s="4" t="s">
        <v>3387</v>
      </c>
      <c r="B2272" s="4" t="s">
        <v>39</v>
      </c>
      <c r="C2272" s="5">
        <v>45954.12018518519</v>
      </c>
      <c r="D2272" s="5">
        <v>45954</v>
      </c>
      <c r="E2272" s="6">
        <f>IF(AND(C2272&lt;&gt;"",D2272&lt;&gt;""),D2272-C2272,"")</f>
        <v>0</v>
      </c>
      <c r="F2272" s="4" t="s">
        <v>3388</v>
      </c>
      <c r="G2272" s="4" t="s">
        <v>3389</v>
      </c>
      <c r="H2272" s="4" t="s">
        <v>32</v>
      </c>
      <c r="I2272" s="4" t="s">
        <v>33</v>
      </c>
      <c r="J2272" s="4">
        <v>0</v>
      </c>
      <c r="K2272" s="4">
        <v>0</v>
      </c>
      <c r="L2272" s="4">
        <f>J2272+K2272</f>
        <v>0</v>
      </c>
      <c r="M2272" s="4" t="s">
        <v>370</v>
      </c>
      <c r="N2272" s="4"/>
      <c r="O2272" s="4">
        <v>1</v>
      </c>
      <c r="P2272" s="4" t="s">
        <v>135</v>
      </c>
      <c r="Q2272" s="4" t="s">
        <v>44</v>
      </c>
      <c r="R2272" s="7">
        <v>1000000</v>
      </c>
      <c r="S2272" s="7">
        <v>0</v>
      </c>
      <c r="T2272" s="7">
        <f>R2272-S2272</f>
        <v>0</v>
      </c>
      <c r="U2272" s="7">
        <f>T2272*O2272</f>
        <v>0</v>
      </c>
    </row>
    <row r="2273" spans="1:21">
      <c r="A2273" s="4" t="s">
        <v>3390</v>
      </c>
      <c r="B2273" s="4" t="s">
        <v>39</v>
      </c>
      <c r="C2273" s="5">
        <v>45954.12493055555</v>
      </c>
      <c r="D2273" s="5">
        <v>45954</v>
      </c>
      <c r="E2273" s="6">
        <f>IF(AND(C2273&lt;&gt;"",D2273&lt;&gt;""),D2273-C2273,"")</f>
        <v>0</v>
      </c>
      <c r="F2273" s="4" t="s">
        <v>3391</v>
      </c>
      <c r="G2273" s="4" t="s">
        <v>3392</v>
      </c>
      <c r="H2273" s="4" t="s">
        <v>32</v>
      </c>
      <c r="I2273" s="4" t="s">
        <v>33</v>
      </c>
      <c r="J2273" s="4">
        <v>1</v>
      </c>
      <c r="K2273" s="4">
        <v>0</v>
      </c>
      <c r="L2273" s="4">
        <f>J2273+K2273</f>
        <v>0</v>
      </c>
      <c r="M2273" s="4" t="s">
        <v>42</v>
      </c>
      <c r="N2273" s="4"/>
      <c r="O2273" s="4">
        <v>1</v>
      </c>
      <c r="P2273" s="4" t="s">
        <v>43</v>
      </c>
      <c r="Q2273" s="4" t="s">
        <v>44</v>
      </c>
      <c r="R2273" s="7">
        <v>1300000</v>
      </c>
      <c r="S2273" s="7">
        <v>0</v>
      </c>
      <c r="T2273" s="7">
        <f>R2273-S2273</f>
        <v>0</v>
      </c>
      <c r="U2273" s="7">
        <f>T2273*O2273</f>
        <v>0</v>
      </c>
    </row>
    <row r="2274" spans="1:21">
      <c r="A2274" s="4" t="s">
        <v>3390</v>
      </c>
      <c r="B2274" s="4" t="s">
        <v>39</v>
      </c>
      <c r="C2274" s="5">
        <v>45954.12493055555</v>
      </c>
      <c r="D2274" s="5">
        <v>45954</v>
      </c>
      <c r="E2274" s="6">
        <f>IF(AND(C2274&lt;&gt;"",D2274&lt;&gt;""),D2274-C2274,"")</f>
        <v>0</v>
      </c>
      <c r="F2274" s="4" t="s">
        <v>3391</v>
      </c>
      <c r="G2274" s="4" t="s">
        <v>3392</v>
      </c>
      <c r="H2274" s="4" t="s">
        <v>32</v>
      </c>
      <c r="I2274" s="4" t="s">
        <v>33</v>
      </c>
      <c r="J2274" s="4">
        <v>1</v>
      </c>
      <c r="K2274" s="4">
        <v>0</v>
      </c>
      <c r="L2274" s="4">
        <f>J2274+K2274</f>
        <v>0</v>
      </c>
      <c r="M2274" s="4" t="s">
        <v>42</v>
      </c>
      <c r="N2274" s="4"/>
      <c r="O2274" s="4">
        <v>1</v>
      </c>
      <c r="P2274" s="4" t="s">
        <v>43</v>
      </c>
      <c r="Q2274" s="4" t="s">
        <v>44</v>
      </c>
      <c r="R2274" s="7">
        <v>370000</v>
      </c>
      <c r="S2274" s="7">
        <v>0</v>
      </c>
      <c r="T2274" s="7">
        <f>R2274-S2274</f>
        <v>0</v>
      </c>
      <c r="U2274" s="7">
        <f>T2274*O2274</f>
        <v>0</v>
      </c>
    </row>
    <row r="2275" spans="1:21">
      <c r="A2275" s="4" t="s">
        <v>3390</v>
      </c>
      <c r="B2275" s="4" t="s">
        <v>39</v>
      </c>
      <c r="C2275" s="5">
        <v>45954.12493055555</v>
      </c>
      <c r="D2275" s="5">
        <v>45954</v>
      </c>
      <c r="E2275" s="6">
        <f>IF(AND(C2275&lt;&gt;"",D2275&lt;&gt;""),D2275-C2275,"")</f>
        <v>0</v>
      </c>
      <c r="F2275" s="4" t="s">
        <v>3391</v>
      </c>
      <c r="G2275" s="4" t="s">
        <v>3392</v>
      </c>
      <c r="H2275" s="4" t="s">
        <v>32</v>
      </c>
      <c r="I2275" s="4" t="s">
        <v>33</v>
      </c>
      <c r="J2275" s="4">
        <v>0</v>
      </c>
      <c r="K2275" s="4">
        <v>0</v>
      </c>
      <c r="L2275" s="4">
        <f>J2275+K2275</f>
        <v>0</v>
      </c>
      <c r="M2275" s="4" t="s">
        <v>370</v>
      </c>
      <c r="N2275" s="4"/>
      <c r="O2275" s="4">
        <v>1</v>
      </c>
      <c r="P2275" s="4" t="s">
        <v>43</v>
      </c>
      <c r="Q2275" s="4" t="s">
        <v>44</v>
      </c>
      <c r="R2275" s="7">
        <v>5000000</v>
      </c>
      <c r="S2275" s="7">
        <v>0</v>
      </c>
      <c r="T2275" s="7">
        <f>R2275-S2275</f>
        <v>0</v>
      </c>
      <c r="U2275" s="7">
        <f>T2275*O2275</f>
        <v>0</v>
      </c>
    </row>
    <row r="2276" spans="1:21">
      <c r="A2276" s="4" t="s">
        <v>3390</v>
      </c>
      <c r="B2276" s="4" t="s">
        <v>39</v>
      </c>
      <c r="C2276" s="5">
        <v>45954.12493055555</v>
      </c>
      <c r="D2276" s="5">
        <v>45954</v>
      </c>
      <c r="E2276" s="6">
        <f>IF(AND(C2276&lt;&gt;"",D2276&lt;&gt;""),D2276-C2276,"")</f>
        <v>0</v>
      </c>
      <c r="F2276" s="4" t="s">
        <v>3391</v>
      </c>
      <c r="G2276" s="4" t="s">
        <v>3392</v>
      </c>
      <c r="H2276" s="4" t="s">
        <v>32</v>
      </c>
      <c r="I2276" s="4" t="s">
        <v>33</v>
      </c>
      <c r="J2276" s="4">
        <v>1</v>
      </c>
      <c r="K2276" s="4">
        <v>0</v>
      </c>
      <c r="L2276" s="4">
        <f>J2276+K2276</f>
        <v>0</v>
      </c>
      <c r="M2276" s="4" t="s">
        <v>80</v>
      </c>
      <c r="N2276" s="4"/>
      <c r="O2276" s="4">
        <v>1</v>
      </c>
      <c r="P2276" s="4" t="s">
        <v>43</v>
      </c>
      <c r="Q2276" s="4" t="s">
        <v>44</v>
      </c>
      <c r="R2276" s="7">
        <v>610000</v>
      </c>
      <c r="S2276" s="7">
        <v>0</v>
      </c>
      <c r="T2276" s="7">
        <f>R2276-S2276</f>
        <v>0</v>
      </c>
      <c r="U2276" s="7">
        <f>T2276*O2276</f>
        <v>0</v>
      </c>
    </row>
    <row r="2277" spans="1:21">
      <c r="A2277" s="4" t="s">
        <v>3393</v>
      </c>
      <c r="B2277" s="4" t="s">
        <v>39</v>
      </c>
      <c r="C2277" s="5">
        <v>45954.12493055555</v>
      </c>
      <c r="D2277" s="5">
        <v>45954</v>
      </c>
      <c r="E2277" s="6">
        <f>IF(AND(C2277&lt;&gt;"",D2277&lt;&gt;""),D2277-C2277,"")</f>
        <v>0</v>
      </c>
      <c r="F2277" s="4" t="s">
        <v>3391</v>
      </c>
      <c r="G2277" s="4" t="s">
        <v>3392</v>
      </c>
      <c r="H2277" s="4" t="s">
        <v>32</v>
      </c>
      <c r="I2277" s="4" t="s">
        <v>33</v>
      </c>
      <c r="J2277" s="4">
        <v>1</v>
      </c>
      <c r="K2277" s="4">
        <v>0</v>
      </c>
      <c r="L2277" s="4">
        <f>J2277+K2277</f>
        <v>0</v>
      </c>
      <c r="M2277" s="4" t="s">
        <v>42</v>
      </c>
      <c r="N2277" s="4"/>
      <c r="O2277" s="4">
        <v>1</v>
      </c>
      <c r="P2277" s="4" t="s">
        <v>43</v>
      </c>
      <c r="Q2277" s="4" t="s">
        <v>44</v>
      </c>
      <c r="R2277" s="7">
        <v>1300000</v>
      </c>
      <c r="S2277" s="7">
        <v>0</v>
      </c>
      <c r="T2277" s="7">
        <f>R2277-S2277</f>
        <v>0</v>
      </c>
      <c r="U2277" s="7">
        <f>T2277*O2277</f>
        <v>0</v>
      </c>
    </row>
    <row r="2278" spans="1:21">
      <c r="A2278" s="4" t="s">
        <v>3393</v>
      </c>
      <c r="B2278" s="4" t="s">
        <v>39</v>
      </c>
      <c r="C2278" s="5">
        <v>45954.12493055555</v>
      </c>
      <c r="D2278" s="5">
        <v>45954</v>
      </c>
      <c r="E2278" s="6">
        <f>IF(AND(C2278&lt;&gt;"",D2278&lt;&gt;""),D2278-C2278,"")</f>
        <v>0</v>
      </c>
      <c r="F2278" s="4" t="s">
        <v>3391</v>
      </c>
      <c r="G2278" s="4" t="s">
        <v>3392</v>
      </c>
      <c r="H2278" s="4" t="s">
        <v>32</v>
      </c>
      <c r="I2278" s="4" t="s">
        <v>33</v>
      </c>
      <c r="J2278" s="4">
        <v>0</v>
      </c>
      <c r="K2278" s="4">
        <v>0</v>
      </c>
      <c r="L2278" s="4">
        <f>J2278+K2278</f>
        <v>0</v>
      </c>
      <c r="M2278" s="4" t="s">
        <v>370</v>
      </c>
      <c r="N2278" s="4"/>
      <c r="O2278" s="4">
        <v>1</v>
      </c>
      <c r="P2278" s="4" t="s">
        <v>43</v>
      </c>
      <c r="Q2278" s="4" t="s">
        <v>44</v>
      </c>
      <c r="R2278" s="7">
        <v>5000000</v>
      </c>
      <c r="S2278" s="7">
        <v>0</v>
      </c>
      <c r="T2278" s="7">
        <f>R2278-S2278</f>
        <v>0</v>
      </c>
      <c r="U2278" s="7">
        <f>T2278*O2278</f>
        <v>0</v>
      </c>
    </row>
    <row r="2279" spans="1:21">
      <c r="A2279" s="4" t="s">
        <v>3393</v>
      </c>
      <c r="B2279" s="4" t="s">
        <v>39</v>
      </c>
      <c r="C2279" s="5">
        <v>45954.12493055555</v>
      </c>
      <c r="D2279" s="5">
        <v>45954</v>
      </c>
      <c r="E2279" s="6">
        <f>IF(AND(C2279&lt;&gt;"",D2279&lt;&gt;""),D2279-C2279,"")</f>
        <v>0</v>
      </c>
      <c r="F2279" s="4" t="s">
        <v>3391</v>
      </c>
      <c r="G2279" s="4" t="s">
        <v>3392</v>
      </c>
      <c r="H2279" s="4" t="s">
        <v>32</v>
      </c>
      <c r="I2279" s="4" t="s">
        <v>33</v>
      </c>
      <c r="J2279" s="4">
        <v>1</v>
      </c>
      <c r="K2279" s="4">
        <v>0</v>
      </c>
      <c r="L2279" s="4">
        <f>J2279+K2279</f>
        <v>0</v>
      </c>
      <c r="M2279" s="4" t="s">
        <v>42</v>
      </c>
      <c r="N2279" s="4"/>
      <c r="O2279" s="4">
        <v>1</v>
      </c>
      <c r="P2279" s="4" t="s">
        <v>43</v>
      </c>
      <c r="Q2279" s="4" t="s">
        <v>44</v>
      </c>
      <c r="R2279" s="7">
        <v>370000</v>
      </c>
      <c r="S2279" s="7">
        <v>0</v>
      </c>
      <c r="T2279" s="7">
        <f>R2279-S2279</f>
        <v>0</v>
      </c>
      <c r="U2279" s="7">
        <f>T2279*O2279</f>
        <v>0</v>
      </c>
    </row>
    <row r="2280" spans="1:21">
      <c r="A2280" s="4" t="s">
        <v>3393</v>
      </c>
      <c r="B2280" s="4" t="s">
        <v>39</v>
      </c>
      <c r="C2280" s="5">
        <v>45954.12493055555</v>
      </c>
      <c r="D2280" s="5">
        <v>45954</v>
      </c>
      <c r="E2280" s="6">
        <f>IF(AND(C2280&lt;&gt;"",D2280&lt;&gt;""),D2280-C2280,"")</f>
        <v>0</v>
      </c>
      <c r="F2280" s="4" t="s">
        <v>3391</v>
      </c>
      <c r="G2280" s="4" t="s">
        <v>3392</v>
      </c>
      <c r="H2280" s="4" t="s">
        <v>32</v>
      </c>
      <c r="I2280" s="4" t="s">
        <v>33</v>
      </c>
      <c r="J2280" s="4">
        <v>1</v>
      </c>
      <c r="K2280" s="4">
        <v>0</v>
      </c>
      <c r="L2280" s="4">
        <f>J2280+K2280</f>
        <v>0</v>
      </c>
      <c r="M2280" s="4" t="s">
        <v>80</v>
      </c>
      <c r="N2280" s="4"/>
      <c r="O2280" s="4">
        <v>1</v>
      </c>
      <c r="P2280" s="4" t="s">
        <v>43</v>
      </c>
      <c r="Q2280" s="4" t="s">
        <v>44</v>
      </c>
      <c r="R2280" s="7">
        <v>610000</v>
      </c>
      <c r="S2280" s="7">
        <v>0</v>
      </c>
      <c r="T2280" s="7">
        <f>R2280-S2280</f>
        <v>0</v>
      </c>
      <c r="U2280" s="7">
        <f>T2280*O2280</f>
        <v>0</v>
      </c>
    </row>
    <row r="2281" spans="1:21">
      <c r="A2281" s="4" t="s">
        <v>3394</v>
      </c>
      <c r="B2281" s="4" t="s">
        <v>39</v>
      </c>
      <c r="C2281" s="5">
        <v>45954.13761574074</v>
      </c>
      <c r="D2281" s="5">
        <v>45954</v>
      </c>
      <c r="E2281" s="6">
        <f>IF(AND(C2281&lt;&gt;"",D2281&lt;&gt;""),D2281-C2281,"")</f>
        <v>0</v>
      </c>
      <c r="F2281" s="4" t="s">
        <v>3395</v>
      </c>
      <c r="G2281" s="4" t="s">
        <v>3396</v>
      </c>
      <c r="H2281" s="4" t="s">
        <v>3397</v>
      </c>
      <c r="I2281" s="4" t="s">
        <v>56</v>
      </c>
      <c r="J2281" s="4">
        <v>1</v>
      </c>
      <c r="K2281" s="4">
        <v>0</v>
      </c>
      <c r="L2281" s="4">
        <f>J2281+K2281</f>
        <v>0</v>
      </c>
      <c r="M2281" s="4" t="s">
        <v>42</v>
      </c>
      <c r="N2281" s="4"/>
      <c r="O2281" s="4">
        <v>1</v>
      </c>
      <c r="P2281" s="4" t="s">
        <v>135</v>
      </c>
      <c r="Q2281" s="4" t="s">
        <v>44</v>
      </c>
      <c r="R2281" s="7">
        <v>370000</v>
      </c>
      <c r="S2281" s="7">
        <v>0</v>
      </c>
      <c r="T2281" s="7">
        <f>R2281-S2281</f>
        <v>0</v>
      </c>
      <c r="U2281" s="7">
        <f>T2281*O2281</f>
        <v>0</v>
      </c>
    </row>
    <row r="2282" spans="1:21">
      <c r="A2282" s="4" t="s">
        <v>3394</v>
      </c>
      <c r="B2282" s="4" t="s">
        <v>39</v>
      </c>
      <c r="C2282" s="5">
        <v>45954.13761574074</v>
      </c>
      <c r="D2282" s="5">
        <v>45954</v>
      </c>
      <c r="E2282" s="6">
        <f>IF(AND(C2282&lt;&gt;"",D2282&lt;&gt;""),D2282-C2282,"")</f>
        <v>0</v>
      </c>
      <c r="F2282" s="4" t="s">
        <v>3395</v>
      </c>
      <c r="G2282" s="4" t="s">
        <v>3396</v>
      </c>
      <c r="H2282" s="4" t="s">
        <v>3397</v>
      </c>
      <c r="I2282" s="4" t="s">
        <v>56</v>
      </c>
      <c r="J2282" s="4">
        <v>1</v>
      </c>
      <c r="K2282" s="4">
        <v>0</v>
      </c>
      <c r="L2282" s="4">
        <f>J2282+K2282</f>
        <v>0</v>
      </c>
      <c r="M2282" s="4" t="s">
        <v>80</v>
      </c>
      <c r="N2282" s="4"/>
      <c r="O2282" s="4">
        <v>1</v>
      </c>
      <c r="P2282" s="4" t="s">
        <v>135</v>
      </c>
      <c r="Q2282" s="4" t="s">
        <v>44</v>
      </c>
      <c r="R2282" s="7">
        <v>610000</v>
      </c>
      <c r="S2282" s="7">
        <v>0</v>
      </c>
      <c r="T2282" s="7">
        <f>R2282-S2282</f>
        <v>0</v>
      </c>
      <c r="U2282" s="7">
        <f>T2282*O2282</f>
        <v>0</v>
      </c>
    </row>
    <row r="2283" spans="1:21">
      <c r="A2283" s="4" t="s">
        <v>3398</v>
      </c>
      <c r="B2283" s="4" t="s">
        <v>39</v>
      </c>
      <c r="C2283" s="5">
        <v>45954.1522800926</v>
      </c>
      <c r="D2283" s="5">
        <v>45954</v>
      </c>
      <c r="E2283" s="6">
        <f>IF(AND(C2283&lt;&gt;"",D2283&lt;&gt;""),D2283-C2283,"")</f>
        <v>0</v>
      </c>
      <c r="F2283" s="4" t="s">
        <v>1264</v>
      </c>
      <c r="G2283" s="4" t="s">
        <v>1265</v>
      </c>
      <c r="H2283" s="4" t="s">
        <v>32</v>
      </c>
      <c r="I2283" s="4" t="s">
        <v>33</v>
      </c>
      <c r="J2283" s="4">
        <v>2</v>
      </c>
      <c r="K2283" s="4">
        <v>0</v>
      </c>
      <c r="L2283" s="4">
        <f>J2283+K2283</f>
        <v>0</v>
      </c>
      <c r="M2283" s="4" t="s">
        <v>80</v>
      </c>
      <c r="N2283" s="4"/>
      <c r="O2283" s="4">
        <v>2</v>
      </c>
      <c r="P2283" s="4" t="s">
        <v>135</v>
      </c>
      <c r="Q2283" s="4" t="s">
        <v>44</v>
      </c>
      <c r="R2283" s="7">
        <v>610000</v>
      </c>
      <c r="S2283" s="7">
        <v>0</v>
      </c>
      <c r="T2283" s="7">
        <f>R2283-S2283</f>
        <v>0</v>
      </c>
      <c r="U2283" s="7">
        <f>T2283*O2283</f>
        <v>0</v>
      </c>
    </row>
    <row r="2284" spans="1:21">
      <c r="A2284" s="4" t="s">
        <v>3398</v>
      </c>
      <c r="B2284" s="4" t="s">
        <v>39</v>
      </c>
      <c r="C2284" s="5">
        <v>45954.1522800926</v>
      </c>
      <c r="D2284" s="5">
        <v>45954</v>
      </c>
      <c r="E2284" s="6">
        <f>IF(AND(C2284&lt;&gt;"",D2284&lt;&gt;""),D2284-C2284,"")</f>
        <v>0</v>
      </c>
      <c r="F2284" s="4" t="s">
        <v>1264</v>
      </c>
      <c r="G2284" s="4" t="s">
        <v>1265</v>
      </c>
      <c r="H2284" s="4" t="s">
        <v>32</v>
      </c>
      <c r="I2284" s="4" t="s">
        <v>33</v>
      </c>
      <c r="J2284" s="4">
        <v>0</v>
      </c>
      <c r="K2284" s="4">
        <v>0</v>
      </c>
      <c r="L2284" s="4">
        <f>J2284+K2284</f>
        <v>0</v>
      </c>
      <c r="M2284" s="4" t="s">
        <v>370</v>
      </c>
      <c r="N2284" s="4"/>
      <c r="O2284" s="4">
        <v>1</v>
      </c>
      <c r="P2284" s="4" t="s">
        <v>135</v>
      </c>
      <c r="Q2284" s="4" t="s">
        <v>44</v>
      </c>
      <c r="R2284" s="7">
        <v>500000</v>
      </c>
      <c r="S2284" s="7">
        <v>0</v>
      </c>
      <c r="T2284" s="7">
        <f>R2284-S2284</f>
        <v>0</v>
      </c>
      <c r="U2284" s="7">
        <f>T2284*O2284</f>
        <v>0</v>
      </c>
    </row>
    <row r="2285" spans="1:21">
      <c r="A2285" s="4" t="s">
        <v>3399</v>
      </c>
      <c r="B2285" s="4" t="s">
        <v>39</v>
      </c>
      <c r="C2285" s="5">
        <v>45954.15263888889</v>
      </c>
      <c r="D2285" s="5">
        <v>45954</v>
      </c>
      <c r="E2285" s="6">
        <f>IF(AND(C2285&lt;&gt;"",D2285&lt;&gt;""),D2285-C2285,"")</f>
        <v>0</v>
      </c>
      <c r="F2285" s="4" t="s">
        <v>3400</v>
      </c>
      <c r="G2285" s="4" t="s">
        <v>3401</v>
      </c>
      <c r="H2285" s="4" t="s">
        <v>3402</v>
      </c>
      <c r="I2285" s="4" t="s">
        <v>56</v>
      </c>
      <c r="J2285" s="4">
        <v>0</v>
      </c>
      <c r="K2285" s="4">
        <v>0</v>
      </c>
      <c r="L2285" s="4">
        <f>J2285+K2285</f>
        <v>0</v>
      </c>
      <c r="M2285" s="4" t="s">
        <v>370</v>
      </c>
      <c r="N2285" s="4"/>
      <c r="O2285" s="4">
        <v>1</v>
      </c>
      <c r="P2285" s="4" t="s">
        <v>135</v>
      </c>
      <c r="Q2285" s="4" t="s">
        <v>44</v>
      </c>
      <c r="R2285" s="7">
        <v>1000000</v>
      </c>
      <c r="S2285" s="7">
        <v>0</v>
      </c>
      <c r="T2285" s="7">
        <f>R2285-S2285</f>
        <v>0</v>
      </c>
      <c r="U2285" s="7">
        <f>T2285*O2285</f>
        <v>0</v>
      </c>
    </row>
    <row r="2286" spans="1:21">
      <c r="A2286" s="4" t="s">
        <v>3399</v>
      </c>
      <c r="B2286" s="4" t="s">
        <v>39</v>
      </c>
      <c r="C2286" s="5">
        <v>45954.15263888889</v>
      </c>
      <c r="D2286" s="5">
        <v>45954</v>
      </c>
      <c r="E2286" s="6">
        <f>IF(AND(C2286&lt;&gt;"",D2286&lt;&gt;""),D2286-C2286,"")</f>
        <v>0</v>
      </c>
      <c r="F2286" s="4" t="s">
        <v>3400</v>
      </c>
      <c r="G2286" s="4" t="s">
        <v>3401</v>
      </c>
      <c r="H2286" s="4" t="s">
        <v>3402</v>
      </c>
      <c r="I2286" s="4" t="s">
        <v>56</v>
      </c>
      <c r="J2286" s="4">
        <v>1</v>
      </c>
      <c r="K2286" s="4">
        <v>0</v>
      </c>
      <c r="L2286" s="4">
        <f>J2286+K2286</f>
        <v>0</v>
      </c>
      <c r="M2286" s="4" t="s">
        <v>80</v>
      </c>
      <c r="N2286" s="4"/>
      <c r="O2286" s="4">
        <v>1</v>
      </c>
      <c r="P2286" s="4" t="s">
        <v>135</v>
      </c>
      <c r="Q2286" s="4" t="s">
        <v>44</v>
      </c>
      <c r="R2286" s="7">
        <v>610000</v>
      </c>
      <c r="S2286" s="7">
        <v>0</v>
      </c>
      <c r="T2286" s="7">
        <f>R2286-S2286</f>
        <v>0</v>
      </c>
      <c r="U2286" s="7">
        <f>T2286*O2286</f>
        <v>0</v>
      </c>
    </row>
    <row r="2287" spans="1:21">
      <c r="A2287" s="4" t="s">
        <v>3399</v>
      </c>
      <c r="B2287" s="4" t="s">
        <v>39</v>
      </c>
      <c r="C2287" s="5">
        <v>45954.15263888889</v>
      </c>
      <c r="D2287" s="5">
        <v>45954</v>
      </c>
      <c r="E2287" s="6">
        <f>IF(AND(C2287&lt;&gt;"",D2287&lt;&gt;""),D2287-C2287,"")</f>
        <v>0</v>
      </c>
      <c r="F2287" s="4" t="s">
        <v>3400</v>
      </c>
      <c r="G2287" s="4" t="s">
        <v>3401</v>
      </c>
      <c r="H2287" s="4" t="s">
        <v>3402</v>
      </c>
      <c r="I2287" s="4" t="s">
        <v>56</v>
      </c>
      <c r="J2287" s="4">
        <v>1</v>
      </c>
      <c r="K2287" s="4">
        <v>0</v>
      </c>
      <c r="L2287" s="4">
        <f>J2287+K2287</f>
        <v>0</v>
      </c>
      <c r="M2287" s="4" t="s">
        <v>42</v>
      </c>
      <c r="N2287" s="4"/>
      <c r="O2287" s="4">
        <v>1</v>
      </c>
      <c r="P2287" s="4" t="s">
        <v>135</v>
      </c>
      <c r="Q2287" s="4" t="s">
        <v>44</v>
      </c>
      <c r="R2287" s="7">
        <v>370000</v>
      </c>
      <c r="S2287" s="7">
        <v>0</v>
      </c>
      <c r="T2287" s="7">
        <f>R2287-S2287</f>
        <v>0</v>
      </c>
      <c r="U2287" s="7">
        <f>T2287*O2287</f>
        <v>0</v>
      </c>
    </row>
    <row r="2288" spans="1:21">
      <c r="A2288" s="4" t="s">
        <v>3403</v>
      </c>
      <c r="B2288" s="4" t="s">
        <v>39</v>
      </c>
      <c r="C2288" s="5">
        <v>45954.15263888889</v>
      </c>
      <c r="D2288" s="5">
        <v>45954</v>
      </c>
      <c r="E2288" s="6">
        <f>IF(AND(C2288&lt;&gt;"",D2288&lt;&gt;""),D2288-C2288,"")</f>
        <v>0</v>
      </c>
      <c r="F2288" s="4" t="s">
        <v>3400</v>
      </c>
      <c r="G2288" s="4" t="s">
        <v>3401</v>
      </c>
      <c r="H2288" s="4" t="s">
        <v>3402</v>
      </c>
      <c r="I2288" s="4" t="s">
        <v>56</v>
      </c>
      <c r="J2288" s="4">
        <v>1</v>
      </c>
      <c r="K2288" s="4">
        <v>0</v>
      </c>
      <c r="L2288" s="4">
        <f>J2288+K2288</f>
        <v>0</v>
      </c>
      <c r="M2288" s="4" t="s">
        <v>80</v>
      </c>
      <c r="N2288" s="4"/>
      <c r="O2288" s="4">
        <v>1</v>
      </c>
      <c r="P2288" s="4" t="s">
        <v>135</v>
      </c>
      <c r="Q2288" s="4" t="s">
        <v>44</v>
      </c>
      <c r="R2288" s="7">
        <v>610000</v>
      </c>
      <c r="S2288" s="7">
        <v>0</v>
      </c>
      <c r="T2288" s="7">
        <f>R2288-S2288</f>
        <v>0</v>
      </c>
      <c r="U2288" s="7">
        <f>T2288*O2288</f>
        <v>0</v>
      </c>
    </row>
    <row r="2289" spans="1:21">
      <c r="A2289" s="4" t="s">
        <v>3403</v>
      </c>
      <c r="B2289" s="4" t="s">
        <v>39</v>
      </c>
      <c r="C2289" s="5">
        <v>45954.15263888889</v>
      </c>
      <c r="D2289" s="5">
        <v>45954</v>
      </c>
      <c r="E2289" s="6">
        <f>IF(AND(C2289&lt;&gt;"",D2289&lt;&gt;""),D2289-C2289,"")</f>
        <v>0</v>
      </c>
      <c r="F2289" s="4" t="s">
        <v>3400</v>
      </c>
      <c r="G2289" s="4" t="s">
        <v>3401</v>
      </c>
      <c r="H2289" s="4" t="s">
        <v>3402</v>
      </c>
      <c r="I2289" s="4" t="s">
        <v>56</v>
      </c>
      <c r="J2289" s="4">
        <v>1</v>
      </c>
      <c r="K2289" s="4">
        <v>0</v>
      </c>
      <c r="L2289" s="4">
        <f>J2289+K2289</f>
        <v>0</v>
      </c>
      <c r="M2289" s="4" t="s">
        <v>42</v>
      </c>
      <c r="N2289" s="4"/>
      <c r="O2289" s="4">
        <v>1</v>
      </c>
      <c r="P2289" s="4" t="s">
        <v>135</v>
      </c>
      <c r="Q2289" s="4" t="s">
        <v>44</v>
      </c>
      <c r="R2289" s="7">
        <v>370000</v>
      </c>
      <c r="S2289" s="7">
        <v>0</v>
      </c>
      <c r="T2289" s="7">
        <f>R2289-S2289</f>
        <v>0</v>
      </c>
      <c r="U2289" s="7">
        <f>T2289*O2289</f>
        <v>0</v>
      </c>
    </row>
    <row r="2290" spans="1:21">
      <c r="A2290" s="4" t="s">
        <v>3403</v>
      </c>
      <c r="B2290" s="4" t="s">
        <v>39</v>
      </c>
      <c r="C2290" s="5">
        <v>45954.15263888889</v>
      </c>
      <c r="D2290" s="5">
        <v>45954</v>
      </c>
      <c r="E2290" s="6">
        <f>IF(AND(C2290&lt;&gt;"",D2290&lt;&gt;""),D2290-C2290,"")</f>
        <v>0</v>
      </c>
      <c r="F2290" s="4" t="s">
        <v>3400</v>
      </c>
      <c r="G2290" s="4" t="s">
        <v>3401</v>
      </c>
      <c r="H2290" s="4" t="s">
        <v>3402</v>
      </c>
      <c r="I2290" s="4" t="s">
        <v>56</v>
      </c>
      <c r="J2290" s="4">
        <v>0</v>
      </c>
      <c r="K2290" s="4">
        <v>0</v>
      </c>
      <c r="L2290" s="4">
        <f>J2290+K2290</f>
        <v>0</v>
      </c>
      <c r="M2290" s="4" t="s">
        <v>370</v>
      </c>
      <c r="N2290" s="4"/>
      <c r="O2290" s="4">
        <v>1</v>
      </c>
      <c r="P2290" s="4" t="s">
        <v>135</v>
      </c>
      <c r="Q2290" s="4" t="s">
        <v>44</v>
      </c>
      <c r="R2290" s="7">
        <v>1000000</v>
      </c>
      <c r="S2290" s="7">
        <v>0</v>
      </c>
      <c r="T2290" s="7">
        <f>R2290-S2290</f>
        <v>0</v>
      </c>
      <c r="U2290" s="7">
        <f>T2290*O2290</f>
        <v>0</v>
      </c>
    </row>
    <row r="2291" spans="1:21">
      <c r="A2291" s="4" t="s">
        <v>3404</v>
      </c>
      <c r="B2291" s="4" t="s">
        <v>39</v>
      </c>
      <c r="C2291" s="5">
        <v>45954.24436342593</v>
      </c>
      <c r="D2291" s="5">
        <v>45954</v>
      </c>
      <c r="E2291" s="6">
        <f>IF(AND(C2291&lt;&gt;"",D2291&lt;&gt;""),D2291-C2291,"")</f>
        <v>0</v>
      </c>
      <c r="F2291" s="4" t="s">
        <v>2920</v>
      </c>
      <c r="G2291" s="4" t="s">
        <v>2921</v>
      </c>
      <c r="H2291" s="4" t="s">
        <v>32</v>
      </c>
      <c r="I2291" s="4" t="s">
        <v>33</v>
      </c>
      <c r="J2291" s="4">
        <v>0</v>
      </c>
      <c r="K2291" s="4">
        <v>0</v>
      </c>
      <c r="L2291" s="4">
        <f>J2291+K2291</f>
        <v>0</v>
      </c>
      <c r="M2291" s="4" t="s">
        <v>370</v>
      </c>
      <c r="N2291" s="4"/>
      <c r="O2291" s="4">
        <v>1</v>
      </c>
      <c r="P2291" s="4" t="s">
        <v>135</v>
      </c>
      <c r="Q2291" s="4" t="s">
        <v>44</v>
      </c>
      <c r="R2291" s="7">
        <v>5000000</v>
      </c>
      <c r="S2291" s="7">
        <v>0</v>
      </c>
      <c r="T2291" s="7">
        <f>R2291-S2291</f>
        <v>0</v>
      </c>
      <c r="U2291" s="7">
        <f>T2291*O2291</f>
        <v>0</v>
      </c>
    </row>
    <row r="2292" spans="1:21">
      <c r="A2292" s="4" t="s">
        <v>3405</v>
      </c>
      <c r="B2292" s="4" t="s">
        <v>48</v>
      </c>
      <c r="C2292" s="5">
        <v>45954.24712962963</v>
      </c>
      <c r="D2292" s="5">
        <v>45961</v>
      </c>
      <c r="E2292" s="6">
        <f>IF(AND(C2292&lt;&gt;"",D2292&lt;&gt;""),D2292-C2292,"")</f>
        <v>0</v>
      </c>
      <c r="F2292" s="4" t="s">
        <v>3406</v>
      </c>
      <c r="G2292" s="4" t="s">
        <v>3407</v>
      </c>
      <c r="H2292" s="4" t="s">
        <v>32</v>
      </c>
      <c r="I2292" s="4" t="s">
        <v>33</v>
      </c>
      <c r="J2292" s="4">
        <v>5</v>
      </c>
      <c r="K2292" s="4">
        <v>0</v>
      </c>
      <c r="L2292" s="4">
        <f>J2292+K2292</f>
        <v>0</v>
      </c>
      <c r="M2292" s="4"/>
      <c r="N2292" s="4"/>
      <c r="O2292" s="4">
        <v>0</v>
      </c>
      <c r="P2292" s="4"/>
      <c r="Q2292" s="4"/>
      <c r="R2292" s="7">
        <v>0</v>
      </c>
      <c r="S2292" s="7">
        <v>0</v>
      </c>
      <c r="T2292" s="7">
        <f>R2292-S2292</f>
        <v>0</v>
      </c>
      <c r="U2292" s="7">
        <f>T2292*O2292</f>
        <v>0</v>
      </c>
    </row>
    <row r="2293" spans="1:21">
      <c r="A2293" s="4" t="s">
        <v>3408</v>
      </c>
      <c r="B2293" s="4" t="s">
        <v>39</v>
      </c>
      <c r="C2293" s="5">
        <v>45954.26125</v>
      </c>
      <c r="D2293" s="5">
        <v>45954</v>
      </c>
      <c r="E2293" s="6">
        <f>IF(AND(C2293&lt;&gt;"",D2293&lt;&gt;""),D2293-C2293,"")</f>
        <v>0</v>
      </c>
      <c r="F2293" s="4" t="s">
        <v>1074</v>
      </c>
      <c r="G2293" s="4" t="s">
        <v>3409</v>
      </c>
      <c r="H2293" s="4" t="s">
        <v>32</v>
      </c>
      <c r="I2293" s="4" t="s">
        <v>33</v>
      </c>
      <c r="J2293" s="4">
        <v>0</v>
      </c>
      <c r="K2293" s="4">
        <v>1</v>
      </c>
      <c r="L2293" s="4">
        <f>J2293+K2293</f>
        <v>0</v>
      </c>
      <c r="M2293" s="4" t="s">
        <v>81</v>
      </c>
      <c r="N2293" s="4"/>
      <c r="O2293" s="4">
        <v>1</v>
      </c>
      <c r="P2293" s="4" t="s">
        <v>135</v>
      </c>
      <c r="Q2293" s="4"/>
      <c r="R2293" s="7">
        <v>495000</v>
      </c>
      <c r="S2293" s="7">
        <v>0</v>
      </c>
      <c r="T2293" s="7">
        <f>R2293-S2293</f>
        <v>0</v>
      </c>
      <c r="U2293" s="7">
        <f>T2293*O2293</f>
        <v>0</v>
      </c>
    </row>
    <row r="2294" spans="1:21">
      <c r="A2294" s="4" t="s">
        <v>3408</v>
      </c>
      <c r="B2294" s="4" t="s">
        <v>39</v>
      </c>
      <c r="C2294" s="5">
        <v>45954.26125</v>
      </c>
      <c r="D2294" s="5">
        <v>45954</v>
      </c>
      <c r="E2294" s="6">
        <f>IF(AND(C2294&lt;&gt;"",D2294&lt;&gt;""),D2294-C2294,"")</f>
        <v>0</v>
      </c>
      <c r="F2294" s="4" t="s">
        <v>1074</v>
      </c>
      <c r="G2294" s="4" t="s">
        <v>3409</v>
      </c>
      <c r="H2294" s="4" t="s">
        <v>32</v>
      </c>
      <c r="I2294" s="4" t="s">
        <v>33</v>
      </c>
      <c r="J2294" s="4">
        <v>1</v>
      </c>
      <c r="K2294" s="4">
        <v>0</v>
      </c>
      <c r="L2294" s="4">
        <f>J2294+K2294</f>
        <v>0</v>
      </c>
      <c r="M2294" s="4" t="s">
        <v>80</v>
      </c>
      <c r="N2294" s="4"/>
      <c r="O2294" s="4">
        <v>1</v>
      </c>
      <c r="P2294" s="4" t="s">
        <v>135</v>
      </c>
      <c r="Q2294" s="4"/>
      <c r="R2294" s="7">
        <v>610000</v>
      </c>
      <c r="S2294" s="7">
        <v>0</v>
      </c>
      <c r="T2294" s="7">
        <f>R2294-S2294</f>
        <v>0</v>
      </c>
      <c r="U2294" s="7">
        <f>T2294*O2294</f>
        <v>0</v>
      </c>
    </row>
    <row r="2295" spans="1:21">
      <c r="A2295" s="4" t="s">
        <v>3408</v>
      </c>
      <c r="B2295" s="4" t="s">
        <v>39</v>
      </c>
      <c r="C2295" s="5">
        <v>45954.26125</v>
      </c>
      <c r="D2295" s="5">
        <v>45954</v>
      </c>
      <c r="E2295" s="6">
        <f>IF(AND(C2295&lt;&gt;"",D2295&lt;&gt;""),D2295-C2295,"")</f>
        <v>0</v>
      </c>
      <c r="F2295" s="4" t="s">
        <v>1074</v>
      </c>
      <c r="G2295" s="4" t="s">
        <v>3409</v>
      </c>
      <c r="H2295" s="4" t="s">
        <v>32</v>
      </c>
      <c r="I2295" s="4" t="s">
        <v>33</v>
      </c>
      <c r="J2295" s="4">
        <v>0</v>
      </c>
      <c r="K2295" s="4">
        <v>1</v>
      </c>
      <c r="L2295" s="4">
        <f>J2295+K2295</f>
        <v>0</v>
      </c>
      <c r="M2295" s="4" t="s">
        <v>81</v>
      </c>
      <c r="N2295" s="4"/>
      <c r="O2295" s="4">
        <v>1</v>
      </c>
      <c r="P2295" s="4" t="s">
        <v>135</v>
      </c>
      <c r="Q2295" s="4"/>
      <c r="R2295" s="7">
        <v>495000</v>
      </c>
      <c r="S2295" s="7">
        <v>0</v>
      </c>
      <c r="T2295" s="7">
        <f>R2295-S2295</f>
        <v>0</v>
      </c>
      <c r="U2295" s="7">
        <f>T2295*O2295</f>
        <v>0</v>
      </c>
    </row>
    <row r="2296" spans="1:21">
      <c r="A2296" s="4" t="s">
        <v>3408</v>
      </c>
      <c r="B2296" s="4" t="s">
        <v>39</v>
      </c>
      <c r="C2296" s="5">
        <v>45954.26125</v>
      </c>
      <c r="D2296" s="5">
        <v>45954</v>
      </c>
      <c r="E2296" s="6">
        <f>IF(AND(C2296&lt;&gt;"",D2296&lt;&gt;""),D2296-C2296,"")</f>
        <v>0</v>
      </c>
      <c r="F2296" s="4" t="s">
        <v>1074</v>
      </c>
      <c r="G2296" s="4" t="s">
        <v>3409</v>
      </c>
      <c r="H2296" s="4" t="s">
        <v>32</v>
      </c>
      <c r="I2296" s="4" t="s">
        <v>33</v>
      </c>
      <c r="J2296" s="4">
        <v>1</v>
      </c>
      <c r="K2296" s="4">
        <v>0</v>
      </c>
      <c r="L2296" s="4">
        <f>J2296+K2296</f>
        <v>0</v>
      </c>
      <c r="M2296" s="4" t="s">
        <v>80</v>
      </c>
      <c r="N2296" s="4"/>
      <c r="O2296" s="4">
        <v>1</v>
      </c>
      <c r="P2296" s="4" t="s">
        <v>135</v>
      </c>
      <c r="Q2296" s="4"/>
      <c r="R2296" s="7">
        <v>610000</v>
      </c>
      <c r="S2296" s="7">
        <v>0</v>
      </c>
      <c r="T2296" s="7">
        <f>R2296-S2296</f>
        <v>0</v>
      </c>
      <c r="U2296" s="7">
        <f>T2296*O2296</f>
        <v>0</v>
      </c>
    </row>
    <row r="2297" spans="1:21">
      <c r="A2297" s="4" t="s">
        <v>3408</v>
      </c>
      <c r="B2297" s="4" t="s">
        <v>39</v>
      </c>
      <c r="C2297" s="5">
        <v>45954.26125</v>
      </c>
      <c r="D2297" s="5">
        <v>45954</v>
      </c>
      <c r="E2297" s="6">
        <f>IF(AND(C2297&lt;&gt;"",D2297&lt;&gt;""),D2297-C2297,"")</f>
        <v>0</v>
      </c>
      <c r="F2297" s="4" t="s">
        <v>1074</v>
      </c>
      <c r="G2297" s="4" t="s">
        <v>3409</v>
      </c>
      <c r="H2297" s="4" t="s">
        <v>32</v>
      </c>
      <c r="I2297" s="4" t="s">
        <v>33</v>
      </c>
      <c r="J2297" s="4">
        <v>1</v>
      </c>
      <c r="K2297" s="4">
        <v>0</v>
      </c>
      <c r="L2297" s="4">
        <f>J2297+K2297</f>
        <v>0</v>
      </c>
      <c r="M2297" s="4" t="s">
        <v>80</v>
      </c>
      <c r="N2297" s="4"/>
      <c r="O2297" s="4">
        <v>1</v>
      </c>
      <c r="P2297" s="4" t="s">
        <v>135</v>
      </c>
      <c r="Q2297" s="4"/>
      <c r="R2297" s="7">
        <v>610000</v>
      </c>
      <c r="S2297" s="7">
        <v>0</v>
      </c>
      <c r="T2297" s="7">
        <f>R2297-S2297</f>
        <v>0</v>
      </c>
      <c r="U2297" s="7">
        <f>T2297*O2297</f>
        <v>0</v>
      </c>
    </row>
    <row r="2298" spans="1:21">
      <c r="A2298" s="4" t="s">
        <v>3408</v>
      </c>
      <c r="B2298" s="4" t="s">
        <v>39</v>
      </c>
      <c r="C2298" s="5">
        <v>45954.26125</v>
      </c>
      <c r="D2298" s="5">
        <v>45954</v>
      </c>
      <c r="E2298" s="6">
        <f>IF(AND(C2298&lt;&gt;"",D2298&lt;&gt;""),D2298-C2298,"")</f>
        <v>0</v>
      </c>
      <c r="F2298" s="4" t="s">
        <v>1074</v>
      </c>
      <c r="G2298" s="4" t="s">
        <v>3409</v>
      </c>
      <c r="H2298" s="4" t="s">
        <v>32</v>
      </c>
      <c r="I2298" s="4" t="s">
        <v>33</v>
      </c>
      <c r="J2298" s="4">
        <v>0</v>
      </c>
      <c r="K2298" s="4">
        <v>1</v>
      </c>
      <c r="L2298" s="4">
        <f>J2298+K2298</f>
        <v>0</v>
      </c>
      <c r="M2298" s="4" t="s">
        <v>81</v>
      </c>
      <c r="N2298" s="4"/>
      <c r="O2298" s="4">
        <v>1</v>
      </c>
      <c r="P2298" s="4" t="s">
        <v>135</v>
      </c>
      <c r="Q2298" s="4"/>
      <c r="R2298" s="7">
        <v>495000</v>
      </c>
      <c r="S2298" s="7">
        <v>0</v>
      </c>
      <c r="T2298" s="7">
        <f>R2298-S2298</f>
        <v>0</v>
      </c>
      <c r="U2298" s="7">
        <f>T2298*O2298</f>
        <v>0</v>
      </c>
    </row>
    <row r="2299" spans="1:21">
      <c r="A2299" s="4" t="s">
        <v>3410</v>
      </c>
      <c r="B2299" s="4" t="s">
        <v>103</v>
      </c>
      <c r="C2299" s="5">
        <v>45954.26819444444</v>
      </c>
      <c r="D2299" s="5">
        <v>45961</v>
      </c>
      <c r="E2299" s="6">
        <f>IF(AND(C2299&lt;&gt;"",D2299&lt;&gt;""),D2299-C2299,"")</f>
        <v>0</v>
      </c>
      <c r="F2299" s="4" t="s">
        <v>219</v>
      </c>
      <c r="G2299" s="4" t="s">
        <v>3411</v>
      </c>
      <c r="H2299" s="4" t="s">
        <v>190</v>
      </c>
      <c r="I2299" s="4" t="s">
        <v>56</v>
      </c>
      <c r="J2299" s="4">
        <v>1</v>
      </c>
      <c r="K2299" s="4">
        <v>0</v>
      </c>
      <c r="L2299" s="4">
        <f>J2299+K2299</f>
        <v>0</v>
      </c>
      <c r="M2299" s="4"/>
      <c r="N2299" s="4"/>
      <c r="O2299" s="4">
        <v>0</v>
      </c>
      <c r="P2299" s="4"/>
      <c r="Q2299" s="4"/>
      <c r="R2299" s="7">
        <v>0</v>
      </c>
      <c r="S2299" s="7">
        <v>0</v>
      </c>
      <c r="T2299" s="7">
        <f>R2299-S2299</f>
        <v>0</v>
      </c>
      <c r="U2299" s="7">
        <f>T2299*O2299</f>
        <v>0</v>
      </c>
    </row>
    <row r="2300" spans="1:21">
      <c r="A2300" s="4" t="s">
        <v>3412</v>
      </c>
      <c r="B2300" s="4" t="s">
        <v>103</v>
      </c>
      <c r="C2300" s="5">
        <v>45954.27172453704</v>
      </c>
      <c r="D2300" s="5">
        <v>45961</v>
      </c>
      <c r="E2300" s="6">
        <f>IF(AND(C2300&lt;&gt;"",D2300&lt;&gt;""),D2300-C2300,"")</f>
        <v>0</v>
      </c>
      <c r="F2300" s="4" t="s">
        <v>3413</v>
      </c>
      <c r="G2300" s="4" t="s">
        <v>3414</v>
      </c>
      <c r="H2300" s="4" t="s">
        <v>190</v>
      </c>
      <c r="I2300" s="4" t="s">
        <v>56</v>
      </c>
      <c r="J2300" s="4">
        <v>1</v>
      </c>
      <c r="K2300" s="4">
        <v>0</v>
      </c>
      <c r="L2300" s="4">
        <f>J2300+K2300</f>
        <v>0</v>
      </c>
      <c r="M2300" s="4"/>
      <c r="N2300" s="4"/>
      <c r="O2300" s="4">
        <v>0</v>
      </c>
      <c r="P2300" s="4"/>
      <c r="Q2300" s="4"/>
      <c r="R2300" s="7">
        <v>0</v>
      </c>
      <c r="S2300" s="7">
        <v>0</v>
      </c>
      <c r="T2300" s="7">
        <f>R2300-S2300</f>
        <v>0</v>
      </c>
      <c r="U2300" s="7">
        <f>T2300*O2300</f>
        <v>0</v>
      </c>
    </row>
    <row r="2301" spans="1:21">
      <c r="A2301" s="4" t="s">
        <v>3415</v>
      </c>
      <c r="B2301" s="4" t="s">
        <v>39</v>
      </c>
      <c r="C2301" s="5">
        <v>45954.27671296296</v>
      </c>
      <c r="D2301" s="5">
        <v>45954</v>
      </c>
      <c r="E2301" s="6">
        <f>IF(AND(C2301&lt;&gt;"",D2301&lt;&gt;""),D2301-C2301,"")</f>
        <v>0</v>
      </c>
      <c r="F2301" s="4" t="s">
        <v>3036</v>
      </c>
      <c r="G2301" s="4" t="s">
        <v>3037</v>
      </c>
      <c r="H2301" s="4" t="s">
        <v>32</v>
      </c>
      <c r="I2301" s="4" t="s">
        <v>33</v>
      </c>
      <c r="J2301" s="4">
        <v>0</v>
      </c>
      <c r="K2301" s="4">
        <v>0</v>
      </c>
      <c r="L2301" s="4">
        <f>J2301+K2301</f>
        <v>0</v>
      </c>
      <c r="M2301" s="4" t="s">
        <v>1544</v>
      </c>
      <c r="N2301" s="4"/>
      <c r="O2301" s="4">
        <v>1</v>
      </c>
      <c r="P2301" s="4" t="s">
        <v>135</v>
      </c>
      <c r="Q2301" s="4"/>
      <c r="R2301" s="7">
        <v>112000</v>
      </c>
      <c r="S2301" s="7">
        <v>0</v>
      </c>
      <c r="T2301" s="7">
        <f>R2301-S2301</f>
        <v>0</v>
      </c>
      <c r="U2301" s="7">
        <f>T2301*O2301</f>
        <v>0</v>
      </c>
    </row>
    <row r="2302" spans="1:21">
      <c r="A2302" s="4" t="s">
        <v>3415</v>
      </c>
      <c r="B2302" s="4" t="s">
        <v>39</v>
      </c>
      <c r="C2302" s="5">
        <v>45954.27671296296</v>
      </c>
      <c r="D2302" s="5">
        <v>45954</v>
      </c>
      <c r="E2302" s="6">
        <f>IF(AND(C2302&lt;&gt;"",D2302&lt;&gt;""),D2302-C2302,"")</f>
        <v>0</v>
      </c>
      <c r="F2302" s="4" t="s">
        <v>3036</v>
      </c>
      <c r="G2302" s="4" t="s">
        <v>3037</v>
      </c>
      <c r="H2302" s="4" t="s">
        <v>32</v>
      </c>
      <c r="I2302" s="4" t="s">
        <v>33</v>
      </c>
      <c r="J2302" s="4">
        <v>0</v>
      </c>
      <c r="K2302" s="4">
        <v>0</v>
      </c>
      <c r="L2302" s="4">
        <f>J2302+K2302</f>
        <v>0</v>
      </c>
      <c r="M2302" s="4" t="s">
        <v>1419</v>
      </c>
      <c r="N2302" s="4"/>
      <c r="O2302" s="4">
        <v>1</v>
      </c>
      <c r="P2302" s="4" t="s">
        <v>135</v>
      </c>
      <c r="Q2302" s="4"/>
      <c r="R2302" s="7">
        <v>160000</v>
      </c>
      <c r="S2302" s="7">
        <v>0</v>
      </c>
      <c r="T2302" s="7">
        <f>R2302-S2302</f>
        <v>0</v>
      </c>
      <c r="U2302" s="7">
        <f>T2302*O2302</f>
        <v>0</v>
      </c>
    </row>
    <row r="2303" spans="1:21">
      <c r="A2303" s="4" t="s">
        <v>3415</v>
      </c>
      <c r="B2303" s="4" t="s">
        <v>39</v>
      </c>
      <c r="C2303" s="5">
        <v>45954.27671296296</v>
      </c>
      <c r="D2303" s="5">
        <v>45954</v>
      </c>
      <c r="E2303" s="6">
        <f>IF(AND(C2303&lt;&gt;"",D2303&lt;&gt;""),D2303-C2303,"")</f>
        <v>0</v>
      </c>
      <c r="F2303" s="4" t="s">
        <v>3036</v>
      </c>
      <c r="G2303" s="4" t="s">
        <v>3037</v>
      </c>
      <c r="H2303" s="4" t="s">
        <v>32</v>
      </c>
      <c r="I2303" s="4" t="s">
        <v>33</v>
      </c>
      <c r="J2303" s="4">
        <v>0</v>
      </c>
      <c r="K2303" s="4">
        <v>0</v>
      </c>
      <c r="L2303" s="4">
        <f>J2303+K2303</f>
        <v>0</v>
      </c>
      <c r="M2303" s="4" t="s">
        <v>1774</v>
      </c>
      <c r="N2303" s="4"/>
      <c r="O2303" s="4">
        <v>1</v>
      </c>
      <c r="P2303" s="4" t="s">
        <v>135</v>
      </c>
      <c r="Q2303" s="4"/>
      <c r="R2303" s="7">
        <v>163000</v>
      </c>
      <c r="S2303" s="7">
        <v>0</v>
      </c>
      <c r="T2303" s="7">
        <f>R2303-S2303</f>
        <v>0</v>
      </c>
      <c r="U2303" s="7">
        <f>T2303*O2303</f>
        <v>0</v>
      </c>
    </row>
    <row r="2304" spans="1:21">
      <c r="A2304" s="4" t="s">
        <v>3415</v>
      </c>
      <c r="B2304" s="4" t="s">
        <v>39</v>
      </c>
      <c r="C2304" s="5">
        <v>45954.27671296296</v>
      </c>
      <c r="D2304" s="5">
        <v>45954</v>
      </c>
      <c r="E2304" s="6">
        <f>IF(AND(C2304&lt;&gt;"",D2304&lt;&gt;""),D2304-C2304,"")</f>
        <v>0</v>
      </c>
      <c r="F2304" s="4" t="s">
        <v>3036</v>
      </c>
      <c r="G2304" s="4" t="s">
        <v>3037</v>
      </c>
      <c r="H2304" s="4" t="s">
        <v>32</v>
      </c>
      <c r="I2304" s="4" t="s">
        <v>33</v>
      </c>
      <c r="J2304" s="4">
        <v>0</v>
      </c>
      <c r="K2304" s="4">
        <v>0</v>
      </c>
      <c r="L2304" s="4">
        <f>J2304+K2304</f>
        <v>0</v>
      </c>
      <c r="M2304" s="4" t="s">
        <v>1828</v>
      </c>
      <c r="N2304" s="4"/>
      <c r="O2304" s="4">
        <v>1</v>
      </c>
      <c r="P2304" s="4" t="s">
        <v>135</v>
      </c>
      <c r="Q2304" s="4"/>
      <c r="R2304" s="7">
        <v>121000</v>
      </c>
      <c r="S2304" s="7">
        <v>0</v>
      </c>
      <c r="T2304" s="7">
        <f>R2304-S2304</f>
        <v>0</v>
      </c>
      <c r="U2304" s="7">
        <f>T2304*O2304</f>
        <v>0</v>
      </c>
    </row>
    <row r="2305" spans="1:21">
      <c r="A2305" s="4" t="s">
        <v>3415</v>
      </c>
      <c r="B2305" s="4" t="s">
        <v>39</v>
      </c>
      <c r="C2305" s="5">
        <v>45954.27671296296</v>
      </c>
      <c r="D2305" s="5">
        <v>45954</v>
      </c>
      <c r="E2305" s="6">
        <f>IF(AND(C2305&lt;&gt;"",D2305&lt;&gt;""),D2305-C2305,"")</f>
        <v>0</v>
      </c>
      <c r="F2305" s="4" t="s">
        <v>3036</v>
      </c>
      <c r="G2305" s="4" t="s">
        <v>3037</v>
      </c>
      <c r="H2305" s="4" t="s">
        <v>32</v>
      </c>
      <c r="I2305" s="4" t="s">
        <v>33</v>
      </c>
      <c r="J2305" s="4">
        <v>0</v>
      </c>
      <c r="K2305" s="4">
        <v>0</v>
      </c>
      <c r="L2305" s="4">
        <f>J2305+K2305</f>
        <v>0</v>
      </c>
      <c r="M2305" s="4" t="s">
        <v>3416</v>
      </c>
      <c r="N2305" s="4"/>
      <c r="O2305" s="4">
        <v>1</v>
      </c>
      <c r="P2305" s="4" t="s">
        <v>135</v>
      </c>
      <c r="Q2305" s="4"/>
      <c r="R2305" s="7">
        <v>163000</v>
      </c>
      <c r="S2305" s="7">
        <v>0</v>
      </c>
      <c r="T2305" s="7">
        <f>R2305-S2305</f>
        <v>0</v>
      </c>
      <c r="U2305" s="7">
        <f>T2305*O2305</f>
        <v>0</v>
      </c>
    </row>
    <row r="2306" spans="1:21">
      <c r="A2306" s="4" t="s">
        <v>3417</v>
      </c>
      <c r="B2306" s="4" t="s">
        <v>39</v>
      </c>
      <c r="C2306" s="5">
        <v>45954.28688657407</v>
      </c>
      <c r="D2306" s="5">
        <v>45954</v>
      </c>
      <c r="E2306" s="6">
        <f>IF(AND(C2306&lt;&gt;"",D2306&lt;&gt;""),D2306-C2306,"")</f>
        <v>0</v>
      </c>
      <c r="F2306" s="4" t="s">
        <v>3418</v>
      </c>
      <c r="G2306" s="4" t="s">
        <v>3419</v>
      </c>
      <c r="H2306" s="4" t="s">
        <v>32</v>
      </c>
      <c r="I2306" s="4" t="s">
        <v>33</v>
      </c>
      <c r="J2306" s="4">
        <v>1</v>
      </c>
      <c r="K2306" s="4">
        <v>0</v>
      </c>
      <c r="L2306" s="4">
        <f>J2306+K2306</f>
        <v>0</v>
      </c>
      <c r="M2306" s="4" t="s">
        <v>80</v>
      </c>
      <c r="N2306" s="4"/>
      <c r="O2306" s="4">
        <v>1</v>
      </c>
      <c r="P2306" s="4" t="s">
        <v>135</v>
      </c>
      <c r="Q2306" s="4"/>
      <c r="R2306" s="7">
        <v>610000</v>
      </c>
      <c r="S2306" s="7">
        <v>61000</v>
      </c>
      <c r="T2306" s="7">
        <f>R2306-S2306</f>
        <v>0</v>
      </c>
      <c r="U2306" s="7">
        <f>T2306*O2306</f>
        <v>0</v>
      </c>
    </row>
    <row r="2307" spans="1:21">
      <c r="A2307" s="4" t="s">
        <v>3420</v>
      </c>
      <c r="B2307" s="4" t="s">
        <v>39</v>
      </c>
      <c r="C2307" s="5">
        <v>45954.30665509259</v>
      </c>
      <c r="D2307" s="5">
        <v>45954</v>
      </c>
      <c r="E2307" s="6">
        <f>IF(AND(C2307&lt;&gt;"",D2307&lt;&gt;""),D2307-C2307,"")</f>
        <v>0</v>
      </c>
      <c r="F2307" s="4" t="s">
        <v>3421</v>
      </c>
      <c r="G2307" s="4" t="s">
        <v>3422</v>
      </c>
      <c r="H2307" s="4" t="s">
        <v>32</v>
      </c>
      <c r="I2307" s="4" t="s">
        <v>33</v>
      </c>
      <c r="J2307" s="4">
        <v>0</v>
      </c>
      <c r="K2307" s="4">
        <v>0</v>
      </c>
      <c r="L2307" s="4">
        <f>J2307+K2307</f>
        <v>0</v>
      </c>
      <c r="M2307" s="4" t="s">
        <v>370</v>
      </c>
      <c r="N2307" s="4"/>
      <c r="O2307" s="4">
        <v>1</v>
      </c>
      <c r="P2307" s="4" t="s">
        <v>135</v>
      </c>
      <c r="Q2307" s="4" t="s">
        <v>44</v>
      </c>
      <c r="R2307" s="7">
        <v>500000</v>
      </c>
      <c r="S2307" s="7">
        <v>0</v>
      </c>
      <c r="T2307" s="7">
        <f>R2307-S2307</f>
        <v>0</v>
      </c>
      <c r="U2307" s="7">
        <f>T2307*O2307</f>
        <v>0</v>
      </c>
    </row>
    <row r="2308" spans="1:21">
      <c r="A2308" s="4" t="s">
        <v>3420</v>
      </c>
      <c r="B2308" s="4" t="s">
        <v>39</v>
      </c>
      <c r="C2308" s="5">
        <v>45954.30665509259</v>
      </c>
      <c r="D2308" s="5">
        <v>45954</v>
      </c>
      <c r="E2308" s="6">
        <f>IF(AND(C2308&lt;&gt;"",D2308&lt;&gt;""),D2308-C2308,"")</f>
        <v>0</v>
      </c>
      <c r="F2308" s="4" t="s">
        <v>3421</v>
      </c>
      <c r="G2308" s="4" t="s">
        <v>3422</v>
      </c>
      <c r="H2308" s="4" t="s">
        <v>32</v>
      </c>
      <c r="I2308" s="4" t="s">
        <v>33</v>
      </c>
      <c r="J2308" s="4">
        <v>2</v>
      </c>
      <c r="K2308" s="4">
        <v>0</v>
      </c>
      <c r="L2308" s="4">
        <f>J2308+K2308</f>
        <v>0</v>
      </c>
      <c r="M2308" s="4" t="s">
        <v>42</v>
      </c>
      <c r="N2308" s="4"/>
      <c r="O2308" s="4">
        <v>2</v>
      </c>
      <c r="P2308" s="4" t="s">
        <v>135</v>
      </c>
      <c r="Q2308" s="4" t="s">
        <v>44</v>
      </c>
      <c r="R2308" s="7">
        <v>370000</v>
      </c>
      <c r="S2308" s="7">
        <v>37000</v>
      </c>
      <c r="T2308" s="7">
        <f>R2308-S2308</f>
        <v>0</v>
      </c>
      <c r="U2308" s="7">
        <f>T2308*O2308</f>
        <v>0</v>
      </c>
    </row>
    <row r="2309" spans="1:21">
      <c r="A2309" s="4" t="s">
        <v>3423</v>
      </c>
      <c r="B2309" s="4" t="s">
        <v>39</v>
      </c>
      <c r="C2309" s="5">
        <v>45954.31518518519</v>
      </c>
      <c r="D2309" s="5">
        <v>45954</v>
      </c>
      <c r="E2309" s="6">
        <f>IF(AND(C2309&lt;&gt;"",D2309&lt;&gt;""),D2309-C2309,"")</f>
        <v>0</v>
      </c>
      <c r="F2309" s="4" t="s">
        <v>3424</v>
      </c>
      <c r="G2309" s="4" t="s">
        <v>3425</v>
      </c>
      <c r="H2309" s="4" t="s">
        <v>1262</v>
      </c>
      <c r="I2309" s="4" t="s">
        <v>56</v>
      </c>
      <c r="J2309" s="4">
        <v>0</v>
      </c>
      <c r="K2309" s="4">
        <v>0</v>
      </c>
      <c r="L2309" s="4">
        <f>J2309+K2309</f>
        <v>0</v>
      </c>
      <c r="M2309" s="4" t="s">
        <v>370</v>
      </c>
      <c r="N2309" s="4"/>
      <c r="O2309" s="4">
        <v>1</v>
      </c>
      <c r="P2309" s="4" t="s">
        <v>135</v>
      </c>
      <c r="Q2309" s="4" t="s">
        <v>44</v>
      </c>
      <c r="R2309" s="7">
        <v>500000</v>
      </c>
      <c r="S2309" s="7">
        <v>0</v>
      </c>
      <c r="T2309" s="7">
        <f>R2309-S2309</f>
        <v>0</v>
      </c>
      <c r="U2309" s="7">
        <f>T2309*O2309</f>
        <v>0</v>
      </c>
    </row>
    <row r="2310" spans="1:21">
      <c r="A2310" s="4" t="s">
        <v>3423</v>
      </c>
      <c r="B2310" s="4" t="s">
        <v>39</v>
      </c>
      <c r="C2310" s="5">
        <v>45954.31518518519</v>
      </c>
      <c r="D2310" s="5">
        <v>45954</v>
      </c>
      <c r="E2310" s="6">
        <f>IF(AND(C2310&lt;&gt;"",D2310&lt;&gt;""),D2310-C2310,"")</f>
        <v>0</v>
      </c>
      <c r="F2310" s="4" t="s">
        <v>3424</v>
      </c>
      <c r="G2310" s="4" t="s">
        <v>3425</v>
      </c>
      <c r="H2310" s="4" t="s">
        <v>1262</v>
      </c>
      <c r="I2310" s="4" t="s">
        <v>56</v>
      </c>
      <c r="J2310" s="4">
        <v>1</v>
      </c>
      <c r="K2310" s="4">
        <v>0</v>
      </c>
      <c r="L2310" s="4">
        <f>J2310+K2310</f>
        <v>0</v>
      </c>
      <c r="M2310" s="4" t="s">
        <v>80</v>
      </c>
      <c r="N2310" s="4"/>
      <c r="O2310" s="4">
        <v>1</v>
      </c>
      <c r="P2310" s="4" t="s">
        <v>135</v>
      </c>
      <c r="Q2310" s="4" t="s">
        <v>44</v>
      </c>
      <c r="R2310" s="7">
        <v>610000</v>
      </c>
      <c r="S2310" s="7">
        <v>61000</v>
      </c>
      <c r="T2310" s="7">
        <f>R2310-S2310</f>
        <v>0</v>
      </c>
      <c r="U2310" s="7">
        <f>T2310*O2310</f>
        <v>0</v>
      </c>
    </row>
    <row r="2311" spans="1:21">
      <c r="A2311" s="4" t="s">
        <v>3426</v>
      </c>
      <c r="B2311" s="4" t="s">
        <v>39</v>
      </c>
      <c r="C2311" s="5">
        <v>45954.32851851852</v>
      </c>
      <c r="D2311" s="5">
        <v>45954</v>
      </c>
      <c r="E2311" s="6">
        <f>IF(AND(C2311&lt;&gt;"",D2311&lt;&gt;""),D2311-C2311,"")</f>
        <v>0</v>
      </c>
      <c r="F2311" s="4" t="s">
        <v>3427</v>
      </c>
      <c r="G2311" s="4" t="s">
        <v>3428</v>
      </c>
      <c r="H2311" s="4" t="s">
        <v>3429</v>
      </c>
      <c r="I2311" s="4" t="s">
        <v>56</v>
      </c>
      <c r="J2311" s="4">
        <v>0</v>
      </c>
      <c r="K2311" s="4">
        <v>0</v>
      </c>
      <c r="L2311" s="4">
        <f>J2311+K2311</f>
        <v>0</v>
      </c>
      <c r="M2311" s="4" t="s">
        <v>370</v>
      </c>
      <c r="N2311" s="4"/>
      <c r="O2311" s="4">
        <v>1</v>
      </c>
      <c r="P2311" s="4" t="s">
        <v>43</v>
      </c>
      <c r="Q2311" s="4" t="s">
        <v>44</v>
      </c>
      <c r="R2311" s="7">
        <v>200000</v>
      </c>
      <c r="S2311" s="7">
        <v>0</v>
      </c>
      <c r="T2311" s="7">
        <f>R2311-S2311</f>
        <v>0</v>
      </c>
      <c r="U2311" s="7">
        <f>T2311*O2311</f>
        <v>0</v>
      </c>
    </row>
    <row r="2312" spans="1:21">
      <c r="A2312" s="4" t="s">
        <v>3426</v>
      </c>
      <c r="B2312" s="4" t="s">
        <v>39</v>
      </c>
      <c r="C2312" s="5">
        <v>45954.32851851852</v>
      </c>
      <c r="D2312" s="5">
        <v>45954</v>
      </c>
      <c r="E2312" s="6">
        <f>IF(AND(C2312&lt;&gt;"",D2312&lt;&gt;""),D2312-C2312,"")</f>
        <v>0</v>
      </c>
      <c r="F2312" s="4" t="s">
        <v>3427</v>
      </c>
      <c r="G2312" s="4" t="s">
        <v>3428</v>
      </c>
      <c r="H2312" s="4" t="s">
        <v>3429</v>
      </c>
      <c r="I2312" s="4" t="s">
        <v>56</v>
      </c>
      <c r="J2312" s="4">
        <v>2</v>
      </c>
      <c r="K2312" s="4">
        <v>0</v>
      </c>
      <c r="L2312" s="4">
        <f>J2312+K2312</f>
        <v>0</v>
      </c>
      <c r="M2312" s="4" t="s">
        <v>80</v>
      </c>
      <c r="N2312" s="4"/>
      <c r="O2312" s="4">
        <v>2</v>
      </c>
      <c r="P2312" s="4" t="s">
        <v>43</v>
      </c>
      <c r="Q2312" s="4" t="s">
        <v>44</v>
      </c>
      <c r="R2312" s="7">
        <v>610000</v>
      </c>
      <c r="S2312" s="7">
        <v>0</v>
      </c>
      <c r="T2312" s="7">
        <f>R2312-S2312</f>
        <v>0</v>
      </c>
      <c r="U2312" s="7">
        <f>T2312*O2312</f>
        <v>0</v>
      </c>
    </row>
    <row r="2313" spans="1:21">
      <c r="A2313" s="4" t="s">
        <v>3426</v>
      </c>
      <c r="B2313" s="4" t="s">
        <v>39</v>
      </c>
      <c r="C2313" s="5">
        <v>45954.32851851852</v>
      </c>
      <c r="D2313" s="5">
        <v>45954</v>
      </c>
      <c r="E2313" s="6">
        <f>IF(AND(C2313&lt;&gt;"",D2313&lt;&gt;""),D2313-C2313,"")</f>
        <v>0</v>
      </c>
      <c r="F2313" s="4" t="s">
        <v>3427</v>
      </c>
      <c r="G2313" s="4" t="s">
        <v>3428</v>
      </c>
      <c r="H2313" s="4" t="s">
        <v>3429</v>
      </c>
      <c r="I2313" s="4" t="s">
        <v>56</v>
      </c>
      <c r="J2313" s="4">
        <v>0</v>
      </c>
      <c r="K2313" s="4">
        <v>1</v>
      </c>
      <c r="L2313" s="4">
        <f>J2313+K2313</f>
        <v>0</v>
      </c>
      <c r="M2313" s="4" t="s">
        <v>81</v>
      </c>
      <c r="N2313" s="4"/>
      <c r="O2313" s="4">
        <v>1</v>
      </c>
      <c r="P2313" s="4" t="s">
        <v>43</v>
      </c>
      <c r="Q2313" s="4" t="s">
        <v>44</v>
      </c>
      <c r="R2313" s="7">
        <v>495000</v>
      </c>
      <c r="S2313" s="7">
        <v>0</v>
      </c>
      <c r="T2313" s="7">
        <f>R2313-S2313</f>
        <v>0</v>
      </c>
      <c r="U2313" s="7">
        <f>T2313*O2313</f>
        <v>0</v>
      </c>
    </row>
    <row r="2314" spans="1:21">
      <c r="A2314" s="4" t="s">
        <v>3430</v>
      </c>
      <c r="B2314" s="4" t="s">
        <v>39</v>
      </c>
      <c r="C2314" s="5">
        <v>45954.32854166667</v>
      </c>
      <c r="D2314" s="5">
        <v>45954</v>
      </c>
      <c r="E2314" s="6">
        <f>IF(AND(C2314&lt;&gt;"",D2314&lt;&gt;""),D2314-C2314,"")</f>
        <v>0</v>
      </c>
      <c r="F2314" s="4" t="s">
        <v>3431</v>
      </c>
      <c r="G2314" s="4" t="s">
        <v>3432</v>
      </c>
      <c r="H2314" s="4" t="s">
        <v>1262</v>
      </c>
      <c r="I2314" s="4" t="s">
        <v>56</v>
      </c>
      <c r="J2314" s="4">
        <v>2</v>
      </c>
      <c r="K2314" s="4">
        <v>0</v>
      </c>
      <c r="L2314" s="4">
        <f>J2314+K2314</f>
        <v>0</v>
      </c>
      <c r="M2314" s="4" t="s">
        <v>80</v>
      </c>
      <c r="N2314" s="4"/>
      <c r="O2314" s="4">
        <v>2</v>
      </c>
      <c r="P2314" s="4" t="s">
        <v>135</v>
      </c>
      <c r="Q2314" s="4" t="s">
        <v>44</v>
      </c>
      <c r="R2314" s="7">
        <v>610000</v>
      </c>
      <c r="S2314" s="7">
        <v>0</v>
      </c>
      <c r="T2314" s="7">
        <f>R2314-S2314</f>
        <v>0</v>
      </c>
      <c r="U2314" s="7">
        <f>T2314*O2314</f>
        <v>0</v>
      </c>
    </row>
    <row r="2315" spans="1:21">
      <c r="A2315" s="4" t="s">
        <v>3430</v>
      </c>
      <c r="B2315" s="4" t="s">
        <v>39</v>
      </c>
      <c r="C2315" s="5">
        <v>45954.32854166667</v>
      </c>
      <c r="D2315" s="5">
        <v>45954</v>
      </c>
      <c r="E2315" s="6">
        <f>IF(AND(C2315&lt;&gt;"",D2315&lt;&gt;""),D2315-C2315,"")</f>
        <v>0</v>
      </c>
      <c r="F2315" s="4" t="s">
        <v>3431</v>
      </c>
      <c r="G2315" s="4" t="s">
        <v>3432</v>
      </c>
      <c r="H2315" s="4" t="s">
        <v>1262</v>
      </c>
      <c r="I2315" s="4" t="s">
        <v>56</v>
      </c>
      <c r="J2315" s="4">
        <v>0</v>
      </c>
      <c r="K2315" s="4">
        <v>0</v>
      </c>
      <c r="L2315" s="4">
        <f>J2315+K2315</f>
        <v>0</v>
      </c>
      <c r="M2315" s="4" t="s">
        <v>370</v>
      </c>
      <c r="N2315" s="4"/>
      <c r="O2315" s="4">
        <v>0</v>
      </c>
      <c r="P2315" s="4" t="s">
        <v>135</v>
      </c>
      <c r="Q2315" s="4" t="s">
        <v>44</v>
      </c>
      <c r="R2315" s="7">
        <v>500000</v>
      </c>
      <c r="S2315" s="7">
        <v>0</v>
      </c>
      <c r="T2315" s="7">
        <f>R2315-S2315</f>
        <v>0</v>
      </c>
      <c r="U2315" s="7">
        <f>T2315*O2315</f>
        <v>0</v>
      </c>
    </row>
    <row r="2316" spans="1:21">
      <c r="A2316" s="4" t="s">
        <v>3430</v>
      </c>
      <c r="B2316" s="4" t="s">
        <v>39</v>
      </c>
      <c r="C2316" s="5">
        <v>45954.32854166667</v>
      </c>
      <c r="D2316" s="5">
        <v>45954</v>
      </c>
      <c r="E2316" s="6">
        <f>IF(AND(C2316&lt;&gt;"",D2316&lt;&gt;""),D2316-C2316,"")</f>
        <v>0</v>
      </c>
      <c r="F2316" s="4" t="s">
        <v>3431</v>
      </c>
      <c r="G2316" s="4" t="s">
        <v>3432</v>
      </c>
      <c r="H2316" s="4" t="s">
        <v>1262</v>
      </c>
      <c r="I2316" s="4" t="s">
        <v>56</v>
      </c>
      <c r="J2316" s="4">
        <v>0</v>
      </c>
      <c r="K2316" s="4">
        <v>1</v>
      </c>
      <c r="L2316" s="4">
        <f>J2316+K2316</f>
        <v>0</v>
      </c>
      <c r="M2316" s="4" t="s">
        <v>81</v>
      </c>
      <c r="N2316" s="4"/>
      <c r="O2316" s="4">
        <v>1</v>
      </c>
      <c r="P2316" s="4" t="s">
        <v>135</v>
      </c>
      <c r="Q2316" s="4" t="s">
        <v>44</v>
      </c>
      <c r="R2316" s="7">
        <v>495000</v>
      </c>
      <c r="S2316" s="7">
        <v>0</v>
      </c>
      <c r="T2316" s="7">
        <f>R2316-S2316</f>
        <v>0</v>
      </c>
      <c r="U2316" s="7">
        <f>T2316*O2316</f>
        <v>0</v>
      </c>
    </row>
    <row r="2317" spans="1:21">
      <c r="A2317" s="4" t="s">
        <v>3433</v>
      </c>
      <c r="B2317" s="4" t="s">
        <v>39</v>
      </c>
      <c r="C2317" s="5">
        <v>45954.32865740741</v>
      </c>
      <c r="D2317" s="5">
        <v>45954</v>
      </c>
      <c r="E2317" s="6">
        <f>IF(AND(C2317&lt;&gt;"",D2317&lt;&gt;""),D2317-C2317,"")</f>
        <v>0</v>
      </c>
      <c r="F2317" s="4" t="s">
        <v>3434</v>
      </c>
      <c r="G2317" s="4" t="s">
        <v>3435</v>
      </c>
      <c r="H2317" s="4" t="s">
        <v>177</v>
      </c>
      <c r="I2317" s="4" t="s">
        <v>56</v>
      </c>
      <c r="J2317" s="4">
        <v>0</v>
      </c>
      <c r="K2317" s="4">
        <v>0</v>
      </c>
      <c r="L2317" s="4">
        <f>J2317+K2317</f>
        <v>0</v>
      </c>
      <c r="M2317" s="4" t="s">
        <v>370</v>
      </c>
      <c r="N2317" s="4"/>
      <c r="O2317" s="4">
        <v>1</v>
      </c>
      <c r="P2317" s="4" t="s">
        <v>135</v>
      </c>
      <c r="Q2317" s="4" t="s">
        <v>44</v>
      </c>
      <c r="R2317" s="7">
        <v>500000</v>
      </c>
      <c r="S2317" s="7">
        <v>0</v>
      </c>
      <c r="T2317" s="7">
        <f>R2317-S2317</f>
        <v>0</v>
      </c>
      <c r="U2317" s="7">
        <f>T2317*O2317</f>
        <v>0</v>
      </c>
    </row>
    <row r="2318" spans="1:21">
      <c r="A2318" s="4" t="s">
        <v>3433</v>
      </c>
      <c r="B2318" s="4" t="s">
        <v>39</v>
      </c>
      <c r="C2318" s="5">
        <v>45954.32865740741</v>
      </c>
      <c r="D2318" s="5">
        <v>45954</v>
      </c>
      <c r="E2318" s="6">
        <f>IF(AND(C2318&lt;&gt;"",D2318&lt;&gt;""),D2318-C2318,"")</f>
        <v>0</v>
      </c>
      <c r="F2318" s="4" t="s">
        <v>3434</v>
      </c>
      <c r="G2318" s="4" t="s">
        <v>3435</v>
      </c>
      <c r="H2318" s="4" t="s">
        <v>177</v>
      </c>
      <c r="I2318" s="4" t="s">
        <v>56</v>
      </c>
      <c r="J2318" s="4">
        <v>0</v>
      </c>
      <c r="K2318" s="4">
        <v>0</v>
      </c>
      <c r="L2318" s="4">
        <f>J2318+K2318</f>
        <v>0</v>
      </c>
      <c r="M2318" s="4" t="s">
        <v>80</v>
      </c>
      <c r="N2318" s="4"/>
      <c r="O2318" s="4">
        <v>0</v>
      </c>
      <c r="P2318" s="4" t="s">
        <v>135</v>
      </c>
      <c r="Q2318" s="4" t="s">
        <v>44</v>
      </c>
      <c r="R2318" s="7">
        <v>610000</v>
      </c>
      <c r="S2318" s="7">
        <v>0</v>
      </c>
      <c r="T2318" s="7">
        <f>R2318-S2318</f>
        <v>0</v>
      </c>
      <c r="U2318" s="7">
        <f>T2318*O2318</f>
        <v>0</v>
      </c>
    </row>
    <row r="2319" spans="1:21">
      <c r="A2319" s="4" t="s">
        <v>3433</v>
      </c>
      <c r="B2319" s="4" t="s">
        <v>39</v>
      </c>
      <c r="C2319" s="5">
        <v>45954.32865740741</v>
      </c>
      <c r="D2319" s="5">
        <v>45954</v>
      </c>
      <c r="E2319" s="6">
        <f>IF(AND(C2319&lt;&gt;"",D2319&lt;&gt;""),D2319-C2319,"")</f>
        <v>0</v>
      </c>
      <c r="F2319" s="4" t="s">
        <v>3434</v>
      </c>
      <c r="G2319" s="4" t="s">
        <v>3435</v>
      </c>
      <c r="H2319" s="4" t="s">
        <v>177</v>
      </c>
      <c r="I2319" s="4" t="s">
        <v>56</v>
      </c>
      <c r="J2319" s="4">
        <v>0</v>
      </c>
      <c r="K2319" s="4">
        <v>1</v>
      </c>
      <c r="L2319" s="4">
        <f>J2319+K2319</f>
        <v>0</v>
      </c>
      <c r="M2319" s="4" t="s">
        <v>81</v>
      </c>
      <c r="N2319" s="4"/>
      <c r="O2319" s="4">
        <v>1</v>
      </c>
      <c r="P2319" s="4" t="s">
        <v>135</v>
      </c>
      <c r="Q2319" s="4" t="s">
        <v>44</v>
      </c>
      <c r="R2319" s="7">
        <v>495000</v>
      </c>
      <c r="S2319" s="7">
        <v>0</v>
      </c>
      <c r="T2319" s="7">
        <f>R2319-S2319</f>
        <v>0</v>
      </c>
      <c r="U2319" s="7">
        <f>T2319*O2319</f>
        <v>0</v>
      </c>
    </row>
    <row r="2320" spans="1:21">
      <c r="A2320" s="4" t="s">
        <v>3433</v>
      </c>
      <c r="B2320" s="4" t="s">
        <v>39</v>
      </c>
      <c r="C2320" s="5">
        <v>45954.32865740741</v>
      </c>
      <c r="D2320" s="5">
        <v>45954</v>
      </c>
      <c r="E2320" s="6">
        <f>IF(AND(C2320&lt;&gt;"",D2320&lt;&gt;""),D2320-C2320,"")</f>
        <v>0</v>
      </c>
      <c r="F2320" s="4" t="s">
        <v>3434</v>
      </c>
      <c r="G2320" s="4" t="s">
        <v>3435</v>
      </c>
      <c r="H2320" s="4" t="s">
        <v>177</v>
      </c>
      <c r="I2320" s="4" t="s">
        <v>56</v>
      </c>
      <c r="J2320" s="4">
        <v>2</v>
      </c>
      <c r="K2320" s="4">
        <v>0</v>
      </c>
      <c r="L2320" s="4">
        <f>J2320+K2320</f>
        <v>0</v>
      </c>
      <c r="M2320" s="4" t="s">
        <v>80</v>
      </c>
      <c r="N2320" s="4"/>
      <c r="O2320" s="4">
        <v>2</v>
      </c>
      <c r="P2320" s="4" t="s">
        <v>135</v>
      </c>
      <c r="Q2320" s="4" t="s">
        <v>44</v>
      </c>
      <c r="R2320" s="7">
        <v>610000</v>
      </c>
      <c r="S2320" s="7">
        <v>0</v>
      </c>
      <c r="T2320" s="7">
        <f>R2320-S2320</f>
        <v>0</v>
      </c>
      <c r="U2320" s="7">
        <f>T2320*O2320</f>
        <v>0</v>
      </c>
    </row>
    <row r="2321" spans="1:21">
      <c r="A2321" s="4" t="s">
        <v>3436</v>
      </c>
      <c r="B2321" s="4" t="s">
        <v>39</v>
      </c>
      <c r="C2321" s="5">
        <v>45954.32871527778</v>
      </c>
      <c r="D2321" s="5">
        <v>45954</v>
      </c>
      <c r="E2321" s="6">
        <f>IF(AND(C2321&lt;&gt;"",D2321&lt;&gt;""),D2321-C2321,"")</f>
        <v>0</v>
      </c>
      <c r="F2321" s="4" t="s">
        <v>3437</v>
      </c>
      <c r="G2321" s="4" t="s">
        <v>3438</v>
      </c>
      <c r="H2321" s="4" t="s">
        <v>3429</v>
      </c>
      <c r="I2321" s="4" t="s">
        <v>56</v>
      </c>
      <c r="J2321" s="4">
        <v>0</v>
      </c>
      <c r="K2321" s="4">
        <v>0</v>
      </c>
      <c r="L2321" s="4">
        <f>J2321+K2321</f>
        <v>0</v>
      </c>
      <c r="M2321" s="4" t="s">
        <v>370</v>
      </c>
      <c r="N2321" s="4"/>
      <c r="O2321" s="4">
        <v>1</v>
      </c>
      <c r="P2321" s="4" t="s">
        <v>135</v>
      </c>
      <c r="Q2321" s="4" t="s">
        <v>44</v>
      </c>
      <c r="R2321" s="7">
        <v>2000000</v>
      </c>
      <c r="S2321" s="7">
        <v>0</v>
      </c>
      <c r="T2321" s="7">
        <f>R2321-S2321</f>
        <v>0</v>
      </c>
      <c r="U2321" s="7">
        <f>T2321*O2321</f>
        <v>0</v>
      </c>
    </row>
    <row r="2322" spans="1:21">
      <c r="A2322" s="4" t="s">
        <v>3436</v>
      </c>
      <c r="B2322" s="4" t="s">
        <v>39</v>
      </c>
      <c r="C2322" s="5">
        <v>45954.32871527778</v>
      </c>
      <c r="D2322" s="5">
        <v>45954</v>
      </c>
      <c r="E2322" s="6">
        <f>IF(AND(C2322&lt;&gt;"",D2322&lt;&gt;""),D2322-C2322,"")</f>
        <v>0</v>
      </c>
      <c r="F2322" s="4" t="s">
        <v>3437</v>
      </c>
      <c r="G2322" s="4" t="s">
        <v>3438</v>
      </c>
      <c r="H2322" s="4" t="s">
        <v>3429</v>
      </c>
      <c r="I2322" s="4" t="s">
        <v>56</v>
      </c>
      <c r="J2322" s="4">
        <v>3</v>
      </c>
      <c r="K2322" s="4">
        <v>0</v>
      </c>
      <c r="L2322" s="4">
        <f>J2322+K2322</f>
        <v>0</v>
      </c>
      <c r="M2322" s="4" t="s">
        <v>80</v>
      </c>
      <c r="N2322" s="4"/>
      <c r="O2322" s="4">
        <v>3</v>
      </c>
      <c r="P2322" s="4" t="s">
        <v>135</v>
      </c>
      <c r="Q2322" s="4" t="s">
        <v>44</v>
      </c>
      <c r="R2322" s="7">
        <v>610000</v>
      </c>
      <c r="S2322" s="7">
        <v>0</v>
      </c>
      <c r="T2322" s="7">
        <f>R2322-S2322</f>
        <v>0</v>
      </c>
      <c r="U2322" s="7">
        <f>T2322*O2322</f>
        <v>0</v>
      </c>
    </row>
    <row r="2323" spans="1:21">
      <c r="A2323" s="4" t="s">
        <v>3439</v>
      </c>
      <c r="B2323" s="4" t="s">
        <v>39</v>
      </c>
      <c r="C2323" s="5">
        <v>45954.33875</v>
      </c>
      <c r="D2323" s="5">
        <v>45954</v>
      </c>
      <c r="E2323" s="6">
        <f>IF(AND(C2323&lt;&gt;"",D2323&lt;&gt;""),D2323-C2323,"")</f>
        <v>0</v>
      </c>
      <c r="F2323" s="4" t="s">
        <v>3427</v>
      </c>
      <c r="G2323" s="4" t="s">
        <v>3428</v>
      </c>
      <c r="H2323" s="4" t="s">
        <v>3429</v>
      </c>
      <c r="I2323" s="4" t="s">
        <v>56</v>
      </c>
      <c r="J2323" s="4">
        <v>0</v>
      </c>
      <c r="K2323" s="4">
        <v>0</v>
      </c>
      <c r="L2323" s="4">
        <f>J2323+K2323</f>
        <v>0</v>
      </c>
      <c r="M2323" s="4" t="s">
        <v>247</v>
      </c>
      <c r="N2323" s="4"/>
      <c r="O2323" s="4">
        <v>1</v>
      </c>
      <c r="P2323" s="4" t="s">
        <v>135</v>
      </c>
      <c r="Q2323" s="4" t="s">
        <v>44</v>
      </c>
      <c r="R2323" s="7">
        <v>55000</v>
      </c>
      <c r="S2323" s="7">
        <v>0</v>
      </c>
      <c r="T2323" s="7">
        <f>R2323-S2323</f>
        <v>0</v>
      </c>
      <c r="U2323" s="7">
        <f>T2323*O2323</f>
        <v>0</v>
      </c>
    </row>
    <row r="2324" spans="1:21">
      <c r="A2324" s="4" t="s">
        <v>3440</v>
      </c>
      <c r="B2324" s="4" t="s">
        <v>39</v>
      </c>
      <c r="C2324" s="5">
        <v>45954.35244212963</v>
      </c>
      <c r="D2324" s="5">
        <v>45954</v>
      </c>
      <c r="E2324" s="6">
        <f>IF(AND(C2324&lt;&gt;"",D2324&lt;&gt;""),D2324-C2324,"")</f>
        <v>0</v>
      </c>
      <c r="F2324" s="4" t="s">
        <v>3441</v>
      </c>
      <c r="G2324" s="4" t="s">
        <v>3442</v>
      </c>
      <c r="H2324" s="4" t="s">
        <v>32</v>
      </c>
      <c r="I2324" s="4" t="s">
        <v>33</v>
      </c>
      <c r="J2324" s="4">
        <v>1</v>
      </c>
      <c r="K2324" s="4">
        <v>0</v>
      </c>
      <c r="L2324" s="4">
        <f>J2324+K2324</f>
        <v>0</v>
      </c>
      <c r="M2324" s="4" t="s">
        <v>1645</v>
      </c>
      <c r="N2324" s="4"/>
      <c r="O2324" s="4">
        <v>1</v>
      </c>
      <c r="P2324" s="4" t="s">
        <v>135</v>
      </c>
      <c r="Q2324" s="4"/>
      <c r="R2324" s="7">
        <v>2100000</v>
      </c>
      <c r="S2324" s="7">
        <v>0</v>
      </c>
      <c r="T2324" s="7">
        <f>R2324-S2324</f>
        <v>0</v>
      </c>
      <c r="U2324" s="7">
        <f>T2324*O2324</f>
        <v>0</v>
      </c>
    </row>
    <row r="2325" spans="1:21">
      <c r="A2325" s="4" t="s">
        <v>3440</v>
      </c>
      <c r="B2325" s="4" t="s">
        <v>39</v>
      </c>
      <c r="C2325" s="5">
        <v>45954.35244212963</v>
      </c>
      <c r="D2325" s="5">
        <v>45954</v>
      </c>
      <c r="E2325" s="6">
        <f>IF(AND(C2325&lt;&gt;"",D2325&lt;&gt;""),D2325-C2325,"")</f>
        <v>0</v>
      </c>
      <c r="F2325" s="4" t="s">
        <v>3441</v>
      </c>
      <c r="G2325" s="4" t="s">
        <v>3442</v>
      </c>
      <c r="H2325" s="4" t="s">
        <v>32</v>
      </c>
      <c r="I2325" s="4" t="s">
        <v>33</v>
      </c>
      <c r="J2325" s="4">
        <v>2</v>
      </c>
      <c r="K2325" s="4">
        <v>0</v>
      </c>
      <c r="L2325" s="4">
        <f>J2325+K2325</f>
        <v>0</v>
      </c>
      <c r="M2325" s="4" t="s">
        <v>80</v>
      </c>
      <c r="N2325" s="4"/>
      <c r="O2325" s="4">
        <v>2</v>
      </c>
      <c r="P2325" s="4" t="s">
        <v>135</v>
      </c>
      <c r="Q2325" s="4"/>
      <c r="R2325" s="7">
        <v>610000</v>
      </c>
      <c r="S2325" s="7">
        <v>0</v>
      </c>
      <c r="T2325" s="7">
        <f>R2325-S2325</f>
        <v>0</v>
      </c>
      <c r="U2325" s="7">
        <f>T2325*O2325</f>
        <v>0</v>
      </c>
    </row>
    <row r="2326" spans="1:21">
      <c r="A2326" s="4" t="s">
        <v>3443</v>
      </c>
      <c r="B2326" s="4" t="s">
        <v>39</v>
      </c>
      <c r="C2326" s="5">
        <v>45954.35555555556</v>
      </c>
      <c r="D2326" s="5">
        <v>45954</v>
      </c>
      <c r="E2326" s="6">
        <f>IF(AND(C2326&lt;&gt;"",D2326&lt;&gt;""),D2326-C2326,"")</f>
        <v>0</v>
      </c>
      <c r="F2326" s="4" t="s">
        <v>3444</v>
      </c>
      <c r="G2326" s="4" t="s">
        <v>3445</v>
      </c>
      <c r="H2326" s="4" t="s">
        <v>32</v>
      </c>
      <c r="I2326" s="4" t="s">
        <v>33</v>
      </c>
      <c r="J2326" s="4">
        <v>0</v>
      </c>
      <c r="K2326" s="4">
        <v>0</v>
      </c>
      <c r="L2326" s="4">
        <f>J2326+K2326</f>
        <v>0</v>
      </c>
      <c r="M2326" s="4" t="s">
        <v>370</v>
      </c>
      <c r="N2326" s="4"/>
      <c r="O2326" s="4">
        <v>1</v>
      </c>
      <c r="P2326" s="4" t="s">
        <v>43</v>
      </c>
      <c r="Q2326" s="4" t="s">
        <v>44</v>
      </c>
      <c r="R2326" s="7">
        <v>100000</v>
      </c>
      <c r="S2326" s="7">
        <v>0</v>
      </c>
      <c r="T2326" s="7">
        <f>R2326-S2326</f>
        <v>0</v>
      </c>
      <c r="U2326" s="7">
        <f>T2326*O2326</f>
        <v>0</v>
      </c>
    </row>
    <row r="2327" spans="1:21">
      <c r="A2327" s="4" t="s">
        <v>3443</v>
      </c>
      <c r="B2327" s="4" t="s">
        <v>39</v>
      </c>
      <c r="C2327" s="5">
        <v>45954.35555555556</v>
      </c>
      <c r="D2327" s="5">
        <v>45954</v>
      </c>
      <c r="E2327" s="6">
        <f>IF(AND(C2327&lt;&gt;"",D2327&lt;&gt;""),D2327-C2327,"")</f>
        <v>0</v>
      </c>
      <c r="F2327" s="4" t="s">
        <v>3444</v>
      </c>
      <c r="G2327" s="4" t="s">
        <v>3445</v>
      </c>
      <c r="H2327" s="4" t="s">
        <v>32</v>
      </c>
      <c r="I2327" s="4" t="s">
        <v>33</v>
      </c>
      <c r="J2327" s="4">
        <v>0</v>
      </c>
      <c r="K2327" s="4">
        <v>0</v>
      </c>
      <c r="L2327" s="4">
        <f>J2327+K2327</f>
        <v>0</v>
      </c>
      <c r="M2327" s="4" t="s">
        <v>370</v>
      </c>
      <c r="N2327" s="4"/>
      <c r="O2327" s="4">
        <v>1</v>
      </c>
      <c r="P2327" s="4" t="s">
        <v>43</v>
      </c>
      <c r="Q2327" s="4" t="s">
        <v>44</v>
      </c>
      <c r="R2327" s="7">
        <v>0</v>
      </c>
      <c r="S2327" s="7">
        <v>0</v>
      </c>
      <c r="T2327" s="7">
        <f>R2327-S2327</f>
        <v>0</v>
      </c>
      <c r="U2327" s="7">
        <f>T2327*O2327</f>
        <v>0</v>
      </c>
    </row>
    <row r="2328" spans="1:21">
      <c r="A2328" s="4" t="s">
        <v>3446</v>
      </c>
      <c r="B2328" s="4" t="s">
        <v>39</v>
      </c>
      <c r="C2328" s="5">
        <v>45954.37137731481</v>
      </c>
      <c r="D2328" s="5">
        <v>45954</v>
      </c>
      <c r="E2328" s="6">
        <f>IF(AND(C2328&lt;&gt;"",D2328&lt;&gt;""),D2328-C2328,"")</f>
        <v>0</v>
      </c>
      <c r="F2328" s="4" t="s">
        <v>3019</v>
      </c>
      <c r="G2328" s="4" t="s">
        <v>3020</v>
      </c>
      <c r="H2328" s="4" t="s">
        <v>190</v>
      </c>
      <c r="I2328" s="4" t="s">
        <v>56</v>
      </c>
      <c r="J2328" s="4">
        <v>1</v>
      </c>
      <c r="K2328" s="4">
        <v>0</v>
      </c>
      <c r="L2328" s="4">
        <f>J2328+K2328</f>
        <v>0</v>
      </c>
      <c r="M2328" s="4" t="s">
        <v>80</v>
      </c>
      <c r="N2328" s="4"/>
      <c r="O2328" s="4">
        <v>1</v>
      </c>
      <c r="P2328" s="4" t="s">
        <v>135</v>
      </c>
      <c r="Q2328" s="4" t="s">
        <v>44</v>
      </c>
      <c r="R2328" s="7">
        <v>620000</v>
      </c>
      <c r="S2328" s="7">
        <v>0</v>
      </c>
      <c r="T2328" s="7">
        <f>R2328-S2328</f>
        <v>0</v>
      </c>
      <c r="U2328" s="7">
        <f>T2328*O2328</f>
        <v>0</v>
      </c>
    </row>
    <row r="2329" spans="1:21">
      <c r="A2329" s="4" t="s">
        <v>3447</v>
      </c>
      <c r="B2329" s="4" t="s">
        <v>39</v>
      </c>
      <c r="C2329" s="5">
        <v>45954.3779050926</v>
      </c>
      <c r="D2329" s="5">
        <v>45954</v>
      </c>
      <c r="E2329" s="6">
        <f>IF(AND(C2329&lt;&gt;"",D2329&lt;&gt;""),D2329-C2329,"")</f>
        <v>0</v>
      </c>
      <c r="F2329" s="4" t="s">
        <v>114</v>
      </c>
      <c r="G2329" s="4"/>
      <c r="H2329" s="4"/>
      <c r="I2329" s="4" t="s">
        <v>56</v>
      </c>
      <c r="J2329" s="4">
        <v>1</v>
      </c>
      <c r="K2329" s="4">
        <v>0</v>
      </c>
      <c r="L2329" s="4">
        <f>J2329+K2329</f>
        <v>0</v>
      </c>
      <c r="M2329" s="4" t="s">
        <v>80</v>
      </c>
      <c r="N2329" s="4"/>
      <c r="O2329" s="4">
        <v>1</v>
      </c>
      <c r="P2329" s="4" t="s">
        <v>135</v>
      </c>
      <c r="Q2329" s="4" t="s">
        <v>44</v>
      </c>
      <c r="R2329" s="7">
        <v>610000</v>
      </c>
      <c r="S2329" s="7">
        <v>610000</v>
      </c>
      <c r="T2329" s="7">
        <f>R2329-S2329</f>
        <v>0</v>
      </c>
      <c r="U2329" s="7">
        <f>T2329*O2329</f>
        <v>0</v>
      </c>
    </row>
    <row r="2330" spans="1:21">
      <c r="A2330" s="4" t="s">
        <v>3448</v>
      </c>
      <c r="B2330" s="4" t="s">
        <v>39</v>
      </c>
      <c r="C2330" s="5">
        <v>45954.38967592592</v>
      </c>
      <c r="D2330" s="5">
        <v>45954</v>
      </c>
      <c r="E2330" s="6">
        <f>IF(AND(C2330&lt;&gt;"",D2330&lt;&gt;""),D2330-C2330,"")</f>
        <v>0</v>
      </c>
      <c r="F2330" s="4" t="s">
        <v>219</v>
      </c>
      <c r="G2330" s="4" t="s">
        <v>3449</v>
      </c>
      <c r="H2330" s="4" t="s">
        <v>32</v>
      </c>
      <c r="I2330" s="4" t="s">
        <v>33</v>
      </c>
      <c r="J2330" s="4">
        <v>3</v>
      </c>
      <c r="K2330" s="4">
        <v>0</v>
      </c>
      <c r="L2330" s="4">
        <f>J2330+K2330</f>
        <v>0</v>
      </c>
      <c r="M2330" s="4" t="s">
        <v>80</v>
      </c>
      <c r="N2330" s="4"/>
      <c r="O2330" s="4">
        <v>3</v>
      </c>
      <c r="P2330" s="4" t="s">
        <v>135</v>
      </c>
      <c r="Q2330" s="4"/>
      <c r="R2330" s="7">
        <v>610000</v>
      </c>
      <c r="S2330" s="7">
        <v>0</v>
      </c>
      <c r="T2330" s="7">
        <f>R2330-S2330</f>
        <v>0</v>
      </c>
      <c r="U2330" s="7">
        <f>T2330*O2330</f>
        <v>0</v>
      </c>
    </row>
    <row r="2331" spans="1:21">
      <c r="A2331" s="4" t="s">
        <v>3448</v>
      </c>
      <c r="B2331" s="4" t="s">
        <v>39</v>
      </c>
      <c r="C2331" s="5">
        <v>45954.38967592592</v>
      </c>
      <c r="D2331" s="5">
        <v>45954</v>
      </c>
      <c r="E2331" s="6">
        <f>IF(AND(C2331&lt;&gt;"",D2331&lt;&gt;""),D2331-C2331,"")</f>
        <v>0</v>
      </c>
      <c r="F2331" s="4" t="s">
        <v>219</v>
      </c>
      <c r="G2331" s="4" t="s">
        <v>3449</v>
      </c>
      <c r="H2331" s="4" t="s">
        <v>32</v>
      </c>
      <c r="I2331" s="4" t="s">
        <v>33</v>
      </c>
      <c r="J2331" s="4">
        <v>2</v>
      </c>
      <c r="K2331" s="4">
        <v>0</v>
      </c>
      <c r="L2331" s="4">
        <f>J2331+K2331</f>
        <v>0</v>
      </c>
      <c r="M2331" s="4" t="s">
        <v>42</v>
      </c>
      <c r="N2331" s="4"/>
      <c r="O2331" s="4">
        <v>2</v>
      </c>
      <c r="P2331" s="4" t="s">
        <v>135</v>
      </c>
      <c r="Q2331" s="4"/>
      <c r="R2331" s="7">
        <v>370000</v>
      </c>
      <c r="S2331" s="7">
        <v>0</v>
      </c>
      <c r="T2331" s="7">
        <f>R2331-S2331</f>
        <v>0</v>
      </c>
      <c r="U2331" s="7">
        <f>T2331*O2331</f>
        <v>0</v>
      </c>
    </row>
    <row r="2332" spans="1:21">
      <c r="A2332" s="4" t="s">
        <v>3450</v>
      </c>
      <c r="B2332" s="4" t="s">
        <v>48</v>
      </c>
      <c r="C2332" s="5">
        <v>45954.40850694444</v>
      </c>
      <c r="D2332" s="5">
        <v>45961</v>
      </c>
      <c r="E2332" s="6">
        <f>IF(AND(C2332&lt;&gt;"",D2332&lt;&gt;""),D2332-C2332,"")</f>
        <v>0</v>
      </c>
      <c r="F2332" s="4" t="s">
        <v>3451</v>
      </c>
      <c r="G2332" s="4" t="s">
        <v>3452</v>
      </c>
      <c r="H2332" s="4" t="s">
        <v>32</v>
      </c>
      <c r="I2332" s="4" t="s">
        <v>33</v>
      </c>
      <c r="J2332" s="4">
        <v>8</v>
      </c>
      <c r="K2332" s="4">
        <v>0</v>
      </c>
      <c r="L2332" s="4">
        <f>J2332+K2332</f>
        <v>0</v>
      </c>
      <c r="M2332" s="4"/>
      <c r="N2332" s="4"/>
      <c r="O2332" s="4">
        <v>0</v>
      </c>
      <c r="P2332" s="4"/>
      <c r="Q2332" s="4"/>
      <c r="R2332" s="7">
        <v>0</v>
      </c>
      <c r="S2332" s="7">
        <v>0</v>
      </c>
      <c r="T2332" s="7">
        <f>R2332-S2332</f>
        <v>0</v>
      </c>
      <c r="U2332" s="7">
        <f>T2332*O2332</f>
        <v>0</v>
      </c>
    </row>
    <row r="2333" spans="1:21">
      <c r="A2333" s="4" t="s">
        <v>3453</v>
      </c>
      <c r="B2333" s="4" t="s">
        <v>29</v>
      </c>
      <c r="C2333" s="5">
        <v>45954.46165509259</v>
      </c>
      <c r="D2333" s="5">
        <v>45961</v>
      </c>
      <c r="E2333" s="6">
        <f>IF(AND(C2333&lt;&gt;"",D2333&lt;&gt;""),D2333-C2333,"")</f>
        <v>0</v>
      </c>
      <c r="F2333" s="4" t="s">
        <v>3284</v>
      </c>
      <c r="G2333" s="4" t="s">
        <v>3285</v>
      </c>
      <c r="H2333" s="4"/>
      <c r="I2333" s="4" t="s">
        <v>56</v>
      </c>
      <c r="J2333" s="4">
        <v>1</v>
      </c>
      <c r="K2333" s="4">
        <v>0</v>
      </c>
      <c r="L2333" s="4">
        <f>J2333+K2333</f>
        <v>0</v>
      </c>
      <c r="M2333" s="4"/>
      <c r="N2333" s="4"/>
      <c r="O2333" s="4">
        <v>0</v>
      </c>
      <c r="P2333" s="4"/>
      <c r="Q2333" s="4"/>
      <c r="R2333" s="7">
        <v>0</v>
      </c>
      <c r="S2333" s="7">
        <v>0</v>
      </c>
      <c r="T2333" s="7">
        <f>R2333-S2333</f>
        <v>0</v>
      </c>
      <c r="U2333" s="7">
        <f>T2333*O2333</f>
        <v>0</v>
      </c>
    </row>
    <row r="2334" spans="1:21">
      <c r="A2334" s="4" t="s">
        <v>3454</v>
      </c>
      <c r="B2334" s="4" t="s">
        <v>29</v>
      </c>
      <c r="C2334" s="5">
        <v>45954.54958333333</v>
      </c>
      <c r="D2334" s="5">
        <v>45961</v>
      </c>
      <c r="E2334" s="6">
        <f>IF(AND(C2334&lt;&gt;"",D2334&lt;&gt;""),D2334-C2334,"")</f>
        <v>0</v>
      </c>
      <c r="F2334" s="4" t="s">
        <v>307</v>
      </c>
      <c r="G2334" s="4" t="s">
        <v>308</v>
      </c>
      <c r="H2334" s="4" t="s">
        <v>190</v>
      </c>
      <c r="I2334" s="4" t="s">
        <v>56</v>
      </c>
      <c r="J2334" s="4">
        <v>1</v>
      </c>
      <c r="K2334" s="4">
        <v>0</v>
      </c>
      <c r="L2334" s="4">
        <f>J2334+K2334</f>
        <v>0</v>
      </c>
      <c r="M2334" s="4"/>
      <c r="N2334" s="4"/>
      <c r="O2334" s="4">
        <v>0</v>
      </c>
      <c r="P2334" s="4"/>
      <c r="Q2334" s="4"/>
      <c r="R2334" s="7">
        <v>0</v>
      </c>
      <c r="S2334" s="7">
        <v>0</v>
      </c>
      <c r="T2334" s="7">
        <f>R2334-S2334</f>
        <v>0</v>
      </c>
      <c r="U2334" s="7">
        <f>T2334*O2334</f>
        <v>0</v>
      </c>
    </row>
    <row r="2335" spans="1:21">
      <c r="A2335" s="4" t="s">
        <v>3454</v>
      </c>
      <c r="B2335" s="4" t="s">
        <v>29</v>
      </c>
      <c r="C2335" s="5">
        <v>45954.54958333333</v>
      </c>
      <c r="D2335" s="5">
        <v>45961</v>
      </c>
      <c r="E2335" s="6">
        <f>IF(AND(C2335&lt;&gt;"",D2335&lt;&gt;""),D2335-C2335,"")</f>
        <v>0</v>
      </c>
      <c r="F2335" s="4" t="s">
        <v>307</v>
      </c>
      <c r="G2335" s="4" t="s">
        <v>308</v>
      </c>
      <c r="H2335" s="4" t="s">
        <v>190</v>
      </c>
      <c r="I2335" s="4" t="s">
        <v>56</v>
      </c>
      <c r="J2335" s="4">
        <v>1</v>
      </c>
      <c r="K2335" s="4">
        <v>0</v>
      </c>
      <c r="L2335" s="4">
        <f>J2335+K2335</f>
        <v>0</v>
      </c>
      <c r="M2335" s="4"/>
      <c r="N2335" s="4"/>
      <c r="O2335" s="4">
        <v>0</v>
      </c>
      <c r="P2335" s="4"/>
      <c r="Q2335" s="4"/>
      <c r="R2335" s="7">
        <v>0</v>
      </c>
      <c r="S2335" s="7">
        <v>0</v>
      </c>
      <c r="T2335" s="7">
        <f>R2335-S2335</f>
        <v>0</v>
      </c>
      <c r="U2335" s="7">
        <f>T2335*O2335</f>
        <v>0</v>
      </c>
    </row>
    <row r="2336" spans="1:21">
      <c r="A2336" s="4" t="s">
        <v>3455</v>
      </c>
      <c r="B2336" s="4" t="s">
        <v>48</v>
      </c>
      <c r="C2336" s="5">
        <v>45954.61817129629</v>
      </c>
      <c r="D2336" s="5">
        <v>45961</v>
      </c>
      <c r="E2336" s="6">
        <f>IF(AND(C2336&lt;&gt;"",D2336&lt;&gt;""),D2336-C2336,"")</f>
        <v>0</v>
      </c>
      <c r="F2336" s="4" t="s">
        <v>64</v>
      </c>
      <c r="G2336" s="4" t="s">
        <v>3456</v>
      </c>
      <c r="H2336" s="4" t="s">
        <v>32</v>
      </c>
      <c r="I2336" s="4" t="s">
        <v>33</v>
      </c>
      <c r="J2336" s="4">
        <v>3</v>
      </c>
      <c r="K2336" s="4">
        <v>0</v>
      </c>
      <c r="L2336" s="4">
        <f>J2336+K2336</f>
        <v>0</v>
      </c>
      <c r="M2336" s="4"/>
      <c r="N2336" s="4"/>
      <c r="O2336" s="4">
        <v>0</v>
      </c>
      <c r="P2336" s="4"/>
      <c r="Q2336" s="4"/>
      <c r="R2336" s="7">
        <v>0</v>
      </c>
      <c r="S2336" s="7">
        <v>0</v>
      </c>
      <c r="T2336" s="7">
        <f>R2336-S2336</f>
        <v>0</v>
      </c>
      <c r="U2336" s="7">
        <f>T2336*O2336</f>
        <v>0</v>
      </c>
    </row>
    <row r="2337" spans="1:21">
      <c r="A2337" s="4" t="s">
        <v>3457</v>
      </c>
      <c r="B2337" s="4" t="s">
        <v>39</v>
      </c>
      <c r="C2337" s="5">
        <v>45954.71326388889</v>
      </c>
      <c r="D2337" s="5">
        <v>45954</v>
      </c>
      <c r="E2337" s="6">
        <f>IF(AND(C2337&lt;&gt;"",D2337&lt;&gt;""),D2337-C2337,"")</f>
        <v>0</v>
      </c>
      <c r="F2337" s="4" t="s">
        <v>3458</v>
      </c>
      <c r="G2337" s="4" t="s">
        <v>3459</v>
      </c>
      <c r="H2337" s="4" t="s">
        <v>32</v>
      </c>
      <c r="I2337" s="4" t="s">
        <v>33</v>
      </c>
      <c r="J2337" s="4">
        <v>1</v>
      </c>
      <c r="K2337" s="4">
        <v>0</v>
      </c>
      <c r="L2337" s="4">
        <f>J2337+K2337</f>
        <v>0</v>
      </c>
      <c r="M2337" s="4" t="s">
        <v>42</v>
      </c>
      <c r="N2337" s="4"/>
      <c r="O2337" s="4">
        <v>1</v>
      </c>
      <c r="P2337" s="4" t="s">
        <v>135</v>
      </c>
      <c r="Q2337" s="4"/>
      <c r="R2337" s="7">
        <v>370000</v>
      </c>
      <c r="S2337" s="7">
        <v>0</v>
      </c>
      <c r="T2337" s="7">
        <f>R2337-S2337</f>
        <v>0</v>
      </c>
      <c r="U2337" s="7">
        <f>T2337*O2337</f>
        <v>0</v>
      </c>
    </row>
    <row r="2338" spans="1:21">
      <c r="A2338" s="4" t="s">
        <v>3457</v>
      </c>
      <c r="B2338" s="4" t="s">
        <v>39</v>
      </c>
      <c r="C2338" s="5">
        <v>45954.71326388889</v>
      </c>
      <c r="D2338" s="5">
        <v>45954</v>
      </c>
      <c r="E2338" s="6">
        <f>IF(AND(C2338&lt;&gt;"",D2338&lt;&gt;""),D2338-C2338,"")</f>
        <v>0</v>
      </c>
      <c r="F2338" s="4" t="s">
        <v>3458</v>
      </c>
      <c r="G2338" s="4" t="s">
        <v>3459</v>
      </c>
      <c r="H2338" s="4" t="s">
        <v>32</v>
      </c>
      <c r="I2338" s="4" t="s">
        <v>33</v>
      </c>
      <c r="J2338" s="4">
        <v>1</v>
      </c>
      <c r="K2338" s="4">
        <v>0</v>
      </c>
      <c r="L2338" s="4">
        <f>J2338+K2338</f>
        <v>0</v>
      </c>
      <c r="M2338" s="4" t="s">
        <v>42</v>
      </c>
      <c r="N2338" s="4"/>
      <c r="O2338" s="4">
        <v>1</v>
      </c>
      <c r="P2338" s="4" t="s">
        <v>135</v>
      </c>
      <c r="Q2338" s="4"/>
      <c r="R2338" s="7">
        <v>370000</v>
      </c>
      <c r="S2338" s="7">
        <v>0</v>
      </c>
      <c r="T2338" s="7">
        <f>R2338-S2338</f>
        <v>0</v>
      </c>
      <c r="U2338" s="7">
        <f>T2338*O2338</f>
        <v>0</v>
      </c>
    </row>
    <row r="2339" spans="1:21">
      <c r="A2339" s="4" t="s">
        <v>3460</v>
      </c>
      <c r="B2339" s="4" t="s">
        <v>39</v>
      </c>
      <c r="C2339" s="5">
        <v>45954.72538194444</v>
      </c>
      <c r="D2339" s="5">
        <v>45954</v>
      </c>
      <c r="E2339" s="6">
        <f>IF(AND(C2339&lt;&gt;"",D2339&lt;&gt;""),D2339-C2339,"")</f>
        <v>0</v>
      </c>
      <c r="F2339" s="4" t="s">
        <v>114</v>
      </c>
      <c r="G2339" s="4"/>
      <c r="H2339" s="4"/>
      <c r="I2339" s="4" t="s">
        <v>56</v>
      </c>
      <c r="J2339" s="4">
        <v>2</v>
      </c>
      <c r="K2339" s="4">
        <v>0</v>
      </c>
      <c r="L2339" s="4">
        <f>J2339+K2339</f>
        <v>0</v>
      </c>
      <c r="M2339" s="4" t="s">
        <v>80</v>
      </c>
      <c r="N2339" s="4"/>
      <c r="O2339" s="4">
        <v>2</v>
      </c>
      <c r="P2339" s="4" t="s">
        <v>135</v>
      </c>
      <c r="Q2339" s="4"/>
      <c r="R2339" s="7">
        <v>610000</v>
      </c>
      <c r="S2339" s="7">
        <v>0</v>
      </c>
      <c r="T2339" s="7">
        <f>R2339-S2339</f>
        <v>0</v>
      </c>
      <c r="U2339" s="7">
        <f>T2339*O2339</f>
        <v>0</v>
      </c>
    </row>
    <row r="2340" spans="1:21">
      <c r="A2340" s="4" t="s">
        <v>3461</v>
      </c>
      <c r="B2340" s="4" t="s">
        <v>39</v>
      </c>
      <c r="C2340" s="5">
        <v>45954.72538194444</v>
      </c>
      <c r="D2340" s="5">
        <v>45954</v>
      </c>
      <c r="E2340" s="6">
        <f>IF(AND(C2340&lt;&gt;"",D2340&lt;&gt;""),D2340-C2340,"")</f>
        <v>0</v>
      </c>
      <c r="F2340" s="4" t="s">
        <v>114</v>
      </c>
      <c r="G2340" s="4"/>
      <c r="H2340" s="4"/>
      <c r="I2340" s="4" t="s">
        <v>56</v>
      </c>
      <c r="J2340" s="4">
        <v>2</v>
      </c>
      <c r="K2340" s="4">
        <v>0</v>
      </c>
      <c r="L2340" s="4">
        <f>J2340+K2340</f>
        <v>0</v>
      </c>
      <c r="M2340" s="4" t="s">
        <v>80</v>
      </c>
      <c r="N2340" s="4"/>
      <c r="O2340" s="4">
        <v>2</v>
      </c>
      <c r="P2340" s="4" t="s">
        <v>135</v>
      </c>
      <c r="Q2340" s="4"/>
      <c r="R2340" s="7">
        <v>610000</v>
      </c>
      <c r="S2340" s="7">
        <v>0</v>
      </c>
      <c r="T2340" s="7">
        <f>R2340-S2340</f>
        <v>0</v>
      </c>
      <c r="U2340" s="7">
        <f>T2340*O2340</f>
        <v>0</v>
      </c>
    </row>
    <row r="2341" spans="1:21">
      <c r="A2341" s="4" t="s">
        <v>3462</v>
      </c>
      <c r="B2341" s="4" t="s">
        <v>39</v>
      </c>
      <c r="C2341" s="5">
        <v>45954.72827546296</v>
      </c>
      <c r="D2341" s="5">
        <v>45954</v>
      </c>
      <c r="E2341" s="6">
        <f>IF(AND(C2341&lt;&gt;"",D2341&lt;&gt;""),D2341-C2341,"")</f>
        <v>0</v>
      </c>
      <c r="F2341" s="4" t="s">
        <v>114</v>
      </c>
      <c r="G2341" s="4"/>
      <c r="H2341" s="4"/>
      <c r="I2341" s="4" t="s">
        <v>56</v>
      </c>
      <c r="J2341" s="4">
        <v>1</v>
      </c>
      <c r="K2341" s="4">
        <v>0</v>
      </c>
      <c r="L2341" s="4">
        <f>J2341+K2341</f>
        <v>0</v>
      </c>
      <c r="M2341" s="4" t="s">
        <v>42</v>
      </c>
      <c r="N2341" s="4"/>
      <c r="O2341" s="4">
        <v>1</v>
      </c>
      <c r="P2341" s="4" t="s">
        <v>135</v>
      </c>
      <c r="Q2341" s="4"/>
      <c r="R2341" s="7">
        <v>370000</v>
      </c>
      <c r="S2341" s="7">
        <v>0</v>
      </c>
      <c r="T2341" s="7">
        <f>R2341-S2341</f>
        <v>0</v>
      </c>
      <c r="U2341" s="7">
        <f>T2341*O2341</f>
        <v>0</v>
      </c>
    </row>
    <row r="2342" spans="1:21">
      <c r="A2342" s="4" t="s">
        <v>3463</v>
      </c>
      <c r="B2342" s="4" t="s">
        <v>39</v>
      </c>
      <c r="C2342" s="5">
        <v>45954.72859953704</v>
      </c>
      <c r="D2342" s="5">
        <v>45954</v>
      </c>
      <c r="E2342" s="6">
        <f>IF(AND(C2342&lt;&gt;"",D2342&lt;&gt;""),D2342-C2342,"")</f>
        <v>0</v>
      </c>
      <c r="F2342" s="4" t="s">
        <v>114</v>
      </c>
      <c r="G2342" s="4"/>
      <c r="H2342" s="4"/>
      <c r="I2342" s="4" t="s">
        <v>56</v>
      </c>
      <c r="J2342" s="4">
        <v>0</v>
      </c>
      <c r="K2342" s="4">
        <v>1</v>
      </c>
      <c r="L2342" s="4">
        <f>J2342+K2342</f>
        <v>0</v>
      </c>
      <c r="M2342" s="4" t="s">
        <v>46</v>
      </c>
      <c r="N2342" s="4"/>
      <c r="O2342" s="4">
        <v>1</v>
      </c>
      <c r="P2342" s="4" t="s">
        <v>135</v>
      </c>
      <c r="Q2342" s="4"/>
      <c r="R2342" s="7">
        <v>325000</v>
      </c>
      <c r="S2342" s="7">
        <v>0</v>
      </c>
      <c r="T2342" s="7">
        <f>R2342-S2342</f>
        <v>0</v>
      </c>
      <c r="U2342" s="7">
        <f>T2342*O2342</f>
        <v>0</v>
      </c>
    </row>
    <row r="2343" spans="1:21">
      <c r="A2343" s="4" t="s">
        <v>3464</v>
      </c>
      <c r="B2343" s="4" t="s">
        <v>39</v>
      </c>
      <c r="C2343" s="5">
        <v>45954.73078703704</v>
      </c>
      <c r="D2343" s="5">
        <v>45954</v>
      </c>
      <c r="E2343" s="6">
        <f>IF(AND(C2343&lt;&gt;"",D2343&lt;&gt;""),D2343-C2343,"")</f>
        <v>0</v>
      </c>
      <c r="F2343" s="4" t="s">
        <v>3465</v>
      </c>
      <c r="G2343" s="4" t="s">
        <v>3466</v>
      </c>
      <c r="H2343" s="4" t="s">
        <v>32</v>
      </c>
      <c r="I2343" s="4" t="s">
        <v>33</v>
      </c>
      <c r="J2343" s="4">
        <v>0</v>
      </c>
      <c r="K2343" s="4">
        <v>1</v>
      </c>
      <c r="L2343" s="4">
        <f>J2343+K2343</f>
        <v>0</v>
      </c>
      <c r="M2343" s="4" t="s">
        <v>46</v>
      </c>
      <c r="N2343" s="4"/>
      <c r="O2343" s="4">
        <v>1</v>
      </c>
      <c r="P2343" s="4" t="s">
        <v>135</v>
      </c>
      <c r="Q2343" s="4"/>
      <c r="R2343" s="7">
        <v>325000</v>
      </c>
      <c r="S2343" s="7">
        <v>0</v>
      </c>
      <c r="T2343" s="7">
        <f>R2343-S2343</f>
        <v>0</v>
      </c>
      <c r="U2343" s="7">
        <f>T2343*O2343</f>
        <v>0</v>
      </c>
    </row>
    <row r="2344" spans="1:21">
      <c r="A2344" s="4" t="s">
        <v>3467</v>
      </c>
      <c r="B2344" s="4" t="s">
        <v>39</v>
      </c>
      <c r="C2344" s="5">
        <v>45955.10332175926</v>
      </c>
      <c r="D2344" s="5">
        <v>45955</v>
      </c>
      <c r="E2344" s="6">
        <f>IF(AND(C2344&lt;&gt;"",D2344&lt;&gt;""),D2344-C2344,"")</f>
        <v>0</v>
      </c>
      <c r="F2344" s="4" t="s">
        <v>3468</v>
      </c>
      <c r="G2344" s="4" t="s">
        <v>3469</v>
      </c>
      <c r="H2344" s="4" t="s">
        <v>1262</v>
      </c>
      <c r="I2344" s="4" t="s">
        <v>56</v>
      </c>
      <c r="J2344" s="4">
        <v>0</v>
      </c>
      <c r="K2344" s="4">
        <v>0</v>
      </c>
      <c r="L2344" s="4">
        <f>J2344+K2344</f>
        <v>0</v>
      </c>
      <c r="M2344" s="4" t="s">
        <v>370</v>
      </c>
      <c r="N2344" s="4"/>
      <c r="O2344" s="4">
        <v>1</v>
      </c>
      <c r="P2344" s="4" t="s">
        <v>135</v>
      </c>
      <c r="Q2344" s="4" t="s">
        <v>44</v>
      </c>
      <c r="R2344" s="7">
        <v>2000000</v>
      </c>
      <c r="S2344" s="7">
        <v>0</v>
      </c>
      <c r="T2344" s="7">
        <f>R2344-S2344</f>
        <v>0</v>
      </c>
      <c r="U2344" s="7">
        <f>T2344*O2344</f>
        <v>0</v>
      </c>
    </row>
    <row r="2345" spans="1:21">
      <c r="A2345" s="4" t="s">
        <v>3470</v>
      </c>
      <c r="B2345" s="4" t="s">
        <v>39</v>
      </c>
      <c r="C2345" s="5">
        <v>45955.13428240741</v>
      </c>
      <c r="D2345" s="5">
        <v>45955</v>
      </c>
      <c r="E2345" s="6">
        <f>IF(AND(C2345&lt;&gt;"",D2345&lt;&gt;""),D2345-C2345,"")</f>
        <v>0</v>
      </c>
      <c r="F2345" s="4" t="s">
        <v>3471</v>
      </c>
      <c r="G2345" s="4" t="s">
        <v>3472</v>
      </c>
      <c r="H2345" s="4" t="s">
        <v>32</v>
      </c>
      <c r="I2345" s="4" t="s">
        <v>33</v>
      </c>
      <c r="J2345" s="4">
        <v>1</v>
      </c>
      <c r="K2345" s="4">
        <v>0</v>
      </c>
      <c r="L2345" s="4">
        <f>J2345+K2345</f>
        <v>0</v>
      </c>
      <c r="M2345" s="4" t="s">
        <v>42</v>
      </c>
      <c r="N2345" s="4"/>
      <c r="O2345" s="4">
        <v>1</v>
      </c>
      <c r="P2345" s="4" t="s">
        <v>135</v>
      </c>
      <c r="Q2345" s="4"/>
      <c r="R2345" s="7">
        <v>370000</v>
      </c>
      <c r="S2345" s="7">
        <v>0</v>
      </c>
      <c r="T2345" s="7">
        <f>R2345-S2345</f>
        <v>0</v>
      </c>
      <c r="U2345" s="7">
        <f>T2345*O2345</f>
        <v>0</v>
      </c>
    </row>
    <row r="2346" spans="1:21">
      <c r="A2346" s="4" t="s">
        <v>3473</v>
      </c>
      <c r="B2346" s="4" t="s">
        <v>122</v>
      </c>
      <c r="C2346" s="5">
        <v>45955.20245370371</v>
      </c>
      <c r="D2346" s="5">
        <v>45961</v>
      </c>
      <c r="E2346" s="6">
        <f>IF(AND(C2346&lt;&gt;"",D2346&lt;&gt;""),D2346-C2346,"")</f>
        <v>0</v>
      </c>
      <c r="F2346" s="4" t="s">
        <v>3474</v>
      </c>
      <c r="G2346" s="4"/>
      <c r="H2346" s="4"/>
      <c r="I2346" s="4" t="s">
        <v>56</v>
      </c>
      <c r="J2346" s="4">
        <v>50</v>
      </c>
      <c r="K2346" s="4">
        <v>0</v>
      </c>
      <c r="L2346" s="4">
        <f>J2346+K2346</f>
        <v>0</v>
      </c>
      <c r="M2346" s="4"/>
      <c r="N2346" s="4"/>
      <c r="O2346" s="4">
        <v>0</v>
      </c>
      <c r="P2346" s="4"/>
      <c r="Q2346" s="4"/>
      <c r="R2346" s="7">
        <v>0</v>
      </c>
      <c r="S2346" s="7">
        <v>0</v>
      </c>
      <c r="T2346" s="7">
        <f>R2346-S2346</f>
        <v>0</v>
      </c>
      <c r="U2346" s="7">
        <f>T2346*O2346</f>
        <v>0</v>
      </c>
    </row>
    <row r="2347" spans="1:21">
      <c r="A2347" s="4" t="s">
        <v>3475</v>
      </c>
      <c r="B2347" s="4" t="s">
        <v>39</v>
      </c>
      <c r="C2347" s="5">
        <v>45955.2090625</v>
      </c>
      <c r="D2347" s="5">
        <v>45955</v>
      </c>
      <c r="E2347" s="6">
        <f>IF(AND(C2347&lt;&gt;"",D2347&lt;&gt;""),D2347-C2347,"")</f>
        <v>0</v>
      </c>
      <c r="F2347" s="4" t="s">
        <v>3476</v>
      </c>
      <c r="G2347" s="4" t="s">
        <v>3477</v>
      </c>
      <c r="H2347" s="4" t="s">
        <v>32</v>
      </c>
      <c r="I2347" s="4" t="s">
        <v>33</v>
      </c>
      <c r="J2347" s="4">
        <v>0</v>
      </c>
      <c r="K2347" s="4">
        <v>0</v>
      </c>
      <c r="L2347" s="4">
        <f>J2347+K2347</f>
        <v>0</v>
      </c>
      <c r="M2347" s="4" t="s">
        <v>3478</v>
      </c>
      <c r="N2347" s="4"/>
      <c r="O2347" s="4">
        <v>1</v>
      </c>
      <c r="P2347" s="4" t="s">
        <v>135</v>
      </c>
      <c r="Q2347" s="4"/>
      <c r="R2347" s="7">
        <v>40000</v>
      </c>
      <c r="S2347" s="7">
        <v>0</v>
      </c>
      <c r="T2347" s="7">
        <f>R2347-S2347</f>
        <v>0</v>
      </c>
      <c r="U2347" s="7">
        <f>T2347*O2347</f>
        <v>0</v>
      </c>
    </row>
    <row r="2348" spans="1:21">
      <c r="A2348" s="4" t="s">
        <v>3479</v>
      </c>
      <c r="B2348" s="4" t="s">
        <v>122</v>
      </c>
      <c r="C2348" s="5">
        <v>45955.21763888889</v>
      </c>
      <c r="D2348" s="5">
        <v>45961</v>
      </c>
      <c r="E2348" s="6">
        <f>IF(AND(C2348&lt;&gt;"",D2348&lt;&gt;""),D2348-C2348,"")</f>
        <v>0</v>
      </c>
      <c r="F2348" s="4" t="s">
        <v>3480</v>
      </c>
      <c r="G2348" s="4"/>
      <c r="H2348" s="4"/>
      <c r="I2348" s="4" t="s">
        <v>56</v>
      </c>
      <c r="J2348" s="4">
        <v>1</v>
      </c>
      <c r="K2348" s="4">
        <v>0</v>
      </c>
      <c r="L2348" s="4">
        <f>J2348+K2348</f>
        <v>0</v>
      </c>
      <c r="M2348" s="4"/>
      <c r="N2348" s="4"/>
      <c r="O2348" s="4">
        <v>0</v>
      </c>
      <c r="P2348" s="4"/>
      <c r="Q2348" s="4"/>
      <c r="R2348" s="7">
        <v>0</v>
      </c>
      <c r="S2348" s="7">
        <v>0</v>
      </c>
      <c r="T2348" s="7">
        <f>R2348-S2348</f>
        <v>0</v>
      </c>
      <c r="U2348" s="7">
        <f>T2348*O2348</f>
        <v>0</v>
      </c>
    </row>
    <row r="2349" spans="1:21">
      <c r="A2349" s="4" t="s">
        <v>3479</v>
      </c>
      <c r="B2349" s="4" t="s">
        <v>122</v>
      </c>
      <c r="C2349" s="5">
        <v>45955.21763888889</v>
      </c>
      <c r="D2349" s="5">
        <v>45961</v>
      </c>
      <c r="E2349" s="6">
        <f>IF(AND(C2349&lt;&gt;"",D2349&lt;&gt;""),D2349-C2349,"")</f>
        <v>0</v>
      </c>
      <c r="F2349" s="4" t="s">
        <v>3481</v>
      </c>
      <c r="G2349" s="4"/>
      <c r="H2349" s="4"/>
      <c r="I2349" s="4" t="s">
        <v>56</v>
      </c>
      <c r="J2349" s="4">
        <v>1</v>
      </c>
      <c r="K2349" s="4">
        <v>0</v>
      </c>
      <c r="L2349" s="4">
        <f>J2349+K2349</f>
        <v>0</v>
      </c>
      <c r="M2349" s="4"/>
      <c r="N2349" s="4"/>
      <c r="O2349" s="4">
        <v>0</v>
      </c>
      <c r="P2349" s="4"/>
      <c r="Q2349" s="4"/>
      <c r="R2349" s="7">
        <v>0</v>
      </c>
      <c r="S2349" s="7">
        <v>0</v>
      </c>
      <c r="T2349" s="7">
        <f>R2349-S2349</f>
        <v>0</v>
      </c>
      <c r="U2349" s="7">
        <f>T2349*O2349</f>
        <v>0</v>
      </c>
    </row>
    <row r="2350" spans="1:21">
      <c r="A2350" s="4" t="s">
        <v>3479</v>
      </c>
      <c r="B2350" s="4" t="s">
        <v>122</v>
      </c>
      <c r="C2350" s="5">
        <v>45955.21763888889</v>
      </c>
      <c r="D2350" s="5">
        <v>45961</v>
      </c>
      <c r="E2350" s="6">
        <f>IF(AND(C2350&lt;&gt;"",D2350&lt;&gt;""),D2350-C2350,"")</f>
        <v>0</v>
      </c>
      <c r="F2350" s="4" t="s">
        <v>3482</v>
      </c>
      <c r="G2350" s="4"/>
      <c r="H2350" s="4"/>
      <c r="I2350" s="4" t="s">
        <v>56</v>
      </c>
      <c r="J2350" s="4">
        <v>1</v>
      </c>
      <c r="K2350" s="4">
        <v>0</v>
      </c>
      <c r="L2350" s="4">
        <f>J2350+K2350</f>
        <v>0</v>
      </c>
      <c r="M2350" s="4"/>
      <c r="N2350" s="4"/>
      <c r="O2350" s="4">
        <v>0</v>
      </c>
      <c r="P2350" s="4"/>
      <c r="Q2350" s="4"/>
      <c r="R2350" s="7">
        <v>0</v>
      </c>
      <c r="S2350" s="7">
        <v>0</v>
      </c>
      <c r="T2350" s="7">
        <f>R2350-S2350</f>
        <v>0</v>
      </c>
      <c r="U2350" s="7">
        <f>T2350*O2350</f>
        <v>0</v>
      </c>
    </row>
    <row r="2351" spans="1:21">
      <c r="A2351" s="4" t="s">
        <v>3479</v>
      </c>
      <c r="B2351" s="4" t="s">
        <v>122</v>
      </c>
      <c r="C2351" s="5">
        <v>45955.21763888889</v>
      </c>
      <c r="D2351" s="5">
        <v>45961</v>
      </c>
      <c r="E2351" s="6">
        <f>IF(AND(C2351&lt;&gt;"",D2351&lt;&gt;""),D2351-C2351,"")</f>
        <v>0</v>
      </c>
      <c r="F2351" s="4" t="s">
        <v>3483</v>
      </c>
      <c r="G2351" s="4"/>
      <c r="H2351" s="4"/>
      <c r="I2351" s="4" t="s">
        <v>56</v>
      </c>
      <c r="J2351" s="4">
        <v>1</v>
      </c>
      <c r="K2351" s="4">
        <v>0</v>
      </c>
      <c r="L2351" s="4">
        <f>J2351+K2351</f>
        <v>0</v>
      </c>
      <c r="M2351" s="4"/>
      <c r="N2351" s="4"/>
      <c r="O2351" s="4">
        <v>0</v>
      </c>
      <c r="P2351" s="4"/>
      <c r="Q2351" s="4"/>
      <c r="R2351" s="7">
        <v>0</v>
      </c>
      <c r="S2351" s="7">
        <v>0</v>
      </c>
      <c r="T2351" s="7">
        <f>R2351-S2351</f>
        <v>0</v>
      </c>
      <c r="U2351" s="7">
        <f>T2351*O2351</f>
        <v>0</v>
      </c>
    </row>
    <row r="2352" spans="1:21">
      <c r="A2352" s="4" t="s">
        <v>3479</v>
      </c>
      <c r="B2352" s="4" t="s">
        <v>122</v>
      </c>
      <c r="C2352" s="5">
        <v>45955.21763888889</v>
      </c>
      <c r="D2352" s="5">
        <v>45961</v>
      </c>
      <c r="E2352" s="6">
        <f>IF(AND(C2352&lt;&gt;"",D2352&lt;&gt;""),D2352-C2352,"")</f>
        <v>0</v>
      </c>
      <c r="F2352" s="4" t="s">
        <v>3484</v>
      </c>
      <c r="G2352" s="4"/>
      <c r="H2352" s="4"/>
      <c r="I2352" s="4" t="s">
        <v>56</v>
      </c>
      <c r="J2352" s="4">
        <v>1</v>
      </c>
      <c r="K2352" s="4">
        <v>0</v>
      </c>
      <c r="L2352" s="4">
        <f>J2352+K2352</f>
        <v>0</v>
      </c>
      <c r="M2352" s="4"/>
      <c r="N2352" s="4"/>
      <c r="O2352" s="4">
        <v>0</v>
      </c>
      <c r="P2352" s="4"/>
      <c r="Q2352" s="4"/>
      <c r="R2352" s="7">
        <v>0</v>
      </c>
      <c r="S2352" s="7">
        <v>0</v>
      </c>
      <c r="T2352" s="7">
        <f>R2352-S2352</f>
        <v>0</v>
      </c>
      <c r="U2352" s="7">
        <f>T2352*O2352</f>
        <v>0</v>
      </c>
    </row>
    <row r="2353" spans="1:21">
      <c r="A2353" s="4" t="s">
        <v>3485</v>
      </c>
      <c r="B2353" s="4" t="s">
        <v>122</v>
      </c>
      <c r="C2353" s="5">
        <v>45955.21763888889</v>
      </c>
      <c r="D2353" s="5">
        <v>45961</v>
      </c>
      <c r="E2353" s="6">
        <f>IF(AND(C2353&lt;&gt;"",D2353&lt;&gt;""),D2353-C2353,"")</f>
        <v>0</v>
      </c>
      <c r="F2353" s="4" t="s">
        <v>3486</v>
      </c>
      <c r="G2353" s="4"/>
      <c r="H2353" s="4"/>
      <c r="I2353" s="4" t="s">
        <v>56</v>
      </c>
      <c r="J2353" s="4">
        <v>1</v>
      </c>
      <c r="K2353" s="4">
        <v>0</v>
      </c>
      <c r="L2353" s="4">
        <f>J2353+K2353</f>
        <v>0</v>
      </c>
      <c r="M2353" s="4"/>
      <c r="N2353" s="4"/>
      <c r="O2353" s="4">
        <v>0</v>
      </c>
      <c r="P2353" s="4"/>
      <c r="Q2353" s="4"/>
      <c r="R2353" s="7">
        <v>0</v>
      </c>
      <c r="S2353" s="7">
        <v>0</v>
      </c>
      <c r="T2353" s="7">
        <f>R2353-S2353</f>
        <v>0</v>
      </c>
      <c r="U2353" s="7">
        <f>T2353*O2353</f>
        <v>0</v>
      </c>
    </row>
    <row r="2354" spans="1:21">
      <c r="A2354" s="4" t="s">
        <v>3485</v>
      </c>
      <c r="B2354" s="4" t="s">
        <v>122</v>
      </c>
      <c r="C2354" s="5">
        <v>45955.21763888889</v>
      </c>
      <c r="D2354" s="5">
        <v>45961</v>
      </c>
      <c r="E2354" s="6">
        <f>IF(AND(C2354&lt;&gt;"",D2354&lt;&gt;""),D2354-C2354,"")</f>
        <v>0</v>
      </c>
      <c r="F2354" s="4" t="s">
        <v>3487</v>
      </c>
      <c r="G2354" s="4"/>
      <c r="H2354" s="4"/>
      <c r="I2354" s="4" t="s">
        <v>56</v>
      </c>
      <c r="J2354" s="4">
        <v>1</v>
      </c>
      <c r="K2354" s="4">
        <v>0</v>
      </c>
      <c r="L2354" s="4">
        <f>J2354+K2354</f>
        <v>0</v>
      </c>
      <c r="M2354" s="4"/>
      <c r="N2354" s="4"/>
      <c r="O2354" s="4">
        <v>0</v>
      </c>
      <c r="P2354" s="4"/>
      <c r="Q2354" s="4"/>
      <c r="R2354" s="7">
        <v>0</v>
      </c>
      <c r="S2354" s="7">
        <v>0</v>
      </c>
      <c r="T2354" s="7">
        <f>R2354-S2354</f>
        <v>0</v>
      </c>
      <c r="U2354" s="7">
        <f>T2354*O2354</f>
        <v>0</v>
      </c>
    </row>
    <row r="2355" spans="1:21">
      <c r="A2355" s="4" t="s">
        <v>3485</v>
      </c>
      <c r="B2355" s="4" t="s">
        <v>122</v>
      </c>
      <c r="C2355" s="5">
        <v>45955.21763888889</v>
      </c>
      <c r="D2355" s="5">
        <v>45961</v>
      </c>
      <c r="E2355" s="6">
        <f>IF(AND(C2355&lt;&gt;"",D2355&lt;&gt;""),D2355-C2355,"")</f>
        <v>0</v>
      </c>
      <c r="F2355" s="4" t="s">
        <v>3488</v>
      </c>
      <c r="G2355" s="4"/>
      <c r="H2355" s="4"/>
      <c r="I2355" s="4" t="s">
        <v>56</v>
      </c>
      <c r="J2355" s="4">
        <v>1</v>
      </c>
      <c r="K2355" s="4">
        <v>0</v>
      </c>
      <c r="L2355" s="4">
        <f>J2355+K2355</f>
        <v>0</v>
      </c>
      <c r="M2355" s="4"/>
      <c r="N2355" s="4"/>
      <c r="O2355" s="4">
        <v>0</v>
      </c>
      <c r="P2355" s="4"/>
      <c r="Q2355" s="4"/>
      <c r="R2355" s="7">
        <v>0</v>
      </c>
      <c r="S2355" s="7">
        <v>0</v>
      </c>
      <c r="T2355" s="7">
        <f>R2355-S2355</f>
        <v>0</v>
      </c>
      <c r="U2355" s="7">
        <f>T2355*O2355</f>
        <v>0</v>
      </c>
    </row>
    <row r="2356" spans="1:21">
      <c r="A2356" s="4" t="s">
        <v>3489</v>
      </c>
      <c r="B2356" s="4" t="s">
        <v>122</v>
      </c>
      <c r="C2356" s="5">
        <v>45955.21763888889</v>
      </c>
      <c r="D2356" s="5">
        <v>45961</v>
      </c>
      <c r="E2356" s="6">
        <f>IF(AND(C2356&lt;&gt;"",D2356&lt;&gt;""),D2356-C2356,"")</f>
        <v>0</v>
      </c>
      <c r="F2356" s="4" t="s">
        <v>3490</v>
      </c>
      <c r="G2356" s="4"/>
      <c r="H2356" s="4"/>
      <c r="I2356" s="4" t="s">
        <v>56</v>
      </c>
      <c r="J2356" s="4">
        <v>1</v>
      </c>
      <c r="K2356" s="4">
        <v>0</v>
      </c>
      <c r="L2356" s="4">
        <f>J2356+K2356</f>
        <v>0</v>
      </c>
      <c r="M2356" s="4"/>
      <c r="N2356" s="4"/>
      <c r="O2356" s="4">
        <v>0</v>
      </c>
      <c r="P2356" s="4"/>
      <c r="Q2356" s="4"/>
      <c r="R2356" s="7">
        <v>0</v>
      </c>
      <c r="S2356" s="7">
        <v>0</v>
      </c>
      <c r="T2356" s="7">
        <f>R2356-S2356</f>
        <v>0</v>
      </c>
      <c r="U2356" s="7">
        <f>T2356*O2356</f>
        <v>0</v>
      </c>
    </row>
    <row r="2357" spans="1:21">
      <c r="A2357" s="4" t="s">
        <v>3489</v>
      </c>
      <c r="B2357" s="4" t="s">
        <v>122</v>
      </c>
      <c r="C2357" s="5">
        <v>45955.21763888889</v>
      </c>
      <c r="D2357" s="5">
        <v>45961</v>
      </c>
      <c r="E2357" s="6">
        <f>IF(AND(C2357&lt;&gt;"",D2357&lt;&gt;""),D2357-C2357,"")</f>
        <v>0</v>
      </c>
      <c r="F2357" s="4" t="s">
        <v>3491</v>
      </c>
      <c r="G2357" s="4"/>
      <c r="H2357" s="4"/>
      <c r="I2357" s="4" t="s">
        <v>56</v>
      </c>
      <c r="J2357" s="4">
        <v>1</v>
      </c>
      <c r="K2357" s="4">
        <v>0</v>
      </c>
      <c r="L2357" s="4">
        <f>J2357+K2357</f>
        <v>0</v>
      </c>
      <c r="M2357" s="4"/>
      <c r="N2357" s="4"/>
      <c r="O2357" s="4">
        <v>0</v>
      </c>
      <c r="P2357" s="4"/>
      <c r="Q2357" s="4"/>
      <c r="R2357" s="7">
        <v>0</v>
      </c>
      <c r="S2357" s="7">
        <v>0</v>
      </c>
      <c r="T2357" s="7">
        <f>R2357-S2357</f>
        <v>0</v>
      </c>
      <c r="U2357" s="7">
        <f>T2357*O2357</f>
        <v>0</v>
      </c>
    </row>
    <row r="2358" spans="1:21">
      <c r="A2358" s="4" t="s">
        <v>3489</v>
      </c>
      <c r="B2358" s="4" t="s">
        <v>122</v>
      </c>
      <c r="C2358" s="5">
        <v>45955.21763888889</v>
      </c>
      <c r="D2358" s="5">
        <v>45961</v>
      </c>
      <c r="E2358" s="6">
        <f>IF(AND(C2358&lt;&gt;"",D2358&lt;&gt;""),D2358-C2358,"")</f>
        <v>0</v>
      </c>
      <c r="F2358" s="4" t="s">
        <v>3492</v>
      </c>
      <c r="G2358" s="4"/>
      <c r="H2358" s="4"/>
      <c r="I2358" s="4" t="s">
        <v>56</v>
      </c>
      <c r="J2358" s="4">
        <v>1</v>
      </c>
      <c r="K2358" s="4">
        <v>0</v>
      </c>
      <c r="L2358" s="4">
        <f>J2358+K2358</f>
        <v>0</v>
      </c>
      <c r="M2358" s="4"/>
      <c r="N2358" s="4"/>
      <c r="O2358" s="4">
        <v>0</v>
      </c>
      <c r="P2358" s="4"/>
      <c r="Q2358" s="4"/>
      <c r="R2358" s="7">
        <v>0</v>
      </c>
      <c r="S2358" s="7">
        <v>0</v>
      </c>
      <c r="T2358" s="7">
        <f>R2358-S2358</f>
        <v>0</v>
      </c>
      <c r="U2358" s="7">
        <f>T2358*O2358</f>
        <v>0</v>
      </c>
    </row>
    <row r="2359" spans="1:21">
      <c r="A2359" s="4" t="s">
        <v>3489</v>
      </c>
      <c r="B2359" s="4" t="s">
        <v>122</v>
      </c>
      <c r="C2359" s="5">
        <v>45955.21763888889</v>
      </c>
      <c r="D2359" s="5">
        <v>45961</v>
      </c>
      <c r="E2359" s="6">
        <f>IF(AND(C2359&lt;&gt;"",D2359&lt;&gt;""),D2359-C2359,"")</f>
        <v>0</v>
      </c>
      <c r="F2359" s="4" t="s">
        <v>3493</v>
      </c>
      <c r="G2359" s="4"/>
      <c r="H2359" s="4"/>
      <c r="I2359" s="4" t="s">
        <v>56</v>
      </c>
      <c r="J2359" s="4">
        <v>1</v>
      </c>
      <c r="K2359" s="4">
        <v>0</v>
      </c>
      <c r="L2359" s="4">
        <f>J2359+K2359</f>
        <v>0</v>
      </c>
      <c r="M2359" s="4"/>
      <c r="N2359" s="4"/>
      <c r="O2359" s="4">
        <v>0</v>
      </c>
      <c r="P2359" s="4"/>
      <c r="Q2359" s="4"/>
      <c r="R2359" s="7">
        <v>0</v>
      </c>
      <c r="S2359" s="7">
        <v>0</v>
      </c>
      <c r="T2359" s="7">
        <f>R2359-S2359</f>
        <v>0</v>
      </c>
      <c r="U2359" s="7">
        <f>T2359*O2359</f>
        <v>0</v>
      </c>
    </row>
    <row r="2360" spans="1:21">
      <c r="A2360" s="4" t="s">
        <v>3489</v>
      </c>
      <c r="B2360" s="4" t="s">
        <v>122</v>
      </c>
      <c r="C2360" s="5">
        <v>45955.21763888889</v>
      </c>
      <c r="D2360" s="5">
        <v>45961</v>
      </c>
      <c r="E2360" s="6">
        <f>IF(AND(C2360&lt;&gt;"",D2360&lt;&gt;""),D2360-C2360,"")</f>
        <v>0</v>
      </c>
      <c r="F2360" s="4" t="s">
        <v>3494</v>
      </c>
      <c r="G2360" s="4"/>
      <c r="H2360" s="4"/>
      <c r="I2360" s="4" t="s">
        <v>56</v>
      </c>
      <c r="J2360" s="4">
        <v>1</v>
      </c>
      <c r="K2360" s="4">
        <v>0</v>
      </c>
      <c r="L2360" s="4">
        <f>J2360+K2360</f>
        <v>0</v>
      </c>
      <c r="M2360" s="4"/>
      <c r="N2360" s="4"/>
      <c r="O2360" s="4">
        <v>0</v>
      </c>
      <c r="P2360" s="4"/>
      <c r="Q2360" s="4"/>
      <c r="R2360" s="7">
        <v>0</v>
      </c>
      <c r="S2360" s="7">
        <v>0</v>
      </c>
      <c r="T2360" s="7">
        <f>R2360-S2360</f>
        <v>0</v>
      </c>
      <c r="U2360" s="7">
        <f>T2360*O2360</f>
        <v>0</v>
      </c>
    </row>
    <row r="2361" spans="1:21">
      <c r="A2361" s="4" t="s">
        <v>3495</v>
      </c>
      <c r="B2361" s="4" t="s">
        <v>122</v>
      </c>
      <c r="C2361" s="5">
        <v>45955.21763888889</v>
      </c>
      <c r="D2361" s="5">
        <v>45961</v>
      </c>
      <c r="E2361" s="6">
        <f>IF(AND(C2361&lt;&gt;"",D2361&lt;&gt;""),D2361-C2361,"")</f>
        <v>0</v>
      </c>
      <c r="F2361" s="4" t="s">
        <v>3496</v>
      </c>
      <c r="G2361" s="4"/>
      <c r="H2361" s="4"/>
      <c r="I2361" s="4" t="s">
        <v>56</v>
      </c>
      <c r="J2361" s="4">
        <v>1</v>
      </c>
      <c r="K2361" s="4">
        <v>0</v>
      </c>
      <c r="L2361" s="4">
        <f>J2361+K2361</f>
        <v>0</v>
      </c>
      <c r="M2361" s="4"/>
      <c r="N2361" s="4"/>
      <c r="O2361" s="4">
        <v>0</v>
      </c>
      <c r="P2361" s="4"/>
      <c r="Q2361" s="4"/>
      <c r="R2361" s="7">
        <v>0</v>
      </c>
      <c r="S2361" s="7">
        <v>0</v>
      </c>
      <c r="T2361" s="7">
        <f>R2361-S2361</f>
        <v>0</v>
      </c>
      <c r="U2361" s="7">
        <f>T2361*O2361</f>
        <v>0</v>
      </c>
    </row>
    <row r="2362" spans="1:21">
      <c r="A2362" s="4" t="s">
        <v>3495</v>
      </c>
      <c r="B2362" s="4" t="s">
        <v>122</v>
      </c>
      <c r="C2362" s="5">
        <v>45955.21763888889</v>
      </c>
      <c r="D2362" s="5">
        <v>45961</v>
      </c>
      <c r="E2362" s="6">
        <f>IF(AND(C2362&lt;&gt;"",D2362&lt;&gt;""),D2362-C2362,"")</f>
        <v>0</v>
      </c>
      <c r="F2362" s="4" t="s">
        <v>3497</v>
      </c>
      <c r="G2362" s="4"/>
      <c r="H2362" s="4"/>
      <c r="I2362" s="4" t="s">
        <v>56</v>
      </c>
      <c r="J2362" s="4">
        <v>1</v>
      </c>
      <c r="K2362" s="4">
        <v>0</v>
      </c>
      <c r="L2362" s="4">
        <f>J2362+K2362</f>
        <v>0</v>
      </c>
      <c r="M2362" s="4"/>
      <c r="N2362" s="4"/>
      <c r="O2362" s="4">
        <v>0</v>
      </c>
      <c r="P2362" s="4"/>
      <c r="Q2362" s="4"/>
      <c r="R2362" s="7">
        <v>0</v>
      </c>
      <c r="S2362" s="7">
        <v>0</v>
      </c>
      <c r="T2362" s="7">
        <f>R2362-S2362</f>
        <v>0</v>
      </c>
      <c r="U2362" s="7">
        <f>T2362*O2362</f>
        <v>0</v>
      </c>
    </row>
    <row r="2363" spans="1:21">
      <c r="A2363" s="4" t="s">
        <v>3495</v>
      </c>
      <c r="B2363" s="4" t="s">
        <v>122</v>
      </c>
      <c r="C2363" s="5">
        <v>45955.21763888889</v>
      </c>
      <c r="D2363" s="5">
        <v>45961</v>
      </c>
      <c r="E2363" s="6">
        <f>IF(AND(C2363&lt;&gt;"",D2363&lt;&gt;""),D2363-C2363,"")</f>
        <v>0</v>
      </c>
      <c r="F2363" s="4" t="s">
        <v>3498</v>
      </c>
      <c r="G2363" s="4"/>
      <c r="H2363" s="4"/>
      <c r="I2363" s="4" t="s">
        <v>56</v>
      </c>
      <c r="J2363" s="4">
        <v>1</v>
      </c>
      <c r="K2363" s="4">
        <v>0</v>
      </c>
      <c r="L2363" s="4">
        <f>J2363+K2363</f>
        <v>0</v>
      </c>
      <c r="M2363" s="4"/>
      <c r="N2363" s="4"/>
      <c r="O2363" s="4">
        <v>0</v>
      </c>
      <c r="P2363" s="4"/>
      <c r="Q2363" s="4"/>
      <c r="R2363" s="7">
        <v>0</v>
      </c>
      <c r="S2363" s="7">
        <v>0</v>
      </c>
      <c r="T2363" s="7">
        <f>R2363-S2363</f>
        <v>0</v>
      </c>
      <c r="U2363" s="7">
        <f>T2363*O2363</f>
        <v>0</v>
      </c>
    </row>
    <row r="2364" spans="1:21">
      <c r="A2364" s="4" t="s">
        <v>3495</v>
      </c>
      <c r="B2364" s="4" t="s">
        <v>122</v>
      </c>
      <c r="C2364" s="5">
        <v>45955.21763888889</v>
      </c>
      <c r="D2364" s="5">
        <v>45961</v>
      </c>
      <c r="E2364" s="6">
        <f>IF(AND(C2364&lt;&gt;"",D2364&lt;&gt;""),D2364-C2364,"")</f>
        <v>0</v>
      </c>
      <c r="F2364" s="4" t="s">
        <v>3499</v>
      </c>
      <c r="G2364" s="4"/>
      <c r="H2364" s="4"/>
      <c r="I2364" s="4" t="s">
        <v>56</v>
      </c>
      <c r="J2364" s="4">
        <v>1</v>
      </c>
      <c r="K2364" s="4">
        <v>0</v>
      </c>
      <c r="L2364" s="4">
        <f>J2364+K2364</f>
        <v>0</v>
      </c>
      <c r="M2364" s="4"/>
      <c r="N2364" s="4"/>
      <c r="O2364" s="4">
        <v>0</v>
      </c>
      <c r="P2364" s="4"/>
      <c r="Q2364" s="4"/>
      <c r="R2364" s="7">
        <v>0</v>
      </c>
      <c r="S2364" s="7">
        <v>0</v>
      </c>
      <c r="T2364" s="7">
        <f>R2364-S2364</f>
        <v>0</v>
      </c>
      <c r="U2364" s="7">
        <f>T2364*O2364</f>
        <v>0</v>
      </c>
    </row>
    <row r="2365" spans="1:21">
      <c r="A2365" s="4" t="s">
        <v>3495</v>
      </c>
      <c r="B2365" s="4" t="s">
        <v>122</v>
      </c>
      <c r="C2365" s="5">
        <v>45955.21763888889</v>
      </c>
      <c r="D2365" s="5">
        <v>45961</v>
      </c>
      <c r="E2365" s="6">
        <f>IF(AND(C2365&lt;&gt;"",D2365&lt;&gt;""),D2365-C2365,"")</f>
        <v>0</v>
      </c>
      <c r="F2365" s="4" t="s">
        <v>3500</v>
      </c>
      <c r="G2365" s="4"/>
      <c r="H2365" s="4"/>
      <c r="I2365" s="4" t="s">
        <v>56</v>
      </c>
      <c r="J2365" s="4">
        <v>1</v>
      </c>
      <c r="K2365" s="4">
        <v>0</v>
      </c>
      <c r="L2365" s="4">
        <f>J2365+K2365</f>
        <v>0</v>
      </c>
      <c r="M2365" s="4"/>
      <c r="N2365" s="4"/>
      <c r="O2365" s="4">
        <v>0</v>
      </c>
      <c r="P2365" s="4"/>
      <c r="Q2365" s="4"/>
      <c r="R2365" s="7">
        <v>0</v>
      </c>
      <c r="S2365" s="7">
        <v>0</v>
      </c>
      <c r="T2365" s="7">
        <f>R2365-S2365</f>
        <v>0</v>
      </c>
      <c r="U2365" s="7">
        <f>T2365*O2365</f>
        <v>0</v>
      </c>
    </row>
    <row r="2366" spans="1:21">
      <c r="A2366" s="4" t="s">
        <v>3495</v>
      </c>
      <c r="B2366" s="4" t="s">
        <v>122</v>
      </c>
      <c r="C2366" s="5">
        <v>45955.21763888889</v>
      </c>
      <c r="D2366" s="5">
        <v>45961</v>
      </c>
      <c r="E2366" s="6">
        <f>IF(AND(C2366&lt;&gt;"",D2366&lt;&gt;""),D2366-C2366,"")</f>
        <v>0</v>
      </c>
      <c r="F2366" s="4" t="s">
        <v>3501</v>
      </c>
      <c r="G2366" s="4"/>
      <c r="H2366" s="4"/>
      <c r="I2366" s="4" t="s">
        <v>56</v>
      </c>
      <c r="J2366" s="4">
        <v>1</v>
      </c>
      <c r="K2366" s="4">
        <v>0</v>
      </c>
      <c r="L2366" s="4">
        <f>J2366+K2366</f>
        <v>0</v>
      </c>
      <c r="M2366" s="4"/>
      <c r="N2366" s="4"/>
      <c r="O2366" s="4">
        <v>0</v>
      </c>
      <c r="P2366" s="4"/>
      <c r="Q2366" s="4"/>
      <c r="R2366" s="7">
        <v>0</v>
      </c>
      <c r="S2366" s="7">
        <v>0</v>
      </c>
      <c r="T2366" s="7">
        <f>R2366-S2366</f>
        <v>0</v>
      </c>
      <c r="U2366" s="7">
        <f>T2366*O2366</f>
        <v>0</v>
      </c>
    </row>
    <row r="2367" spans="1:21">
      <c r="A2367" s="4" t="s">
        <v>3502</v>
      </c>
      <c r="B2367" s="4" t="s">
        <v>122</v>
      </c>
      <c r="C2367" s="5">
        <v>45955.21763888889</v>
      </c>
      <c r="D2367" s="5">
        <v>45961</v>
      </c>
      <c r="E2367" s="6">
        <f>IF(AND(C2367&lt;&gt;"",D2367&lt;&gt;""),D2367-C2367,"")</f>
        <v>0</v>
      </c>
      <c r="F2367" s="4" t="s">
        <v>3503</v>
      </c>
      <c r="G2367" s="4"/>
      <c r="H2367" s="4"/>
      <c r="I2367" s="4" t="s">
        <v>56</v>
      </c>
      <c r="J2367" s="4">
        <v>1</v>
      </c>
      <c r="K2367" s="4">
        <v>0</v>
      </c>
      <c r="L2367" s="4">
        <f>J2367+K2367</f>
        <v>0</v>
      </c>
      <c r="M2367" s="4"/>
      <c r="N2367" s="4"/>
      <c r="O2367" s="4">
        <v>0</v>
      </c>
      <c r="P2367" s="4"/>
      <c r="Q2367" s="4"/>
      <c r="R2367" s="7">
        <v>0</v>
      </c>
      <c r="S2367" s="7">
        <v>0</v>
      </c>
      <c r="T2367" s="7">
        <f>R2367-S2367</f>
        <v>0</v>
      </c>
      <c r="U2367" s="7">
        <f>T2367*O2367</f>
        <v>0</v>
      </c>
    </row>
    <row r="2368" spans="1:21">
      <c r="A2368" s="4" t="s">
        <v>3504</v>
      </c>
      <c r="B2368" s="4" t="s">
        <v>122</v>
      </c>
      <c r="C2368" s="5">
        <v>45955.21765046296</v>
      </c>
      <c r="D2368" s="5">
        <v>45961</v>
      </c>
      <c r="E2368" s="6">
        <f>IF(AND(C2368&lt;&gt;"",D2368&lt;&gt;""),D2368-C2368,"")</f>
        <v>0</v>
      </c>
      <c r="F2368" s="4" t="s">
        <v>3505</v>
      </c>
      <c r="G2368" s="4"/>
      <c r="H2368" s="4"/>
      <c r="I2368" s="4" t="s">
        <v>56</v>
      </c>
      <c r="J2368" s="4">
        <v>1</v>
      </c>
      <c r="K2368" s="4">
        <v>0</v>
      </c>
      <c r="L2368" s="4">
        <f>J2368+K2368</f>
        <v>0</v>
      </c>
      <c r="M2368" s="4"/>
      <c r="N2368" s="4"/>
      <c r="O2368" s="4">
        <v>0</v>
      </c>
      <c r="P2368" s="4"/>
      <c r="Q2368" s="4"/>
      <c r="R2368" s="7">
        <v>0</v>
      </c>
      <c r="S2368" s="7">
        <v>0</v>
      </c>
      <c r="T2368" s="7">
        <f>R2368-S2368</f>
        <v>0</v>
      </c>
      <c r="U2368" s="7">
        <f>T2368*O2368</f>
        <v>0</v>
      </c>
    </row>
    <row r="2369" spans="1:21">
      <c r="A2369" s="4" t="s">
        <v>3504</v>
      </c>
      <c r="B2369" s="4" t="s">
        <v>122</v>
      </c>
      <c r="C2369" s="5">
        <v>45955.21765046296</v>
      </c>
      <c r="D2369" s="5">
        <v>45961</v>
      </c>
      <c r="E2369" s="6">
        <f>IF(AND(C2369&lt;&gt;"",D2369&lt;&gt;""),D2369-C2369,"")</f>
        <v>0</v>
      </c>
      <c r="F2369" s="4" t="s">
        <v>3506</v>
      </c>
      <c r="G2369" s="4"/>
      <c r="H2369" s="4"/>
      <c r="I2369" s="4" t="s">
        <v>56</v>
      </c>
      <c r="J2369" s="4">
        <v>1</v>
      </c>
      <c r="K2369" s="4">
        <v>0</v>
      </c>
      <c r="L2369" s="4">
        <f>J2369+K2369</f>
        <v>0</v>
      </c>
      <c r="M2369" s="4"/>
      <c r="N2369" s="4"/>
      <c r="O2369" s="4">
        <v>0</v>
      </c>
      <c r="P2369" s="4"/>
      <c r="Q2369" s="4"/>
      <c r="R2369" s="7">
        <v>0</v>
      </c>
      <c r="S2369" s="7">
        <v>0</v>
      </c>
      <c r="T2369" s="7">
        <f>R2369-S2369</f>
        <v>0</v>
      </c>
      <c r="U2369" s="7">
        <f>T2369*O2369</f>
        <v>0</v>
      </c>
    </row>
    <row r="2370" spans="1:21">
      <c r="A2370" s="4" t="s">
        <v>3504</v>
      </c>
      <c r="B2370" s="4" t="s">
        <v>122</v>
      </c>
      <c r="C2370" s="5">
        <v>45955.21765046296</v>
      </c>
      <c r="D2370" s="5">
        <v>45961</v>
      </c>
      <c r="E2370" s="6">
        <f>IF(AND(C2370&lt;&gt;"",D2370&lt;&gt;""),D2370-C2370,"")</f>
        <v>0</v>
      </c>
      <c r="F2370" s="4" t="s">
        <v>3507</v>
      </c>
      <c r="G2370" s="4"/>
      <c r="H2370" s="4"/>
      <c r="I2370" s="4" t="s">
        <v>56</v>
      </c>
      <c r="J2370" s="4">
        <v>1</v>
      </c>
      <c r="K2370" s="4">
        <v>0</v>
      </c>
      <c r="L2370" s="4">
        <f>J2370+K2370</f>
        <v>0</v>
      </c>
      <c r="M2370" s="4"/>
      <c r="N2370" s="4"/>
      <c r="O2370" s="4">
        <v>0</v>
      </c>
      <c r="P2370" s="4"/>
      <c r="Q2370" s="4"/>
      <c r="R2370" s="7">
        <v>0</v>
      </c>
      <c r="S2370" s="7">
        <v>0</v>
      </c>
      <c r="T2370" s="7">
        <f>R2370-S2370</f>
        <v>0</v>
      </c>
      <c r="U2370" s="7">
        <f>T2370*O2370</f>
        <v>0</v>
      </c>
    </row>
    <row r="2371" spans="1:21">
      <c r="A2371" s="4" t="s">
        <v>3504</v>
      </c>
      <c r="B2371" s="4" t="s">
        <v>122</v>
      </c>
      <c r="C2371" s="5">
        <v>45955.21765046296</v>
      </c>
      <c r="D2371" s="5">
        <v>45961</v>
      </c>
      <c r="E2371" s="6">
        <f>IF(AND(C2371&lt;&gt;"",D2371&lt;&gt;""),D2371-C2371,"")</f>
        <v>0</v>
      </c>
      <c r="F2371" s="4" t="s">
        <v>3508</v>
      </c>
      <c r="G2371" s="4"/>
      <c r="H2371" s="4"/>
      <c r="I2371" s="4" t="s">
        <v>56</v>
      </c>
      <c r="J2371" s="4">
        <v>1</v>
      </c>
      <c r="K2371" s="4">
        <v>0</v>
      </c>
      <c r="L2371" s="4">
        <f>J2371+K2371</f>
        <v>0</v>
      </c>
      <c r="M2371" s="4"/>
      <c r="N2371" s="4"/>
      <c r="O2371" s="4">
        <v>0</v>
      </c>
      <c r="P2371" s="4"/>
      <c r="Q2371" s="4"/>
      <c r="R2371" s="7">
        <v>0</v>
      </c>
      <c r="S2371" s="7">
        <v>0</v>
      </c>
      <c r="T2371" s="7">
        <f>R2371-S2371</f>
        <v>0</v>
      </c>
      <c r="U2371" s="7">
        <f>T2371*O2371</f>
        <v>0</v>
      </c>
    </row>
    <row r="2372" spans="1:21">
      <c r="A2372" s="4" t="s">
        <v>3504</v>
      </c>
      <c r="B2372" s="4" t="s">
        <v>122</v>
      </c>
      <c r="C2372" s="5">
        <v>45955.21765046296</v>
      </c>
      <c r="D2372" s="5">
        <v>45961</v>
      </c>
      <c r="E2372" s="6">
        <f>IF(AND(C2372&lt;&gt;"",D2372&lt;&gt;""),D2372-C2372,"")</f>
        <v>0</v>
      </c>
      <c r="F2372" s="4" t="s">
        <v>3509</v>
      </c>
      <c r="G2372" s="4"/>
      <c r="H2372" s="4"/>
      <c r="I2372" s="4" t="s">
        <v>56</v>
      </c>
      <c r="J2372" s="4">
        <v>1</v>
      </c>
      <c r="K2372" s="4">
        <v>0</v>
      </c>
      <c r="L2372" s="4">
        <f>J2372+K2372</f>
        <v>0</v>
      </c>
      <c r="M2372" s="4"/>
      <c r="N2372" s="4"/>
      <c r="O2372" s="4">
        <v>0</v>
      </c>
      <c r="P2372" s="4"/>
      <c r="Q2372" s="4"/>
      <c r="R2372" s="7">
        <v>0</v>
      </c>
      <c r="S2372" s="7">
        <v>0</v>
      </c>
      <c r="T2372" s="7">
        <f>R2372-S2372</f>
        <v>0</v>
      </c>
      <c r="U2372" s="7">
        <f>T2372*O2372</f>
        <v>0</v>
      </c>
    </row>
    <row r="2373" spans="1:21">
      <c r="A2373" s="4" t="s">
        <v>3504</v>
      </c>
      <c r="B2373" s="4" t="s">
        <v>122</v>
      </c>
      <c r="C2373" s="5">
        <v>45955.21765046296</v>
      </c>
      <c r="D2373" s="5">
        <v>45961</v>
      </c>
      <c r="E2373" s="6">
        <f>IF(AND(C2373&lt;&gt;"",D2373&lt;&gt;""),D2373-C2373,"")</f>
        <v>0</v>
      </c>
      <c r="F2373" s="4" t="s">
        <v>3510</v>
      </c>
      <c r="G2373" s="4"/>
      <c r="H2373" s="4"/>
      <c r="I2373" s="4" t="s">
        <v>56</v>
      </c>
      <c r="J2373" s="4">
        <v>1</v>
      </c>
      <c r="K2373" s="4">
        <v>0</v>
      </c>
      <c r="L2373" s="4">
        <f>J2373+K2373</f>
        <v>0</v>
      </c>
      <c r="M2373" s="4"/>
      <c r="N2373" s="4"/>
      <c r="O2373" s="4">
        <v>0</v>
      </c>
      <c r="P2373" s="4"/>
      <c r="Q2373" s="4"/>
      <c r="R2373" s="7">
        <v>0</v>
      </c>
      <c r="S2373" s="7">
        <v>0</v>
      </c>
      <c r="T2373" s="7">
        <f>R2373-S2373</f>
        <v>0</v>
      </c>
      <c r="U2373" s="7">
        <f>T2373*O2373</f>
        <v>0</v>
      </c>
    </row>
    <row r="2374" spans="1:21">
      <c r="A2374" s="4" t="s">
        <v>3511</v>
      </c>
      <c r="B2374" s="4" t="s">
        <v>122</v>
      </c>
      <c r="C2374" s="5">
        <v>45955.21765046296</v>
      </c>
      <c r="D2374" s="5">
        <v>45961</v>
      </c>
      <c r="E2374" s="6">
        <f>IF(AND(C2374&lt;&gt;"",D2374&lt;&gt;""),D2374-C2374,"")</f>
        <v>0</v>
      </c>
      <c r="F2374" s="4" t="s">
        <v>3512</v>
      </c>
      <c r="G2374" s="4"/>
      <c r="H2374" s="4"/>
      <c r="I2374" s="4" t="s">
        <v>56</v>
      </c>
      <c r="J2374" s="4">
        <v>1</v>
      </c>
      <c r="K2374" s="4">
        <v>0</v>
      </c>
      <c r="L2374" s="4">
        <f>J2374+K2374</f>
        <v>0</v>
      </c>
      <c r="M2374" s="4"/>
      <c r="N2374" s="4"/>
      <c r="O2374" s="4">
        <v>0</v>
      </c>
      <c r="P2374" s="4"/>
      <c r="Q2374" s="4"/>
      <c r="R2374" s="7">
        <v>0</v>
      </c>
      <c r="S2374" s="7">
        <v>0</v>
      </c>
      <c r="T2374" s="7">
        <f>R2374-S2374</f>
        <v>0</v>
      </c>
      <c r="U2374" s="7">
        <f>T2374*O2374</f>
        <v>0</v>
      </c>
    </row>
    <row r="2375" spans="1:21">
      <c r="A2375" s="4" t="s">
        <v>3511</v>
      </c>
      <c r="B2375" s="4" t="s">
        <v>122</v>
      </c>
      <c r="C2375" s="5">
        <v>45955.21765046296</v>
      </c>
      <c r="D2375" s="5">
        <v>45961</v>
      </c>
      <c r="E2375" s="6">
        <f>IF(AND(C2375&lt;&gt;"",D2375&lt;&gt;""),D2375-C2375,"")</f>
        <v>0</v>
      </c>
      <c r="F2375" s="4" t="s">
        <v>3513</v>
      </c>
      <c r="G2375" s="4"/>
      <c r="H2375" s="4"/>
      <c r="I2375" s="4" t="s">
        <v>56</v>
      </c>
      <c r="J2375" s="4">
        <v>1</v>
      </c>
      <c r="K2375" s="4">
        <v>0</v>
      </c>
      <c r="L2375" s="4">
        <f>J2375+K2375</f>
        <v>0</v>
      </c>
      <c r="M2375" s="4"/>
      <c r="N2375" s="4"/>
      <c r="O2375" s="4">
        <v>0</v>
      </c>
      <c r="P2375" s="4"/>
      <c r="Q2375" s="4"/>
      <c r="R2375" s="7">
        <v>0</v>
      </c>
      <c r="S2375" s="7">
        <v>0</v>
      </c>
      <c r="T2375" s="7">
        <f>R2375-S2375</f>
        <v>0</v>
      </c>
      <c r="U2375" s="7">
        <f>T2375*O2375</f>
        <v>0</v>
      </c>
    </row>
    <row r="2376" spans="1:21">
      <c r="A2376" s="4" t="s">
        <v>3511</v>
      </c>
      <c r="B2376" s="4" t="s">
        <v>122</v>
      </c>
      <c r="C2376" s="5">
        <v>45955.21765046296</v>
      </c>
      <c r="D2376" s="5">
        <v>45961</v>
      </c>
      <c r="E2376" s="6">
        <f>IF(AND(C2376&lt;&gt;"",D2376&lt;&gt;""),D2376-C2376,"")</f>
        <v>0</v>
      </c>
      <c r="F2376" s="4" t="s">
        <v>3514</v>
      </c>
      <c r="G2376" s="4"/>
      <c r="H2376" s="4"/>
      <c r="I2376" s="4" t="s">
        <v>56</v>
      </c>
      <c r="J2376" s="4">
        <v>1</v>
      </c>
      <c r="K2376" s="4">
        <v>0</v>
      </c>
      <c r="L2376" s="4">
        <f>J2376+K2376</f>
        <v>0</v>
      </c>
      <c r="M2376" s="4"/>
      <c r="N2376" s="4"/>
      <c r="O2376" s="4">
        <v>0</v>
      </c>
      <c r="P2376" s="4"/>
      <c r="Q2376" s="4"/>
      <c r="R2376" s="7">
        <v>0</v>
      </c>
      <c r="S2376" s="7">
        <v>0</v>
      </c>
      <c r="T2376" s="7">
        <f>R2376-S2376</f>
        <v>0</v>
      </c>
      <c r="U2376" s="7">
        <f>T2376*O2376</f>
        <v>0</v>
      </c>
    </row>
    <row r="2377" spans="1:21">
      <c r="A2377" s="4" t="s">
        <v>3511</v>
      </c>
      <c r="B2377" s="4" t="s">
        <v>122</v>
      </c>
      <c r="C2377" s="5">
        <v>45955.21765046296</v>
      </c>
      <c r="D2377" s="5">
        <v>45961</v>
      </c>
      <c r="E2377" s="6">
        <f>IF(AND(C2377&lt;&gt;"",D2377&lt;&gt;""),D2377-C2377,"")</f>
        <v>0</v>
      </c>
      <c r="F2377" s="4" t="s">
        <v>3515</v>
      </c>
      <c r="G2377" s="4"/>
      <c r="H2377" s="4"/>
      <c r="I2377" s="4" t="s">
        <v>56</v>
      </c>
      <c r="J2377" s="4">
        <v>1</v>
      </c>
      <c r="K2377" s="4">
        <v>0</v>
      </c>
      <c r="L2377" s="4">
        <f>J2377+K2377</f>
        <v>0</v>
      </c>
      <c r="M2377" s="4"/>
      <c r="N2377" s="4"/>
      <c r="O2377" s="4">
        <v>0</v>
      </c>
      <c r="P2377" s="4"/>
      <c r="Q2377" s="4"/>
      <c r="R2377" s="7">
        <v>0</v>
      </c>
      <c r="S2377" s="7">
        <v>0</v>
      </c>
      <c r="T2377" s="7">
        <f>R2377-S2377</f>
        <v>0</v>
      </c>
      <c r="U2377" s="7">
        <f>T2377*O2377</f>
        <v>0</v>
      </c>
    </row>
    <row r="2378" spans="1:21">
      <c r="A2378" s="4" t="s">
        <v>3511</v>
      </c>
      <c r="B2378" s="4" t="s">
        <v>122</v>
      </c>
      <c r="C2378" s="5">
        <v>45955.21765046296</v>
      </c>
      <c r="D2378" s="5">
        <v>45961</v>
      </c>
      <c r="E2378" s="6">
        <f>IF(AND(C2378&lt;&gt;"",D2378&lt;&gt;""),D2378-C2378,"")</f>
        <v>0</v>
      </c>
      <c r="F2378" s="4" t="s">
        <v>3516</v>
      </c>
      <c r="G2378" s="4"/>
      <c r="H2378" s="4"/>
      <c r="I2378" s="4" t="s">
        <v>56</v>
      </c>
      <c r="J2378" s="4">
        <v>1</v>
      </c>
      <c r="K2378" s="4">
        <v>0</v>
      </c>
      <c r="L2378" s="4">
        <f>J2378+K2378</f>
        <v>0</v>
      </c>
      <c r="M2378" s="4"/>
      <c r="N2378" s="4"/>
      <c r="O2378" s="4">
        <v>0</v>
      </c>
      <c r="P2378" s="4"/>
      <c r="Q2378" s="4"/>
      <c r="R2378" s="7">
        <v>0</v>
      </c>
      <c r="S2378" s="7">
        <v>0</v>
      </c>
      <c r="T2378" s="7">
        <f>R2378-S2378</f>
        <v>0</v>
      </c>
      <c r="U2378" s="7">
        <f>T2378*O2378</f>
        <v>0</v>
      </c>
    </row>
    <row r="2379" spans="1:21">
      <c r="A2379" s="4" t="s">
        <v>3511</v>
      </c>
      <c r="B2379" s="4" t="s">
        <v>122</v>
      </c>
      <c r="C2379" s="5">
        <v>45955.21765046296</v>
      </c>
      <c r="D2379" s="5">
        <v>45961</v>
      </c>
      <c r="E2379" s="6">
        <f>IF(AND(C2379&lt;&gt;"",D2379&lt;&gt;""),D2379-C2379,"")</f>
        <v>0</v>
      </c>
      <c r="F2379" s="4" t="s">
        <v>3517</v>
      </c>
      <c r="G2379" s="4"/>
      <c r="H2379" s="4"/>
      <c r="I2379" s="4" t="s">
        <v>56</v>
      </c>
      <c r="J2379" s="4">
        <v>1</v>
      </c>
      <c r="K2379" s="4">
        <v>0</v>
      </c>
      <c r="L2379" s="4">
        <f>J2379+K2379</f>
        <v>0</v>
      </c>
      <c r="M2379" s="4"/>
      <c r="N2379" s="4"/>
      <c r="O2379" s="4">
        <v>0</v>
      </c>
      <c r="P2379" s="4"/>
      <c r="Q2379" s="4"/>
      <c r="R2379" s="7">
        <v>0</v>
      </c>
      <c r="S2379" s="7">
        <v>0</v>
      </c>
      <c r="T2379" s="7">
        <f>R2379-S2379</f>
        <v>0</v>
      </c>
      <c r="U2379" s="7">
        <f>T2379*O2379</f>
        <v>0</v>
      </c>
    </row>
    <row r="2380" spans="1:21">
      <c r="A2380" s="4" t="s">
        <v>3502</v>
      </c>
      <c r="B2380" s="4" t="s">
        <v>122</v>
      </c>
      <c r="C2380" s="5">
        <v>45955.21765046296</v>
      </c>
      <c r="D2380" s="5">
        <v>45961</v>
      </c>
      <c r="E2380" s="6">
        <f>IF(AND(C2380&lt;&gt;"",D2380&lt;&gt;""),D2380-C2380,"")</f>
        <v>0</v>
      </c>
      <c r="F2380" s="4" t="s">
        <v>3518</v>
      </c>
      <c r="G2380" s="4"/>
      <c r="H2380" s="4"/>
      <c r="I2380" s="4" t="s">
        <v>56</v>
      </c>
      <c r="J2380" s="4">
        <v>1</v>
      </c>
      <c r="K2380" s="4">
        <v>0</v>
      </c>
      <c r="L2380" s="4">
        <f>J2380+K2380</f>
        <v>0</v>
      </c>
      <c r="M2380" s="4"/>
      <c r="N2380" s="4"/>
      <c r="O2380" s="4">
        <v>0</v>
      </c>
      <c r="P2380" s="4"/>
      <c r="Q2380" s="4"/>
      <c r="R2380" s="7">
        <v>0</v>
      </c>
      <c r="S2380" s="7">
        <v>0</v>
      </c>
      <c r="T2380" s="7">
        <f>R2380-S2380</f>
        <v>0</v>
      </c>
      <c r="U2380" s="7">
        <f>T2380*O2380</f>
        <v>0</v>
      </c>
    </row>
    <row r="2381" spans="1:21">
      <c r="A2381" s="4" t="s">
        <v>3502</v>
      </c>
      <c r="B2381" s="4" t="s">
        <v>122</v>
      </c>
      <c r="C2381" s="5">
        <v>45955.21765046296</v>
      </c>
      <c r="D2381" s="5">
        <v>45961</v>
      </c>
      <c r="E2381" s="6">
        <f>IF(AND(C2381&lt;&gt;"",D2381&lt;&gt;""),D2381-C2381,"")</f>
        <v>0</v>
      </c>
      <c r="F2381" s="4" t="s">
        <v>3519</v>
      </c>
      <c r="G2381" s="4"/>
      <c r="H2381" s="4"/>
      <c r="I2381" s="4" t="s">
        <v>56</v>
      </c>
      <c r="J2381" s="4">
        <v>1</v>
      </c>
      <c r="K2381" s="4">
        <v>0</v>
      </c>
      <c r="L2381" s="4">
        <f>J2381+K2381</f>
        <v>0</v>
      </c>
      <c r="M2381" s="4"/>
      <c r="N2381" s="4"/>
      <c r="O2381" s="4">
        <v>0</v>
      </c>
      <c r="P2381" s="4"/>
      <c r="Q2381" s="4"/>
      <c r="R2381" s="7">
        <v>0</v>
      </c>
      <c r="S2381" s="7">
        <v>0</v>
      </c>
      <c r="T2381" s="7">
        <f>R2381-S2381</f>
        <v>0</v>
      </c>
      <c r="U2381" s="7">
        <f>T2381*O2381</f>
        <v>0</v>
      </c>
    </row>
    <row r="2382" spans="1:21">
      <c r="A2382" s="4" t="s">
        <v>3520</v>
      </c>
      <c r="B2382" s="4" t="s">
        <v>122</v>
      </c>
      <c r="C2382" s="5">
        <v>45955.21765046296</v>
      </c>
      <c r="D2382" s="5">
        <v>45961</v>
      </c>
      <c r="E2382" s="6">
        <f>IF(AND(C2382&lt;&gt;"",D2382&lt;&gt;""),D2382-C2382,"")</f>
        <v>0</v>
      </c>
      <c r="F2382" s="4" t="s">
        <v>3521</v>
      </c>
      <c r="G2382" s="4"/>
      <c r="H2382" s="4"/>
      <c r="I2382" s="4" t="s">
        <v>56</v>
      </c>
      <c r="J2382" s="4">
        <v>1</v>
      </c>
      <c r="K2382" s="4">
        <v>0</v>
      </c>
      <c r="L2382" s="4">
        <f>J2382+K2382</f>
        <v>0</v>
      </c>
      <c r="M2382" s="4"/>
      <c r="N2382" s="4"/>
      <c r="O2382" s="4">
        <v>0</v>
      </c>
      <c r="P2382" s="4"/>
      <c r="Q2382" s="4"/>
      <c r="R2382" s="7">
        <v>0</v>
      </c>
      <c r="S2382" s="7">
        <v>0</v>
      </c>
      <c r="T2382" s="7">
        <f>R2382-S2382</f>
        <v>0</v>
      </c>
      <c r="U2382" s="7">
        <f>T2382*O2382</f>
        <v>0</v>
      </c>
    </row>
    <row r="2383" spans="1:21">
      <c r="A2383" s="4" t="s">
        <v>3522</v>
      </c>
      <c r="B2383" s="4" t="s">
        <v>122</v>
      </c>
      <c r="C2383" s="5">
        <v>45955.21765046296</v>
      </c>
      <c r="D2383" s="5">
        <v>45961</v>
      </c>
      <c r="E2383" s="6">
        <f>IF(AND(C2383&lt;&gt;"",D2383&lt;&gt;""),D2383-C2383,"")</f>
        <v>0</v>
      </c>
      <c r="F2383" s="4" t="s">
        <v>3523</v>
      </c>
      <c r="G2383" s="4"/>
      <c r="H2383" s="4"/>
      <c r="I2383" s="4" t="s">
        <v>56</v>
      </c>
      <c r="J2383" s="4">
        <v>1</v>
      </c>
      <c r="K2383" s="4">
        <v>0</v>
      </c>
      <c r="L2383" s="4">
        <f>J2383+K2383</f>
        <v>0</v>
      </c>
      <c r="M2383" s="4"/>
      <c r="N2383" s="4"/>
      <c r="O2383" s="4">
        <v>0</v>
      </c>
      <c r="P2383" s="4"/>
      <c r="Q2383" s="4"/>
      <c r="R2383" s="7">
        <v>0</v>
      </c>
      <c r="S2383" s="7">
        <v>0</v>
      </c>
      <c r="T2383" s="7">
        <f>R2383-S2383</f>
        <v>0</v>
      </c>
      <c r="U2383" s="7">
        <f>T2383*O2383</f>
        <v>0</v>
      </c>
    </row>
    <row r="2384" spans="1:21">
      <c r="A2384" s="4" t="s">
        <v>3524</v>
      </c>
      <c r="B2384" s="4" t="s">
        <v>122</v>
      </c>
      <c r="C2384" s="5">
        <v>45955.21765046296</v>
      </c>
      <c r="D2384" s="5">
        <v>45961</v>
      </c>
      <c r="E2384" s="6">
        <f>IF(AND(C2384&lt;&gt;"",D2384&lt;&gt;""),D2384-C2384,"")</f>
        <v>0</v>
      </c>
      <c r="F2384" s="4" t="s">
        <v>3525</v>
      </c>
      <c r="G2384" s="4"/>
      <c r="H2384" s="4"/>
      <c r="I2384" s="4" t="s">
        <v>56</v>
      </c>
      <c r="J2384" s="4">
        <v>1</v>
      </c>
      <c r="K2384" s="4">
        <v>0</v>
      </c>
      <c r="L2384" s="4">
        <f>J2384+K2384</f>
        <v>0</v>
      </c>
      <c r="M2384" s="4"/>
      <c r="N2384" s="4"/>
      <c r="O2384" s="4">
        <v>0</v>
      </c>
      <c r="P2384" s="4"/>
      <c r="Q2384" s="4"/>
      <c r="R2384" s="7">
        <v>0</v>
      </c>
      <c r="S2384" s="7">
        <v>0</v>
      </c>
      <c r="T2384" s="7">
        <f>R2384-S2384</f>
        <v>0</v>
      </c>
      <c r="U2384" s="7">
        <f>T2384*O2384</f>
        <v>0</v>
      </c>
    </row>
    <row r="2385" spans="1:21">
      <c r="A2385" s="4" t="s">
        <v>3526</v>
      </c>
      <c r="B2385" s="4" t="s">
        <v>122</v>
      </c>
      <c r="C2385" s="5">
        <v>45955.21765046296</v>
      </c>
      <c r="D2385" s="5">
        <v>45961</v>
      </c>
      <c r="E2385" s="6">
        <f>IF(AND(C2385&lt;&gt;"",D2385&lt;&gt;""),D2385-C2385,"")</f>
        <v>0</v>
      </c>
      <c r="F2385" s="4" t="s">
        <v>3527</v>
      </c>
      <c r="G2385" s="4"/>
      <c r="H2385" s="4"/>
      <c r="I2385" s="4" t="s">
        <v>56</v>
      </c>
      <c r="J2385" s="4">
        <v>1</v>
      </c>
      <c r="K2385" s="4">
        <v>0</v>
      </c>
      <c r="L2385" s="4">
        <f>J2385+K2385</f>
        <v>0</v>
      </c>
      <c r="M2385" s="4"/>
      <c r="N2385" s="4"/>
      <c r="O2385" s="4">
        <v>0</v>
      </c>
      <c r="P2385" s="4"/>
      <c r="Q2385" s="4"/>
      <c r="R2385" s="7">
        <v>0</v>
      </c>
      <c r="S2385" s="7">
        <v>0</v>
      </c>
      <c r="T2385" s="7">
        <f>R2385-S2385</f>
        <v>0</v>
      </c>
      <c r="U2385" s="7">
        <f>T2385*O2385</f>
        <v>0</v>
      </c>
    </row>
    <row r="2386" spans="1:21">
      <c r="A2386" s="4" t="s">
        <v>3528</v>
      </c>
      <c r="B2386" s="4" t="s">
        <v>122</v>
      </c>
      <c r="C2386" s="5">
        <v>45955.21765046296</v>
      </c>
      <c r="D2386" s="5">
        <v>45961</v>
      </c>
      <c r="E2386" s="6">
        <f>IF(AND(C2386&lt;&gt;"",D2386&lt;&gt;""),D2386-C2386,"")</f>
        <v>0</v>
      </c>
      <c r="F2386" s="4" t="s">
        <v>3529</v>
      </c>
      <c r="G2386" s="4"/>
      <c r="H2386" s="4"/>
      <c r="I2386" s="4" t="s">
        <v>56</v>
      </c>
      <c r="J2386" s="4">
        <v>1</v>
      </c>
      <c r="K2386" s="4">
        <v>0</v>
      </c>
      <c r="L2386" s="4">
        <f>J2386+K2386</f>
        <v>0</v>
      </c>
      <c r="M2386" s="4"/>
      <c r="N2386" s="4"/>
      <c r="O2386" s="4">
        <v>0</v>
      </c>
      <c r="P2386" s="4"/>
      <c r="Q2386" s="4"/>
      <c r="R2386" s="7">
        <v>0</v>
      </c>
      <c r="S2386" s="7">
        <v>0</v>
      </c>
      <c r="T2386" s="7">
        <f>R2386-S2386</f>
        <v>0</v>
      </c>
      <c r="U2386" s="7">
        <f>T2386*O2386</f>
        <v>0</v>
      </c>
    </row>
    <row r="2387" spans="1:21">
      <c r="A2387" s="4" t="s">
        <v>3528</v>
      </c>
      <c r="B2387" s="4" t="s">
        <v>122</v>
      </c>
      <c r="C2387" s="5">
        <v>45955.21765046296</v>
      </c>
      <c r="D2387" s="5">
        <v>45961</v>
      </c>
      <c r="E2387" s="6">
        <f>IF(AND(C2387&lt;&gt;"",D2387&lt;&gt;""),D2387-C2387,"")</f>
        <v>0</v>
      </c>
      <c r="F2387" s="4" t="s">
        <v>3530</v>
      </c>
      <c r="G2387" s="4"/>
      <c r="H2387" s="4"/>
      <c r="I2387" s="4" t="s">
        <v>56</v>
      </c>
      <c r="J2387" s="4">
        <v>1</v>
      </c>
      <c r="K2387" s="4">
        <v>0</v>
      </c>
      <c r="L2387" s="4">
        <f>J2387+K2387</f>
        <v>0</v>
      </c>
      <c r="M2387" s="4"/>
      <c r="N2387" s="4"/>
      <c r="O2387" s="4">
        <v>0</v>
      </c>
      <c r="P2387" s="4"/>
      <c r="Q2387" s="4"/>
      <c r="R2387" s="7">
        <v>0</v>
      </c>
      <c r="S2387" s="7">
        <v>0</v>
      </c>
      <c r="T2387" s="7">
        <f>R2387-S2387</f>
        <v>0</v>
      </c>
      <c r="U2387" s="7">
        <f>T2387*O2387</f>
        <v>0</v>
      </c>
    </row>
    <row r="2388" spans="1:21">
      <c r="A2388" s="4" t="s">
        <v>3528</v>
      </c>
      <c r="B2388" s="4" t="s">
        <v>122</v>
      </c>
      <c r="C2388" s="5">
        <v>45955.21765046296</v>
      </c>
      <c r="D2388" s="5">
        <v>45961</v>
      </c>
      <c r="E2388" s="6">
        <f>IF(AND(C2388&lt;&gt;"",D2388&lt;&gt;""),D2388-C2388,"")</f>
        <v>0</v>
      </c>
      <c r="F2388" s="4" t="s">
        <v>3531</v>
      </c>
      <c r="G2388" s="4"/>
      <c r="H2388" s="4"/>
      <c r="I2388" s="4" t="s">
        <v>56</v>
      </c>
      <c r="J2388" s="4">
        <v>1</v>
      </c>
      <c r="K2388" s="4">
        <v>0</v>
      </c>
      <c r="L2388" s="4">
        <f>J2388+K2388</f>
        <v>0</v>
      </c>
      <c r="M2388" s="4"/>
      <c r="N2388" s="4"/>
      <c r="O2388" s="4">
        <v>0</v>
      </c>
      <c r="P2388" s="4"/>
      <c r="Q2388" s="4"/>
      <c r="R2388" s="7">
        <v>0</v>
      </c>
      <c r="S2388" s="7">
        <v>0</v>
      </c>
      <c r="T2388" s="7">
        <f>R2388-S2388</f>
        <v>0</v>
      </c>
      <c r="U2388" s="7">
        <f>T2388*O2388</f>
        <v>0</v>
      </c>
    </row>
    <row r="2389" spans="1:21">
      <c r="A2389" s="4" t="s">
        <v>3532</v>
      </c>
      <c r="B2389" s="4" t="s">
        <v>122</v>
      </c>
      <c r="C2389" s="5">
        <v>45955.21765046296</v>
      </c>
      <c r="D2389" s="5">
        <v>45961</v>
      </c>
      <c r="E2389" s="6">
        <f>IF(AND(C2389&lt;&gt;"",D2389&lt;&gt;""),D2389-C2389,"")</f>
        <v>0</v>
      </c>
      <c r="F2389" s="4" t="s">
        <v>3533</v>
      </c>
      <c r="G2389" s="4"/>
      <c r="H2389" s="4"/>
      <c r="I2389" s="4" t="s">
        <v>56</v>
      </c>
      <c r="J2389" s="4">
        <v>1</v>
      </c>
      <c r="K2389" s="4">
        <v>0</v>
      </c>
      <c r="L2389" s="4">
        <f>J2389+K2389</f>
        <v>0</v>
      </c>
      <c r="M2389" s="4"/>
      <c r="N2389" s="4"/>
      <c r="O2389" s="4">
        <v>0</v>
      </c>
      <c r="P2389" s="4"/>
      <c r="Q2389" s="4"/>
      <c r="R2389" s="7">
        <v>0</v>
      </c>
      <c r="S2389" s="7">
        <v>0</v>
      </c>
      <c r="T2389" s="7">
        <f>R2389-S2389</f>
        <v>0</v>
      </c>
      <c r="U2389" s="7">
        <f>T2389*O2389</f>
        <v>0</v>
      </c>
    </row>
    <row r="2390" spans="1:21">
      <c r="A2390" s="4" t="s">
        <v>3532</v>
      </c>
      <c r="B2390" s="4" t="s">
        <v>122</v>
      </c>
      <c r="C2390" s="5">
        <v>45955.21765046296</v>
      </c>
      <c r="D2390" s="5">
        <v>45961</v>
      </c>
      <c r="E2390" s="6">
        <f>IF(AND(C2390&lt;&gt;"",D2390&lt;&gt;""),D2390-C2390,"")</f>
        <v>0</v>
      </c>
      <c r="F2390" s="4" t="s">
        <v>3534</v>
      </c>
      <c r="G2390" s="4"/>
      <c r="H2390" s="4"/>
      <c r="I2390" s="4" t="s">
        <v>56</v>
      </c>
      <c r="J2390" s="4">
        <v>1</v>
      </c>
      <c r="K2390" s="4">
        <v>0</v>
      </c>
      <c r="L2390" s="4">
        <f>J2390+K2390</f>
        <v>0</v>
      </c>
      <c r="M2390" s="4"/>
      <c r="N2390" s="4"/>
      <c r="O2390" s="4">
        <v>0</v>
      </c>
      <c r="P2390" s="4"/>
      <c r="Q2390" s="4"/>
      <c r="R2390" s="7">
        <v>0</v>
      </c>
      <c r="S2390" s="7">
        <v>0</v>
      </c>
      <c r="T2390" s="7">
        <f>R2390-S2390</f>
        <v>0</v>
      </c>
      <c r="U2390" s="7">
        <f>T2390*O2390</f>
        <v>0</v>
      </c>
    </row>
    <row r="2391" spans="1:21">
      <c r="A2391" s="4" t="s">
        <v>3532</v>
      </c>
      <c r="B2391" s="4" t="s">
        <v>122</v>
      </c>
      <c r="C2391" s="5">
        <v>45955.21765046296</v>
      </c>
      <c r="D2391" s="5">
        <v>45961</v>
      </c>
      <c r="E2391" s="6">
        <f>IF(AND(C2391&lt;&gt;"",D2391&lt;&gt;""),D2391-C2391,"")</f>
        <v>0</v>
      </c>
      <c r="F2391" s="4" t="s">
        <v>3535</v>
      </c>
      <c r="G2391" s="4"/>
      <c r="H2391" s="4"/>
      <c r="I2391" s="4" t="s">
        <v>56</v>
      </c>
      <c r="J2391" s="4">
        <v>1</v>
      </c>
      <c r="K2391" s="4">
        <v>0</v>
      </c>
      <c r="L2391" s="4">
        <f>J2391+K2391</f>
        <v>0</v>
      </c>
      <c r="M2391" s="4"/>
      <c r="N2391" s="4"/>
      <c r="O2391" s="4">
        <v>0</v>
      </c>
      <c r="P2391" s="4"/>
      <c r="Q2391" s="4"/>
      <c r="R2391" s="7">
        <v>0</v>
      </c>
      <c r="S2391" s="7">
        <v>0</v>
      </c>
      <c r="T2391" s="7">
        <f>R2391-S2391</f>
        <v>0</v>
      </c>
      <c r="U2391" s="7">
        <f>T2391*O2391</f>
        <v>0</v>
      </c>
    </row>
    <row r="2392" spans="1:21">
      <c r="A2392" s="4" t="s">
        <v>3532</v>
      </c>
      <c r="B2392" s="4" t="s">
        <v>122</v>
      </c>
      <c r="C2392" s="5">
        <v>45955.21765046296</v>
      </c>
      <c r="D2392" s="5">
        <v>45961</v>
      </c>
      <c r="E2392" s="6">
        <f>IF(AND(C2392&lt;&gt;"",D2392&lt;&gt;""),D2392-C2392,"")</f>
        <v>0</v>
      </c>
      <c r="F2392" s="4" t="s">
        <v>3536</v>
      </c>
      <c r="G2392" s="4"/>
      <c r="H2392" s="4"/>
      <c r="I2392" s="4" t="s">
        <v>56</v>
      </c>
      <c r="J2392" s="4">
        <v>1</v>
      </c>
      <c r="K2392" s="4">
        <v>0</v>
      </c>
      <c r="L2392" s="4">
        <f>J2392+K2392</f>
        <v>0</v>
      </c>
      <c r="M2392" s="4"/>
      <c r="N2392" s="4"/>
      <c r="O2392" s="4">
        <v>0</v>
      </c>
      <c r="P2392" s="4"/>
      <c r="Q2392" s="4"/>
      <c r="R2392" s="7">
        <v>0</v>
      </c>
      <c r="S2392" s="7">
        <v>0</v>
      </c>
      <c r="T2392" s="7">
        <f>R2392-S2392</f>
        <v>0</v>
      </c>
      <c r="U2392" s="7">
        <f>T2392*O2392</f>
        <v>0</v>
      </c>
    </row>
    <row r="2393" spans="1:21">
      <c r="A2393" s="4" t="s">
        <v>3532</v>
      </c>
      <c r="B2393" s="4" t="s">
        <v>122</v>
      </c>
      <c r="C2393" s="5">
        <v>45955.21765046296</v>
      </c>
      <c r="D2393" s="5">
        <v>45961</v>
      </c>
      <c r="E2393" s="6">
        <f>IF(AND(C2393&lt;&gt;"",D2393&lt;&gt;""),D2393-C2393,"")</f>
        <v>0</v>
      </c>
      <c r="F2393" s="4" t="s">
        <v>3537</v>
      </c>
      <c r="G2393" s="4"/>
      <c r="H2393" s="4"/>
      <c r="I2393" s="4" t="s">
        <v>56</v>
      </c>
      <c r="J2393" s="4">
        <v>1</v>
      </c>
      <c r="K2393" s="4">
        <v>0</v>
      </c>
      <c r="L2393" s="4">
        <f>J2393+K2393</f>
        <v>0</v>
      </c>
      <c r="M2393" s="4"/>
      <c r="N2393" s="4"/>
      <c r="O2393" s="4">
        <v>0</v>
      </c>
      <c r="P2393" s="4"/>
      <c r="Q2393" s="4"/>
      <c r="R2393" s="7">
        <v>0</v>
      </c>
      <c r="S2393" s="7">
        <v>0</v>
      </c>
      <c r="T2393" s="7">
        <f>R2393-S2393</f>
        <v>0</v>
      </c>
      <c r="U2393" s="7">
        <f>T2393*O2393</f>
        <v>0</v>
      </c>
    </row>
    <row r="2394" spans="1:21">
      <c r="A2394" s="4" t="s">
        <v>3532</v>
      </c>
      <c r="B2394" s="4" t="s">
        <v>122</v>
      </c>
      <c r="C2394" s="5">
        <v>45955.21765046296</v>
      </c>
      <c r="D2394" s="5">
        <v>45961</v>
      </c>
      <c r="E2394" s="6">
        <f>IF(AND(C2394&lt;&gt;"",D2394&lt;&gt;""),D2394-C2394,"")</f>
        <v>0</v>
      </c>
      <c r="F2394" s="4" t="s">
        <v>3538</v>
      </c>
      <c r="G2394" s="4"/>
      <c r="H2394" s="4"/>
      <c r="I2394" s="4" t="s">
        <v>56</v>
      </c>
      <c r="J2394" s="4">
        <v>1</v>
      </c>
      <c r="K2394" s="4">
        <v>0</v>
      </c>
      <c r="L2394" s="4">
        <f>J2394+K2394</f>
        <v>0</v>
      </c>
      <c r="M2394" s="4"/>
      <c r="N2394" s="4"/>
      <c r="O2394" s="4">
        <v>0</v>
      </c>
      <c r="P2394" s="4"/>
      <c r="Q2394" s="4"/>
      <c r="R2394" s="7">
        <v>0</v>
      </c>
      <c r="S2394" s="7">
        <v>0</v>
      </c>
      <c r="T2394" s="7">
        <f>R2394-S2394</f>
        <v>0</v>
      </c>
      <c r="U2394" s="7">
        <f>T2394*O2394</f>
        <v>0</v>
      </c>
    </row>
    <row r="2395" spans="1:21">
      <c r="A2395" s="4" t="s">
        <v>3539</v>
      </c>
      <c r="B2395" s="4" t="s">
        <v>122</v>
      </c>
      <c r="C2395" s="5">
        <v>45955.21765046296</v>
      </c>
      <c r="D2395" s="5">
        <v>45961</v>
      </c>
      <c r="E2395" s="6">
        <f>IF(AND(C2395&lt;&gt;"",D2395&lt;&gt;""),D2395-C2395,"")</f>
        <v>0</v>
      </c>
      <c r="F2395" s="4" t="s">
        <v>3540</v>
      </c>
      <c r="G2395" s="4"/>
      <c r="H2395" s="4"/>
      <c r="I2395" s="4" t="s">
        <v>56</v>
      </c>
      <c r="J2395" s="4">
        <v>1</v>
      </c>
      <c r="K2395" s="4">
        <v>0</v>
      </c>
      <c r="L2395" s="4">
        <f>J2395+K2395</f>
        <v>0</v>
      </c>
      <c r="M2395" s="4"/>
      <c r="N2395" s="4"/>
      <c r="O2395" s="4">
        <v>0</v>
      </c>
      <c r="P2395" s="4"/>
      <c r="Q2395" s="4"/>
      <c r="R2395" s="7">
        <v>0</v>
      </c>
      <c r="S2395" s="7">
        <v>0</v>
      </c>
      <c r="T2395" s="7">
        <f>R2395-S2395</f>
        <v>0</v>
      </c>
      <c r="U2395" s="7">
        <f>T2395*O2395</f>
        <v>0</v>
      </c>
    </row>
    <row r="2396" spans="1:21">
      <c r="A2396" s="4" t="s">
        <v>3539</v>
      </c>
      <c r="B2396" s="4" t="s">
        <v>122</v>
      </c>
      <c r="C2396" s="5">
        <v>45955.21765046296</v>
      </c>
      <c r="D2396" s="5">
        <v>45961</v>
      </c>
      <c r="E2396" s="6">
        <f>IF(AND(C2396&lt;&gt;"",D2396&lt;&gt;""),D2396-C2396,"")</f>
        <v>0</v>
      </c>
      <c r="F2396" s="4" t="s">
        <v>3541</v>
      </c>
      <c r="G2396" s="4"/>
      <c r="H2396" s="4"/>
      <c r="I2396" s="4" t="s">
        <v>56</v>
      </c>
      <c r="J2396" s="4">
        <v>1</v>
      </c>
      <c r="K2396" s="4">
        <v>0</v>
      </c>
      <c r="L2396" s="4">
        <f>J2396+K2396</f>
        <v>0</v>
      </c>
      <c r="M2396" s="4"/>
      <c r="N2396" s="4"/>
      <c r="O2396" s="4">
        <v>0</v>
      </c>
      <c r="P2396" s="4"/>
      <c r="Q2396" s="4"/>
      <c r="R2396" s="7">
        <v>0</v>
      </c>
      <c r="S2396" s="7">
        <v>0</v>
      </c>
      <c r="T2396" s="7">
        <f>R2396-S2396</f>
        <v>0</v>
      </c>
      <c r="U2396" s="7">
        <f>T2396*O2396</f>
        <v>0</v>
      </c>
    </row>
    <row r="2397" spans="1:21">
      <c r="A2397" s="4" t="s">
        <v>3539</v>
      </c>
      <c r="B2397" s="4" t="s">
        <v>122</v>
      </c>
      <c r="C2397" s="5">
        <v>45955.21765046296</v>
      </c>
      <c r="D2397" s="5">
        <v>45961</v>
      </c>
      <c r="E2397" s="6">
        <f>IF(AND(C2397&lt;&gt;"",D2397&lt;&gt;""),D2397-C2397,"")</f>
        <v>0</v>
      </c>
      <c r="F2397" s="4" t="s">
        <v>3542</v>
      </c>
      <c r="G2397" s="4"/>
      <c r="H2397" s="4"/>
      <c r="I2397" s="4" t="s">
        <v>56</v>
      </c>
      <c r="J2397" s="4">
        <v>1</v>
      </c>
      <c r="K2397" s="4">
        <v>0</v>
      </c>
      <c r="L2397" s="4">
        <f>J2397+K2397</f>
        <v>0</v>
      </c>
      <c r="M2397" s="4"/>
      <c r="N2397" s="4"/>
      <c r="O2397" s="4">
        <v>0</v>
      </c>
      <c r="P2397" s="4"/>
      <c r="Q2397" s="4"/>
      <c r="R2397" s="7">
        <v>0</v>
      </c>
      <c r="S2397" s="7">
        <v>0</v>
      </c>
      <c r="T2397" s="7">
        <f>R2397-S2397</f>
        <v>0</v>
      </c>
      <c r="U2397" s="7">
        <f>T2397*O2397</f>
        <v>0</v>
      </c>
    </row>
    <row r="2398" spans="1:21">
      <c r="A2398" s="4" t="s">
        <v>3539</v>
      </c>
      <c r="B2398" s="4" t="s">
        <v>122</v>
      </c>
      <c r="C2398" s="5">
        <v>45955.21766203704</v>
      </c>
      <c r="D2398" s="5">
        <v>45961</v>
      </c>
      <c r="E2398" s="6">
        <f>IF(AND(C2398&lt;&gt;"",D2398&lt;&gt;""),D2398-C2398,"")</f>
        <v>0</v>
      </c>
      <c r="F2398" s="4" t="s">
        <v>3543</v>
      </c>
      <c r="G2398" s="4"/>
      <c r="H2398" s="4"/>
      <c r="I2398" s="4" t="s">
        <v>56</v>
      </c>
      <c r="J2398" s="4">
        <v>1</v>
      </c>
      <c r="K2398" s="4">
        <v>0</v>
      </c>
      <c r="L2398" s="4">
        <f>J2398+K2398</f>
        <v>0</v>
      </c>
      <c r="M2398" s="4"/>
      <c r="N2398" s="4"/>
      <c r="O2398" s="4">
        <v>0</v>
      </c>
      <c r="P2398" s="4"/>
      <c r="Q2398" s="4"/>
      <c r="R2398" s="7">
        <v>0</v>
      </c>
      <c r="S2398" s="7">
        <v>0</v>
      </c>
      <c r="T2398" s="7">
        <f>R2398-S2398</f>
        <v>0</v>
      </c>
      <c r="U2398" s="7">
        <f>T2398*O2398</f>
        <v>0</v>
      </c>
    </row>
    <row r="2399" spans="1:21">
      <c r="A2399" s="4" t="s">
        <v>3539</v>
      </c>
      <c r="B2399" s="4" t="s">
        <v>122</v>
      </c>
      <c r="C2399" s="5">
        <v>45955.21766203704</v>
      </c>
      <c r="D2399" s="5">
        <v>45961</v>
      </c>
      <c r="E2399" s="6">
        <f>IF(AND(C2399&lt;&gt;"",D2399&lt;&gt;""),D2399-C2399,"")</f>
        <v>0</v>
      </c>
      <c r="F2399" s="4" t="s">
        <v>3544</v>
      </c>
      <c r="G2399" s="4"/>
      <c r="H2399" s="4"/>
      <c r="I2399" s="4" t="s">
        <v>56</v>
      </c>
      <c r="J2399" s="4">
        <v>1</v>
      </c>
      <c r="K2399" s="4">
        <v>0</v>
      </c>
      <c r="L2399" s="4">
        <f>J2399+K2399</f>
        <v>0</v>
      </c>
      <c r="M2399" s="4"/>
      <c r="N2399" s="4"/>
      <c r="O2399" s="4">
        <v>0</v>
      </c>
      <c r="P2399" s="4"/>
      <c r="Q2399" s="4"/>
      <c r="R2399" s="7">
        <v>0</v>
      </c>
      <c r="S2399" s="7">
        <v>0</v>
      </c>
      <c r="T2399" s="7">
        <f>R2399-S2399</f>
        <v>0</v>
      </c>
      <c r="U2399" s="7">
        <f>T2399*O2399</f>
        <v>0</v>
      </c>
    </row>
    <row r="2400" spans="1:21">
      <c r="A2400" s="4" t="s">
        <v>3539</v>
      </c>
      <c r="B2400" s="4" t="s">
        <v>122</v>
      </c>
      <c r="C2400" s="5">
        <v>45955.21766203704</v>
      </c>
      <c r="D2400" s="5">
        <v>45961</v>
      </c>
      <c r="E2400" s="6">
        <f>IF(AND(C2400&lt;&gt;"",D2400&lt;&gt;""),D2400-C2400,"")</f>
        <v>0</v>
      </c>
      <c r="F2400" s="4" t="s">
        <v>3545</v>
      </c>
      <c r="G2400" s="4"/>
      <c r="H2400" s="4"/>
      <c r="I2400" s="4" t="s">
        <v>56</v>
      </c>
      <c r="J2400" s="4">
        <v>1</v>
      </c>
      <c r="K2400" s="4">
        <v>0</v>
      </c>
      <c r="L2400" s="4">
        <f>J2400+K2400</f>
        <v>0</v>
      </c>
      <c r="M2400" s="4"/>
      <c r="N2400" s="4"/>
      <c r="O2400" s="4">
        <v>0</v>
      </c>
      <c r="P2400" s="4"/>
      <c r="Q2400" s="4"/>
      <c r="R2400" s="7">
        <v>0</v>
      </c>
      <c r="S2400" s="7">
        <v>0</v>
      </c>
      <c r="T2400" s="7">
        <f>R2400-S2400</f>
        <v>0</v>
      </c>
      <c r="U2400" s="7">
        <f>T2400*O2400</f>
        <v>0</v>
      </c>
    </row>
    <row r="2401" spans="1:21">
      <c r="A2401" s="4" t="s">
        <v>3546</v>
      </c>
      <c r="B2401" s="4" t="s">
        <v>122</v>
      </c>
      <c r="C2401" s="5">
        <v>45955.21766203704</v>
      </c>
      <c r="D2401" s="5">
        <v>45961</v>
      </c>
      <c r="E2401" s="6">
        <f>IF(AND(C2401&lt;&gt;"",D2401&lt;&gt;""),D2401-C2401,"")</f>
        <v>0</v>
      </c>
      <c r="F2401" s="4" t="s">
        <v>3547</v>
      </c>
      <c r="G2401" s="4"/>
      <c r="H2401" s="4"/>
      <c r="I2401" s="4" t="s">
        <v>56</v>
      </c>
      <c r="J2401" s="4">
        <v>1</v>
      </c>
      <c r="K2401" s="4">
        <v>0</v>
      </c>
      <c r="L2401" s="4">
        <f>J2401+K2401</f>
        <v>0</v>
      </c>
      <c r="M2401" s="4"/>
      <c r="N2401" s="4"/>
      <c r="O2401" s="4">
        <v>0</v>
      </c>
      <c r="P2401" s="4"/>
      <c r="Q2401" s="4"/>
      <c r="R2401" s="7">
        <v>0</v>
      </c>
      <c r="S2401" s="7">
        <v>0</v>
      </c>
      <c r="T2401" s="7">
        <f>R2401-S2401</f>
        <v>0</v>
      </c>
      <c r="U2401" s="7">
        <f>T2401*O2401</f>
        <v>0</v>
      </c>
    </row>
    <row r="2402" spans="1:21">
      <c r="A2402" s="4" t="s">
        <v>3546</v>
      </c>
      <c r="B2402" s="4" t="s">
        <v>122</v>
      </c>
      <c r="C2402" s="5">
        <v>45955.21766203704</v>
      </c>
      <c r="D2402" s="5">
        <v>45961</v>
      </c>
      <c r="E2402" s="6">
        <f>IF(AND(C2402&lt;&gt;"",D2402&lt;&gt;""),D2402-C2402,"")</f>
        <v>0</v>
      </c>
      <c r="F2402" s="4" t="s">
        <v>3548</v>
      </c>
      <c r="G2402" s="4"/>
      <c r="H2402" s="4"/>
      <c r="I2402" s="4" t="s">
        <v>56</v>
      </c>
      <c r="J2402" s="4">
        <v>1</v>
      </c>
      <c r="K2402" s="4">
        <v>0</v>
      </c>
      <c r="L2402" s="4">
        <f>J2402+K2402</f>
        <v>0</v>
      </c>
      <c r="M2402" s="4"/>
      <c r="N2402" s="4"/>
      <c r="O2402" s="4">
        <v>0</v>
      </c>
      <c r="P2402" s="4"/>
      <c r="Q2402" s="4"/>
      <c r="R2402" s="7">
        <v>0</v>
      </c>
      <c r="S2402" s="7">
        <v>0</v>
      </c>
      <c r="T2402" s="7">
        <f>R2402-S2402</f>
        <v>0</v>
      </c>
      <c r="U2402" s="7">
        <f>T2402*O2402</f>
        <v>0</v>
      </c>
    </row>
    <row r="2403" spans="1:21">
      <c r="A2403" s="4" t="s">
        <v>3546</v>
      </c>
      <c r="B2403" s="4" t="s">
        <v>122</v>
      </c>
      <c r="C2403" s="5">
        <v>45955.21766203704</v>
      </c>
      <c r="D2403" s="5">
        <v>45961</v>
      </c>
      <c r="E2403" s="6">
        <f>IF(AND(C2403&lt;&gt;"",D2403&lt;&gt;""),D2403-C2403,"")</f>
        <v>0</v>
      </c>
      <c r="F2403" s="4" t="s">
        <v>3549</v>
      </c>
      <c r="G2403" s="4"/>
      <c r="H2403" s="4"/>
      <c r="I2403" s="4" t="s">
        <v>56</v>
      </c>
      <c r="J2403" s="4">
        <v>1</v>
      </c>
      <c r="K2403" s="4">
        <v>0</v>
      </c>
      <c r="L2403" s="4">
        <f>J2403+K2403</f>
        <v>0</v>
      </c>
      <c r="M2403" s="4"/>
      <c r="N2403" s="4"/>
      <c r="O2403" s="4">
        <v>0</v>
      </c>
      <c r="P2403" s="4"/>
      <c r="Q2403" s="4"/>
      <c r="R2403" s="7">
        <v>0</v>
      </c>
      <c r="S2403" s="7">
        <v>0</v>
      </c>
      <c r="T2403" s="7">
        <f>R2403-S2403</f>
        <v>0</v>
      </c>
      <c r="U2403" s="7">
        <f>T2403*O2403</f>
        <v>0</v>
      </c>
    </row>
    <row r="2404" spans="1:21">
      <c r="A2404" s="4" t="s">
        <v>3546</v>
      </c>
      <c r="B2404" s="4" t="s">
        <v>122</v>
      </c>
      <c r="C2404" s="5">
        <v>45955.21766203704</v>
      </c>
      <c r="D2404" s="5">
        <v>45961</v>
      </c>
      <c r="E2404" s="6">
        <f>IF(AND(C2404&lt;&gt;"",D2404&lt;&gt;""),D2404-C2404,"")</f>
        <v>0</v>
      </c>
      <c r="F2404" s="4" t="s">
        <v>3550</v>
      </c>
      <c r="G2404" s="4"/>
      <c r="H2404" s="4"/>
      <c r="I2404" s="4" t="s">
        <v>56</v>
      </c>
      <c r="J2404" s="4">
        <v>1</v>
      </c>
      <c r="K2404" s="4">
        <v>0</v>
      </c>
      <c r="L2404" s="4">
        <f>J2404+K2404</f>
        <v>0</v>
      </c>
      <c r="M2404" s="4"/>
      <c r="N2404" s="4"/>
      <c r="O2404" s="4">
        <v>0</v>
      </c>
      <c r="P2404" s="4"/>
      <c r="Q2404" s="4"/>
      <c r="R2404" s="7">
        <v>0</v>
      </c>
      <c r="S2404" s="7">
        <v>0</v>
      </c>
      <c r="T2404" s="7">
        <f>R2404-S2404</f>
        <v>0</v>
      </c>
      <c r="U2404" s="7">
        <f>T2404*O2404</f>
        <v>0</v>
      </c>
    </row>
    <row r="2405" spans="1:21">
      <c r="A2405" s="4" t="s">
        <v>3546</v>
      </c>
      <c r="B2405" s="4" t="s">
        <v>122</v>
      </c>
      <c r="C2405" s="5">
        <v>45955.21766203704</v>
      </c>
      <c r="D2405" s="5">
        <v>45961</v>
      </c>
      <c r="E2405" s="6">
        <f>IF(AND(C2405&lt;&gt;"",D2405&lt;&gt;""),D2405-C2405,"")</f>
        <v>0</v>
      </c>
      <c r="F2405" s="4" t="s">
        <v>3551</v>
      </c>
      <c r="G2405" s="4"/>
      <c r="H2405" s="4"/>
      <c r="I2405" s="4" t="s">
        <v>56</v>
      </c>
      <c r="J2405" s="4">
        <v>1</v>
      </c>
      <c r="K2405" s="4">
        <v>0</v>
      </c>
      <c r="L2405" s="4">
        <f>J2405+K2405</f>
        <v>0</v>
      </c>
      <c r="M2405" s="4"/>
      <c r="N2405" s="4"/>
      <c r="O2405" s="4">
        <v>0</v>
      </c>
      <c r="P2405" s="4"/>
      <c r="Q2405" s="4"/>
      <c r="R2405" s="7">
        <v>0</v>
      </c>
      <c r="S2405" s="7">
        <v>0</v>
      </c>
      <c r="T2405" s="7">
        <f>R2405-S2405</f>
        <v>0</v>
      </c>
      <c r="U2405" s="7">
        <f>T2405*O2405</f>
        <v>0</v>
      </c>
    </row>
    <row r="2406" spans="1:21">
      <c r="A2406" s="4" t="s">
        <v>3546</v>
      </c>
      <c r="B2406" s="4" t="s">
        <v>122</v>
      </c>
      <c r="C2406" s="5">
        <v>45955.21766203704</v>
      </c>
      <c r="D2406" s="5">
        <v>45961</v>
      </c>
      <c r="E2406" s="6">
        <f>IF(AND(C2406&lt;&gt;"",D2406&lt;&gt;""),D2406-C2406,"")</f>
        <v>0</v>
      </c>
      <c r="F2406" s="4" t="s">
        <v>3552</v>
      </c>
      <c r="G2406" s="4"/>
      <c r="H2406" s="4"/>
      <c r="I2406" s="4" t="s">
        <v>56</v>
      </c>
      <c r="J2406" s="4">
        <v>1</v>
      </c>
      <c r="K2406" s="4">
        <v>0</v>
      </c>
      <c r="L2406" s="4">
        <f>J2406+K2406</f>
        <v>0</v>
      </c>
      <c r="M2406" s="4"/>
      <c r="N2406" s="4"/>
      <c r="O2406" s="4">
        <v>0</v>
      </c>
      <c r="P2406" s="4"/>
      <c r="Q2406" s="4"/>
      <c r="R2406" s="7">
        <v>0</v>
      </c>
      <c r="S2406" s="7">
        <v>0</v>
      </c>
      <c r="T2406" s="7">
        <f>R2406-S2406</f>
        <v>0</v>
      </c>
      <c r="U2406" s="7">
        <f>T2406*O2406</f>
        <v>0</v>
      </c>
    </row>
    <row r="2407" spans="1:21">
      <c r="A2407" s="4" t="s">
        <v>3553</v>
      </c>
      <c r="B2407" s="4" t="s">
        <v>122</v>
      </c>
      <c r="C2407" s="5">
        <v>45955.21766203704</v>
      </c>
      <c r="D2407" s="5">
        <v>45961</v>
      </c>
      <c r="E2407" s="6">
        <f>IF(AND(C2407&lt;&gt;"",D2407&lt;&gt;""),D2407-C2407,"")</f>
        <v>0</v>
      </c>
      <c r="F2407" s="4" t="s">
        <v>3554</v>
      </c>
      <c r="G2407" s="4"/>
      <c r="H2407" s="4"/>
      <c r="I2407" s="4" t="s">
        <v>56</v>
      </c>
      <c r="J2407" s="4">
        <v>1</v>
      </c>
      <c r="K2407" s="4">
        <v>0</v>
      </c>
      <c r="L2407" s="4">
        <f>J2407+K2407</f>
        <v>0</v>
      </c>
      <c r="M2407" s="4"/>
      <c r="N2407" s="4"/>
      <c r="O2407" s="4">
        <v>0</v>
      </c>
      <c r="P2407" s="4"/>
      <c r="Q2407" s="4"/>
      <c r="R2407" s="7">
        <v>0</v>
      </c>
      <c r="S2407" s="7">
        <v>0</v>
      </c>
      <c r="T2407" s="7">
        <f>R2407-S2407</f>
        <v>0</v>
      </c>
      <c r="U2407" s="7">
        <f>T2407*O2407</f>
        <v>0</v>
      </c>
    </row>
    <row r="2408" spans="1:21">
      <c r="A2408" s="4" t="s">
        <v>3553</v>
      </c>
      <c r="B2408" s="4" t="s">
        <v>122</v>
      </c>
      <c r="C2408" s="5">
        <v>45955.21766203704</v>
      </c>
      <c r="D2408" s="5">
        <v>45961</v>
      </c>
      <c r="E2408" s="6">
        <f>IF(AND(C2408&lt;&gt;"",D2408&lt;&gt;""),D2408-C2408,"")</f>
        <v>0</v>
      </c>
      <c r="F2408" s="4" t="s">
        <v>3555</v>
      </c>
      <c r="G2408" s="4"/>
      <c r="H2408" s="4"/>
      <c r="I2408" s="4" t="s">
        <v>56</v>
      </c>
      <c r="J2408" s="4">
        <v>1</v>
      </c>
      <c r="K2408" s="4">
        <v>0</v>
      </c>
      <c r="L2408" s="4">
        <f>J2408+K2408</f>
        <v>0</v>
      </c>
      <c r="M2408" s="4"/>
      <c r="N2408" s="4"/>
      <c r="O2408" s="4">
        <v>0</v>
      </c>
      <c r="P2408" s="4"/>
      <c r="Q2408" s="4"/>
      <c r="R2408" s="7">
        <v>0</v>
      </c>
      <c r="S2408" s="7">
        <v>0</v>
      </c>
      <c r="T2408" s="7">
        <f>R2408-S2408</f>
        <v>0</v>
      </c>
      <c r="U2408" s="7">
        <f>T2408*O2408</f>
        <v>0</v>
      </c>
    </row>
    <row r="2409" spans="1:21">
      <c r="A2409" s="4" t="s">
        <v>3553</v>
      </c>
      <c r="B2409" s="4" t="s">
        <v>122</v>
      </c>
      <c r="C2409" s="5">
        <v>45955.21766203704</v>
      </c>
      <c r="D2409" s="5">
        <v>45961</v>
      </c>
      <c r="E2409" s="6">
        <f>IF(AND(C2409&lt;&gt;"",D2409&lt;&gt;""),D2409-C2409,"")</f>
        <v>0</v>
      </c>
      <c r="F2409" s="4" t="s">
        <v>3556</v>
      </c>
      <c r="G2409" s="4"/>
      <c r="H2409" s="4"/>
      <c r="I2409" s="4" t="s">
        <v>56</v>
      </c>
      <c r="J2409" s="4">
        <v>1</v>
      </c>
      <c r="K2409" s="4">
        <v>0</v>
      </c>
      <c r="L2409" s="4">
        <f>J2409+K2409</f>
        <v>0</v>
      </c>
      <c r="M2409" s="4"/>
      <c r="N2409" s="4"/>
      <c r="O2409" s="4">
        <v>0</v>
      </c>
      <c r="P2409" s="4"/>
      <c r="Q2409" s="4"/>
      <c r="R2409" s="7">
        <v>0</v>
      </c>
      <c r="S2409" s="7">
        <v>0</v>
      </c>
      <c r="T2409" s="7">
        <f>R2409-S2409</f>
        <v>0</v>
      </c>
      <c r="U2409" s="7">
        <f>T2409*O2409</f>
        <v>0</v>
      </c>
    </row>
    <row r="2410" spans="1:21">
      <c r="A2410" s="4" t="s">
        <v>3553</v>
      </c>
      <c r="B2410" s="4" t="s">
        <v>122</v>
      </c>
      <c r="C2410" s="5">
        <v>45955.21766203704</v>
      </c>
      <c r="D2410" s="5">
        <v>45961</v>
      </c>
      <c r="E2410" s="6">
        <f>IF(AND(C2410&lt;&gt;"",D2410&lt;&gt;""),D2410-C2410,"")</f>
        <v>0</v>
      </c>
      <c r="F2410" s="4" t="s">
        <v>3557</v>
      </c>
      <c r="G2410" s="4"/>
      <c r="H2410" s="4"/>
      <c r="I2410" s="4" t="s">
        <v>56</v>
      </c>
      <c r="J2410" s="4">
        <v>1</v>
      </c>
      <c r="K2410" s="4">
        <v>0</v>
      </c>
      <c r="L2410" s="4">
        <f>J2410+K2410</f>
        <v>0</v>
      </c>
      <c r="M2410" s="4"/>
      <c r="N2410" s="4"/>
      <c r="O2410" s="4">
        <v>0</v>
      </c>
      <c r="P2410" s="4"/>
      <c r="Q2410" s="4"/>
      <c r="R2410" s="7">
        <v>0</v>
      </c>
      <c r="S2410" s="7">
        <v>0</v>
      </c>
      <c r="T2410" s="7">
        <f>R2410-S2410</f>
        <v>0</v>
      </c>
      <c r="U2410" s="7">
        <f>T2410*O2410</f>
        <v>0</v>
      </c>
    </row>
    <row r="2411" spans="1:21">
      <c r="A2411" s="4" t="s">
        <v>3553</v>
      </c>
      <c r="B2411" s="4" t="s">
        <v>122</v>
      </c>
      <c r="C2411" s="5">
        <v>45955.21766203704</v>
      </c>
      <c r="D2411" s="5">
        <v>45961</v>
      </c>
      <c r="E2411" s="6">
        <f>IF(AND(C2411&lt;&gt;"",D2411&lt;&gt;""),D2411-C2411,"")</f>
        <v>0</v>
      </c>
      <c r="F2411" s="4" t="s">
        <v>3558</v>
      </c>
      <c r="G2411" s="4"/>
      <c r="H2411" s="4"/>
      <c r="I2411" s="4" t="s">
        <v>56</v>
      </c>
      <c r="J2411" s="4">
        <v>1</v>
      </c>
      <c r="K2411" s="4">
        <v>0</v>
      </c>
      <c r="L2411" s="4">
        <f>J2411+K2411</f>
        <v>0</v>
      </c>
      <c r="M2411" s="4"/>
      <c r="N2411" s="4"/>
      <c r="O2411" s="4">
        <v>0</v>
      </c>
      <c r="P2411" s="4"/>
      <c r="Q2411" s="4"/>
      <c r="R2411" s="7">
        <v>0</v>
      </c>
      <c r="S2411" s="7">
        <v>0</v>
      </c>
      <c r="T2411" s="7">
        <f>R2411-S2411</f>
        <v>0</v>
      </c>
      <c r="U2411" s="7">
        <f>T2411*O2411</f>
        <v>0</v>
      </c>
    </row>
    <row r="2412" spans="1:21">
      <c r="A2412" s="4" t="s">
        <v>3553</v>
      </c>
      <c r="B2412" s="4" t="s">
        <v>122</v>
      </c>
      <c r="C2412" s="5">
        <v>45955.21766203704</v>
      </c>
      <c r="D2412" s="5">
        <v>45961</v>
      </c>
      <c r="E2412" s="6">
        <f>IF(AND(C2412&lt;&gt;"",D2412&lt;&gt;""),D2412-C2412,"")</f>
        <v>0</v>
      </c>
      <c r="F2412" s="4" t="s">
        <v>3559</v>
      </c>
      <c r="G2412" s="4"/>
      <c r="H2412" s="4"/>
      <c r="I2412" s="4" t="s">
        <v>56</v>
      </c>
      <c r="J2412" s="4">
        <v>1</v>
      </c>
      <c r="K2412" s="4">
        <v>0</v>
      </c>
      <c r="L2412" s="4">
        <f>J2412+K2412</f>
        <v>0</v>
      </c>
      <c r="M2412" s="4"/>
      <c r="N2412" s="4"/>
      <c r="O2412" s="4">
        <v>0</v>
      </c>
      <c r="P2412" s="4"/>
      <c r="Q2412" s="4"/>
      <c r="R2412" s="7">
        <v>0</v>
      </c>
      <c r="S2412" s="7">
        <v>0</v>
      </c>
      <c r="T2412" s="7">
        <f>R2412-S2412</f>
        <v>0</v>
      </c>
      <c r="U2412" s="7">
        <f>T2412*O2412</f>
        <v>0</v>
      </c>
    </row>
    <row r="2413" spans="1:21">
      <c r="A2413" s="4" t="s">
        <v>3560</v>
      </c>
      <c r="B2413" s="4" t="s">
        <v>122</v>
      </c>
      <c r="C2413" s="5">
        <v>45955.21766203704</v>
      </c>
      <c r="D2413" s="5">
        <v>45961</v>
      </c>
      <c r="E2413" s="6">
        <f>IF(AND(C2413&lt;&gt;"",D2413&lt;&gt;""),D2413-C2413,"")</f>
        <v>0</v>
      </c>
      <c r="F2413" s="4" t="s">
        <v>3561</v>
      </c>
      <c r="G2413" s="4"/>
      <c r="H2413" s="4"/>
      <c r="I2413" s="4" t="s">
        <v>56</v>
      </c>
      <c r="J2413" s="4">
        <v>1</v>
      </c>
      <c r="K2413" s="4">
        <v>0</v>
      </c>
      <c r="L2413" s="4">
        <f>J2413+K2413</f>
        <v>0</v>
      </c>
      <c r="M2413" s="4"/>
      <c r="N2413" s="4"/>
      <c r="O2413" s="4">
        <v>0</v>
      </c>
      <c r="P2413" s="4"/>
      <c r="Q2413" s="4"/>
      <c r="R2413" s="7">
        <v>0</v>
      </c>
      <c r="S2413" s="7">
        <v>0</v>
      </c>
      <c r="T2413" s="7">
        <f>R2413-S2413</f>
        <v>0</v>
      </c>
      <c r="U2413" s="7">
        <f>T2413*O2413</f>
        <v>0</v>
      </c>
    </row>
    <row r="2414" spans="1:21">
      <c r="A2414" s="4" t="s">
        <v>3560</v>
      </c>
      <c r="B2414" s="4" t="s">
        <v>122</v>
      </c>
      <c r="C2414" s="5">
        <v>45955.21766203704</v>
      </c>
      <c r="D2414" s="5">
        <v>45961</v>
      </c>
      <c r="E2414" s="6">
        <f>IF(AND(C2414&lt;&gt;"",D2414&lt;&gt;""),D2414-C2414,"")</f>
        <v>0</v>
      </c>
      <c r="F2414" s="4" t="s">
        <v>3562</v>
      </c>
      <c r="G2414" s="4"/>
      <c r="H2414" s="4"/>
      <c r="I2414" s="4" t="s">
        <v>56</v>
      </c>
      <c r="J2414" s="4">
        <v>1</v>
      </c>
      <c r="K2414" s="4">
        <v>0</v>
      </c>
      <c r="L2414" s="4">
        <f>J2414+K2414</f>
        <v>0</v>
      </c>
      <c r="M2414" s="4"/>
      <c r="N2414" s="4"/>
      <c r="O2414" s="4">
        <v>0</v>
      </c>
      <c r="P2414" s="4"/>
      <c r="Q2414" s="4"/>
      <c r="R2414" s="7">
        <v>0</v>
      </c>
      <c r="S2414" s="7">
        <v>0</v>
      </c>
      <c r="T2414" s="7">
        <f>R2414-S2414</f>
        <v>0</v>
      </c>
      <c r="U2414" s="7">
        <f>T2414*O2414</f>
        <v>0</v>
      </c>
    </row>
    <row r="2415" spans="1:21">
      <c r="A2415" s="4" t="s">
        <v>3560</v>
      </c>
      <c r="B2415" s="4" t="s">
        <v>122</v>
      </c>
      <c r="C2415" s="5">
        <v>45955.21766203704</v>
      </c>
      <c r="D2415" s="5">
        <v>45961</v>
      </c>
      <c r="E2415" s="6">
        <f>IF(AND(C2415&lt;&gt;"",D2415&lt;&gt;""),D2415-C2415,"")</f>
        <v>0</v>
      </c>
      <c r="F2415" s="4" t="s">
        <v>3563</v>
      </c>
      <c r="G2415" s="4"/>
      <c r="H2415" s="4"/>
      <c r="I2415" s="4" t="s">
        <v>56</v>
      </c>
      <c r="J2415" s="4">
        <v>1</v>
      </c>
      <c r="K2415" s="4">
        <v>0</v>
      </c>
      <c r="L2415" s="4">
        <f>J2415+K2415</f>
        <v>0</v>
      </c>
      <c r="M2415" s="4"/>
      <c r="N2415" s="4"/>
      <c r="O2415" s="4">
        <v>0</v>
      </c>
      <c r="P2415" s="4"/>
      <c r="Q2415" s="4"/>
      <c r="R2415" s="7">
        <v>0</v>
      </c>
      <c r="S2415" s="7">
        <v>0</v>
      </c>
      <c r="T2415" s="7">
        <f>R2415-S2415</f>
        <v>0</v>
      </c>
      <c r="U2415" s="7">
        <f>T2415*O2415</f>
        <v>0</v>
      </c>
    </row>
    <row r="2416" spans="1:21">
      <c r="A2416" s="4" t="s">
        <v>3560</v>
      </c>
      <c r="B2416" s="4" t="s">
        <v>122</v>
      </c>
      <c r="C2416" s="5">
        <v>45955.21766203704</v>
      </c>
      <c r="D2416" s="5">
        <v>45961</v>
      </c>
      <c r="E2416" s="6">
        <f>IF(AND(C2416&lt;&gt;"",D2416&lt;&gt;""),D2416-C2416,"")</f>
        <v>0</v>
      </c>
      <c r="F2416" s="4" t="s">
        <v>3564</v>
      </c>
      <c r="G2416" s="4"/>
      <c r="H2416" s="4"/>
      <c r="I2416" s="4" t="s">
        <v>56</v>
      </c>
      <c r="J2416" s="4">
        <v>1</v>
      </c>
      <c r="K2416" s="4">
        <v>0</v>
      </c>
      <c r="L2416" s="4">
        <f>J2416+K2416</f>
        <v>0</v>
      </c>
      <c r="M2416" s="4"/>
      <c r="N2416" s="4"/>
      <c r="O2416" s="4">
        <v>0</v>
      </c>
      <c r="P2416" s="4"/>
      <c r="Q2416" s="4"/>
      <c r="R2416" s="7">
        <v>0</v>
      </c>
      <c r="S2416" s="7">
        <v>0</v>
      </c>
      <c r="T2416" s="7">
        <f>R2416-S2416</f>
        <v>0</v>
      </c>
      <c r="U2416" s="7">
        <f>T2416*O2416</f>
        <v>0</v>
      </c>
    </row>
    <row r="2417" spans="1:21">
      <c r="A2417" s="4" t="s">
        <v>3560</v>
      </c>
      <c r="B2417" s="4" t="s">
        <v>122</v>
      </c>
      <c r="C2417" s="5">
        <v>45955.21766203704</v>
      </c>
      <c r="D2417" s="5">
        <v>45961</v>
      </c>
      <c r="E2417" s="6">
        <f>IF(AND(C2417&lt;&gt;"",D2417&lt;&gt;""),D2417-C2417,"")</f>
        <v>0</v>
      </c>
      <c r="F2417" s="4" t="s">
        <v>3565</v>
      </c>
      <c r="G2417" s="4"/>
      <c r="H2417" s="4"/>
      <c r="I2417" s="4" t="s">
        <v>56</v>
      </c>
      <c r="J2417" s="4">
        <v>1</v>
      </c>
      <c r="K2417" s="4">
        <v>0</v>
      </c>
      <c r="L2417" s="4">
        <f>J2417+K2417</f>
        <v>0</v>
      </c>
      <c r="M2417" s="4"/>
      <c r="N2417" s="4"/>
      <c r="O2417" s="4">
        <v>0</v>
      </c>
      <c r="P2417" s="4"/>
      <c r="Q2417" s="4"/>
      <c r="R2417" s="7">
        <v>0</v>
      </c>
      <c r="S2417" s="7">
        <v>0</v>
      </c>
      <c r="T2417" s="7">
        <f>R2417-S2417</f>
        <v>0</v>
      </c>
      <c r="U2417" s="7">
        <f>T2417*O2417</f>
        <v>0</v>
      </c>
    </row>
    <row r="2418" spans="1:21">
      <c r="A2418" s="4" t="s">
        <v>3560</v>
      </c>
      <c r="B2418" s="4" t="s">
        <v>122</v>
      </c>
      <c r="C2418" s="5">
        <v>45955.21766203704</v>
      </c>
      <c r="D2418" s="5">
        <v>45961</v>
      </c>
      <c r="E2418" s="6">
        <f>IF(AND(C2418&lt;&gt;"",D2418&lt;&gt;""),D2418-C2418,"")</f>
        <v>0</v>
      </c>
      <c r="F2418" s="4" t="s">
        <v>3566</v>
      </c>
      <c r="G2418" s="4"/>
      <c r="H2418" s="4"/>
      <c r="I2418" s="4" t="s">
        <v>56</v>
      </c>
      <c r="J2418" s="4">
        <v>1</v>
      </c>
      <c r="K2418" s="4">
        <v>0</v>
      </c>
      <c r="L2418" s="4">
        <f>J2418+K2418</f>
        <v>0</v>
      </c>
      <c r="M2418" s="4"/>
      <c r="N2418" s="4"/>
      <c r="O2418" s="4">
        <v>0</v>
      </c>
      <c r="P2418" s="4"/>
      <c r="Q2418" s="4"/>
      <c r="R2418" s="7">
        <v>0</v>
      </c>
      <c r="S2418" s="7">
        <v>0</v>
      </c>
      <c r="T2418" s="7">
        <f>R2418-S2418</f>
        <v>0</v>
      </c>
      <c r="U2418" s="7">
        <f>T2418*O2418</f>
        <v>0</v>
      </c>
    </row>
    <row r="2419" spans="1:21">
      <c r="A2419" s="4" t="s">
        <v>3567</v>
      </c>
      <c r="B2419" s="4" t="s">
        <v>122</v>
      </c>
      <c r="C2419" s="5">
        <v>45955.21766203704</v>
      </c>
      <c r="D2419" s="5">
        <v>45961</v>
      </c>
      <c r="E2419" s="6">
        <f>IF(AND(C2419&lt;&gt;"",D2419&lt;&gt;""),D2419-C2419,"")</f>
        <v>0</v>
      </c>
      <c r="F2419" s="4" t="s">
        <v>3568</v>
      </c>
      <c r="G2419" s="4"/>
      <c r="H2419" s="4"/>
      <c r="I2419" s="4" t="s">
        <v>56</v>
      </c>
      <c r="J2419" s="4">
        <v>1</v>
      </c>
      <c r="K2419" s="4">
        <v>0</v>
      </c>
      <c r="L2419" s="4">
        <f>J2419+K2419</f>
        <v>0</v>
      </c>
      <c r="M2419" s="4"/>
      <c r="N2419" s="4"/>
      <c r="O2419" s="4">
        <v>0</v>
      </c>
      <c r="P2419" s="4"/>
      <c r="Q2419" s="4"/>
      <c r="R2419" s="7">
        <v>0</v>
      </c>
      <c r="S2419" s="7">
        <v>0</v>
      </c>
      <c r="T2419" s="7">
        <f>R2419-S2419</f>
        <v>0</v>
      </c>
      <c r="U2419" s="7">
        <f>T2419*O2419</f>
        <v>0</v>
      </c>
    </row>
    <row r="2420" spans="1:21">
      <c r="A2420" s="4" t="s">
        <v>3567</v>
      </c>
      <c r="B2420" s="4" t="s">
        <v>122</v>
      </c>
      <c r="C2420" s="5">
        <v>45955.21766203704</v>
      </c>
      <c r="D2420" s="5">
        <v>45961</v>
      </c>
      <c r="E2420" s="6">
        <f>IF(AND(C2420&lt;&gt;"",D2420&lt;&gt;""),D2420-C2420,"")</f>
        <v>0</v>
      </c>
      <c r="F2420" s="4" t="s">
        <v>3569</v>
      </c>
      <c r="G2420" s="4"/>
      <c r="H2420" s="4"/>
      <c r="I2420" s="4" t="s">
        <v>56</v>
      </c>
      <c r="J2420" s="4">
        <v>1</v>
      </c>
      <c r="K2420" s="4">
        <v>0</v>
      </c>
      <c r="L2420" s="4">
        <f>J2420+K2420</f>
        <v>0</v>
      </c>
      <c r="M2420" s="4"/>
      <c r="N2420" s="4"/>
      <c r="O2420" s="4">
        <v>0</v>
      </c>
      <c r="P2420" s="4"/>
      <c r="Q2420" s="4"/>
      <c r="R2420" s="7">
        <v>0</v>
      </c>
      <c r="S2420" s="7">
        <v>0</v>
      </c>
      <c r="T2420" s="7">
        <f>R2420-S2420</f>
        <v>0</v>
      </c>
      <c r="U2420" s="7">
        <f>T2420*O2420</f>
        <v>0</v>
      </c>
    </row>
    <row r="2421" spans="1:21">
      <c r="A2421" s="4" t="s">
        <v>3570</v>
      </c>
      <c r="B2421" s="4" t="s">
        <v>122</v>
      </c>
      <c r="C2421" s="5">
        <v>45955.21766203704</v>
      </c>
      <c r="D2421" s="5">
        <v>45961</v>
      </c>
      <c r="E2421" s="6">
        <f>IF(AND(C2421&lt;&gt;"",D2421&lt;&gt;""),D2421-C2421,"")</f>
        <v>0</v>
      </c>
      <c r="F2421" s="4" t="s">
        <v>3571</v>
      </c>
      <c r="G2421" s="4"/>
      <c r="H2421" s="4"/>
      <c r="I2421" s="4" t="s">
        <v>56</v>
      </c>
      <c r="J2421" s="4">
        <v>1</v>
      </c>
      <c r="K2421" s="4">
        <v>0</v>
      </c>
      <c r="L2421" s="4">
        <f>J2421+K2421</f>
        <v>0</v>
      </c>
      <c r="M2421" s="4"/>
      <c r="N2421" s="4"/>
      <c r="O2421" s="4">
        <v>0</v>
      </c>
      <c r="P2421" s="4"/>
      <c r="Q2421" s="4"/>
      <c r="R2421" s="7">
        <v>0</v>
      </c>
      <c r="S2421" s="7">
        <v>0</v>
      </c>
      <c r="T2421" s="7">
        <f>R2421-S2421</f>
        <v>0</v>
      </c>
      <c r="U2421" s="7">
        <f>T2421*O2421</f>
        <v>0</v>
      </c>
    </row>
    <row r="2422" spans="1:21">
      <c r="A2422" s="4" t="s">
        <v>3570</v>
      </c>
      <c r="B2422" s="4" t="s">
        <v>122</v>
      </c>
      <c r="C2422" s="5">
        <v>45955.21766203704</v>
      </c>
      <c r="D2422" s="5">
        <v>45961</v>
      </c>
      <c r="E2422" s="6">
        <f>IF(AND(C2422&lt;&gt;"",D2422&lt;&gt;""),D2422-C2422,"")</f>
        <v>0</v>
      </c>
      <c r="F2422" s="4" t="s">
        <v>3572</v>
      </c>
      <c r="G2422" s="4"/>
      <c r="H2422" s="4"/>
      <c r="I2422" s="4" t="s">
        <v>56</v>
      </c>
      <c r="J2422" s="4">
        <v>1</v>
      </c>
      <c r="K2422" s="4">
        <v>0</v>
      </c>
      <c r="L2422" s="4">
        <f>J2422+K2422</f>
        <v>0</v>
      </c>
      <c r="M2422" s="4"/>
      <c r="N2422" s="4"/>
      <c r="O2422" s="4">
        <v>0</v>
      </c>
      <c r="P2422" s="4"/>
      <c r="Q2422" s="4"/>
      <c r="R2422" s="7">
        <v>0</v>
      </c>
      <c r="S2422" s="7">
        <v>0</v>
      </c>
      <c r="T2422" s="7">
        <f>R2422-S2422</f>
        <v>0</v>
      </c>
      <c r="U2422" s="7">
        <f>T2422*O2422</f>
        <v>0</v>
      </c>
    </row>
    <row r="2423" spans="1:21">
      <c r="A2423" s="4" t="s">
        <v>3573</v>
      </c>
      <c r="B2423" s="4" t="s">
        <v>122</v>
      </c>
      <c r="C2423" s="5">
        <v>45955.21766203704</v>
      </c>
      <c r="D2423" s="5">
        <v>45961</v>
      </c>
      <c r="E2423" s="6">
        <f>IF(AND(C2423&lt;&gt;"",D2423&lt;&gt;""),D2423-C2423,"")</f>
        <v>0</v>
      </c>
      <c r="F2423" s="4" t="s">
        <v>3574</v>
      </c>
      <c r="G2423" s="4"/>
      <c r="H2423" s="4"/>
      <c r="I2423" s="4" t="s">
        <v>56</v>
      </c>
      <c r="J2423" s="4">
        <v>1</v>
      </c>
      <c r="K2423" s="4">
        <v>0</v>
      </c>
      <c r="L2423" s="4">
        <f>J2423+K2423</f>
        <v>0</v>
      </c>
      <c r="M2423" s="4"/>
      <c r="N2423" s="4"/>
      <c r="O2423" s="4">
        <v>0</v>
      </c>
      <c r="P2423" s="4"/>
      <c r="Q2423" s="4"/>
      <c r="R2423" s="7">
        <v>0</v>
      </c>
      <c r="S2423" s="7">
        <v>0</v>
      </c>
      <c r="T2423" s="7">
        <f>R2423-S2423</f>
        <v>0</v>
      </c>
      <c r="U2423" s="7">
        <f>T2423*O2423</f>
        <v>0</v>
      </c>
    </row>
    <row r="2424" spans="1:21">
      <c r="A2424" s="4" t="s">
        <v>3573</v>
      </c>
      <c r="B2424" s="4" t="s">
        <v>122</v>
      </c>
      <c r="C2424" s="5">
        <v>45955.21766203704</v>
      </c>
      <c r="D2424" s="5">
        <v>45961</v>
      </c>
      <c r="E2424" s="6">
        <f>IF(AND(C2424&lt;&gt;"",D2424&lt;&gt;""),D2424-C2424,"")</f>
        <v>0</v>
      </c>
      <c r="F2424" s="4" t="s">
        <v>3575</v>
      </c>
      <c r="G2424" s="4"/>
      <c r="H2424" s="4"/>
      <c r="I2424" s="4" t="s">
        <v>56</v>
      </c>
      <c r="J2424" s="4">
        <v>1</v>
      </c>
      <c r="K2424" s="4">
        <v>0</v>
      </c>
      <c r="L2424" s="4">
        <f>J2424+K2424</f>
        <v>0</v>
      </c>
      <c r="M2424" s="4"/>
      <c r="N2424" s="4"/>
      <c r="O2424" s="4">
        <v>0</v>
      </c>
      <c r="P2424" s="4"/>
      <c r="Q2424" s="4"/>
      <c r="R2424" s="7">
        <v>0</v>
      </c>
      <c r="S2424" s="7">
        <v>0</v>
      </c>
      <c r="T2424" s="7">
        <f>R2424-S2424</f>
        <v>0</v>
      </c>
      <c r="U2424" s="7">
        <f>T2424*O2424</f>
        <v>0</v>
      </c>
    </row>
    <row r="2425" spans="1:21">
      <c r="A2425" s="4" t="s">
        <v>3576</v>
      </c>
      <c r="B2425" s="4" t="s">
        <v>122</v>
      </c>
      <c r="C2425" s="5">
        <v>45955.21766203704</v>
      </c>
      <c r="D2425" s="5">
        <v>45961</v>
      </c>
      <c r="E2425" s="6">
        <f>IF(AND(C2425&lt;&gt;"",D2425&lt;&gt;""),D2425-C2425,"")</f>
        <v>0</v>
      </c>
      <c r="F2425" s="4" t="s">
        <v>3577</v>
      </c>
      <c r="G2425" s="4"/>
      <c r="H2425" s="4"/>
      <c r="I2425" s="4" t="s">
        <v>56</v>
      </c>
      <c r="J2425" s="4">
        <v>1</v>
      </c>
      <c r="K2425" s="4">
        <v>0</v>
      </c>
      <c r="L2425" s="4">
        <f>J2425+K2425</f>
        <v>0</v>
      </c>
      <c r="M2425" s="4"/>
      <c r="N2425" s="4"/>
      <c r="O2425" s="4">
        <v>0</v>
      </c>
      <c r="P2425" s="4"/>
      <c r="Q2425" s="4"/>
      <c r="R2425" s="7">
        <v>0</v>
      </c>
      <c r="S2425" s="7">
        <v>0</v>
      </c>
      <c r="T2425" s="7">
        <f>R2425-S2425</f>
        <v>0</v>
      </c>
      <c r="U2425" s="7">
        <f>T2425*O2425</f>
        <v>0</v>
      </c>
    </row>
    <row r="2426" spans="1:21">
      <c r="A2426" s="4" t="s">
        <v>3578</v>
      </c>
      <c r="B2426" s="4" t="s">
        <v>122</v>
      </c>
      <c r="C2426" s="5">
        <v>45955.21766203704</v>
      </c>
      <c r="D2426" s="5">
        <v>45961</v>
      </c>
      <c r="E2426" s="6">
        <f>IF(AND(C2426&lt;&gt;"",D2426&lt;&gt;""),D2426-C2426,"")</f>
        <v>0</v>
      </c>
      <c r="F2426" s="4" t="s">
        <v>3579</v>
      </c>
      <c r="G2426" s="4"/>
      <c r="H2426" s="4"/>
      <c r="I2426" s="4" t="s">
        <v>56</v>
      </c>
      <c r="J2426" s="4">
        <v>1</v>
      </c>
      <c r="K2426" s="4">
        <v>0</v>
      </c>
      <c r="L2426" s="4">
        <f>J2426+K2426</f>
        <v>0</v>
      </c>
      <c r="M2426" s="4"/>
      <c r="N2426" s="4"/>
      <c r="O2426" s="4">
        <v>0</v>
      </c>
      <c r="P2426" s="4"/>
      <c r="Q2426" s="4"/>
      <c r="R2426" s="7">
        <v>0</v>
      </c>
      <c r="S2426" s="7">
        <v>0</v>
      </c>
      <c r="T2426" s="7">
        <f>R2426-S2426</f>
        <v>0</v>
      </c>
      <c r="U2426" s="7">
        <f>T2426*O2426</f>
        <v>0</v>
      </c>
    </row>
    <row r="2427" spans="1:21">
      <c r="A2427" s="4" t="s">
        <v>3578</v>
      </c>
      <c r="B2427" s="4" t="s">
        <v>122</v>
      </c>
      <c r="C2427" s="5">
        <v>45955.21766203704</v>
      </c>
      <c r="D2427" s="5">
        <v>45961</v>
      </c>
      <c r="E2427" s="6">
        <f>IF(AND(C2427&lt;&gt;"",D2427&lt;&gt;""),D2427-C2427,"")</f>
        <v>0</v>
      </c>
      <c r="F2427" s="4" t="s">
        <v>3580</v>
      </c>
      <c r="G2427" s="4"/>
      <c r="H2427" s="4"/>
      <c r="I2427" s="4" t="s">
        <v>56</v>
      </c>
      <c r="J2427" s="4">
        <v>1</v>
      </c>
      <c r="K2427" s="4">
        <v>0</v>
      </c>
      <c r="L2427" s="4">
        <f>J2427+K2427</f>
        <v>0</v>
      </c>
      <c r="M2427" s="4"/>
      <c r="N2427" s="4"/>
      <c r="O2427" s="4">
        <v>0</v>
      </c>
      <c r="P2427" s="4"/>
      <c r="Q2427" s="4"/>
      <c r="R2427" s="7">
        <v>0</v>
      </c>
      <c r="S2427" s="7">
        <v>0</v>
      </c>
      <c r="T2427" s="7">
        <f>R2427-S2427</f>
        <v>0</v>
      </c>
      <c r="U2427" s="7">
        <f>T2427*O2427</f>
        <v>0</v>
      </c>
    </row>
    <row r="2428" spans="1:21">
      <c r="A2428" s="4" t="s">
        <v>3581</v>
      </c>
      <c r="B2428" s="4" t="s">
        <v>122</v>
      </c>
      <c r="C2428" s="5">
        <v>45955.218125</v>
      </c>
      <c r="D2428" s="5">
        <v>45961</v>
      </c>
      <c r="E2428" s="6">
        <f>IF(AND(C2428&lt;&gt;"",D2428&lt;&gt;""),D2428-C2428,"")</f>
        <v>0</v>
      </c>
      <c r="F2428" s="4" t="s">
        <v>3582</v>
      </c>
      <c r="G2428" s="4"/>
      <c r="H2428" s="4"/>
      <c r="I2428" s="4" t="s">
        <v>56</v>
      </c>
      <c r="J2428" s="4">
        <v>1</v>
      </c>
      <c r="K2428" s="4">
        <v>0</v>
      </c>
      <c r="L2428" s="4">
        <f>J2428+K2428</f>
        <v>0</v>
      </c>
      <c r="M2428" s="4"/>
      <c r="N2428" s="4"/>
      <c r="O2428" s="4">
        <v>0</v>
      </c>
      <c r="P2428" s="4"/>
      <c r="Q2428" s="4"/>
      <c r="R2428" s="7">
        <v>0</v>
      </c>
      <c r="S2428" s="7">
        <v>0</v>
      </c>
      <c r="T2428" s="7">
        <f>R2428-S2428</f>
        <v>0</v>
      </c>
      <c r="U2428" s="7">
        <f>T2428*O2428</f>
        <v>0</v>
      </c>
    </row>
    <row r="2429" spans="1:21">
      <c r="A2429" s="4" t="s">
        <v>3581</v>
      </c>
      <c r="B2429" s="4" t="s">
        <v>122</v>
      </c>
      <c r="C2429" s="5">
        <v>45955.218125</v>
      </c>
      <c r="D2429" s="5">
        <v>45961</v>
      </c>
      <c r="E2429" s="6">
        <f>IF(AND(C2429&lt;&gt;"",D2429&lt;&gt;""),D2429-C2429,"")</f>
        <v>0</v>
      </c>
      <c r="F2429" s="4" t="s">
        <v>3583</v>
      </c>
      <c r="G2429" s="4"/>
      <c r="H2429" s="4"/>
      <c r="I2429" s="4" t="s">
        <v>56</v>
      </c>
      <c r="J2429" s="4">
        <v>1</v>
      </c>
      <c r="K2429" s="4">
        <v>0</v>
      </c>
      <c r="L2429" s="4">
        <f>J2429+K2429</f>
        <v>0</v>
      </c>
      <c r="M2429" s="4"/>
      <c r="N2429" s="4"/>
      <c r="O2429" s="4">
        <v>0</v>
      </c>
      <c r="P2429" s="4"/>
      <c r="Q2429" s="4"/>
      <c r="R2429" s="7">
        <v>0</v>
      </c>
      <c r="S2429" s="7">
        <v>0</v>
      </c>
      <c r="T2429" s="7">
        <f>R2429-S2429</f>
        <v>0</v>
      </c>
      <c r="U2429" s="7">
        <f>T2429*O2429</f>
        <v>0</v>
      </c>
    </row>
    <row r="2430" spans="1:21">
      <c r="A2430" s="4" t="s">
        <v>3584</v>
      </c>
      <c r="B2430" s="4" t="s">
        <v>122</v>
      </c>
      <c r="C2430" s="5">
        <v>45955.218125</v>
      </c>
      <c r="D2430" s="5">
        <v>45961</v>
      </c>
      <c r="E2430" s="6">
        <f>IF(AND(C2430&lt;&gt;"",D2430&lt;&gt;""),D2430-C2430,"")</f>
        <v>0</v>
      </c>
      <c r="F2430" s="4" t="s">
        <v>3585</v>
      </c>
      <c r="G2430" s="4"/>
      <c r="H2430" s="4"/>
      <c r="I2430" s="4" t="s">
        <v>56</v>
      </c>
      <c r="J2430" s="4">
        <v>1</v>
      </c>
      <c r="K2430" s="4">
        <v>0</v>
      </c>
      <c r="L2430" s="4">
        <f>J2430+K2430</f>
        <v>0</v>
      </c>
      <c r="M2430" s="4"/>
      <c r="N2430" s="4"/>
      <c r="O2430" s="4">
        <v>0</v>
      </c>
      <c r="P2430" s="4"/>
      <c r="Q2430" s="4"/>
      <c r="R2430" s="7">
        <v>0</v>
      </c>
      <c r="S2430" s="7">
        <v>0</v>
      </c>
      <c r="T2430" s="7">
        <f>R2430-S2430</f>
        <v>0</v>
      </c>
      <c r="U2430" s="7">
        <f>T2430*O2430</f>
        <v>0</v>
      </c>
    </row>
    <row r="2431" spans="1:21">
      <c r="A2431" s="4" t="s">
        <v>3584</v>
      </c>
      <c r="B2431" s="4" t="s">
        <v>122</v>
      </c>
      <c r="C2431" s="5">
        <v>45955.218125</v>
      </c>
      <c r="D2431" s="5">
        <v>45961</v>
      </c>
      <c r="E2431" s="6">
        <f>IF(AND(C2431&lt;&gt;"",D2431&lt;&gt;""),D2431-C2431,"")</f>
        <v>0</v>
      </c>
      <c r="F2431" s="4" t="s">
        <v>3586</v>
      </c>
      <c r="G2431" s="4"/>
      <c r="H2431" s="4"/>
      <c r="I2431" s="4" t="s">
        <v>56</v>
      </c>
      <c r="J2431" s="4">
        <v>1</v>
      </c>
      <c r="K2431" s="4">
        <v>0</v>
      </c>
      <c r="L2431" s="4">
        <f>J2431+K2431</f>
        <v>0</v>
      </c>
      <c r="M2431" s="4"/>
      <c r="N2431" s="4"/>
      <c r="O2431" s="4">
        <v>0</v>
      </c>
      <c r="P2431" s="4"/>
      <c r="Q2431" s="4"/>
      <c r="R2431" s="7">
        <v>0</v>
      </c>
      <c r="S2431" s="7">
        <v>0</v>
      </c>
      <c r="T2431" s="7">
        <f>R2431-S2431</f>
        <v>0</v>
      </c>
      <c r="U2431" s="7">
        <f>T2431*O2431</f>
        <v>0</v>
      </c>
    </row>
    <row r="2432" spans="1:21">
      <c r="A2432" s="4" t="s">
        <v>3584</v>
      </c>
      <c r="B2432" s="4" t="s">
        <v>122</v>
      </c>
      <c r="C2432" s="5">
        <v>45955.218125</v>
      </c>
      <c r="D2432" s="5">
        <v>45961</v>
      </c>
      <c r="E2432" s="6">
        <f>IF(AND(C2432&lt;&gt;"",D2432&lt;&gt;""),D2432-C2432,"")</f>
        <v>0</v>
      </c>
      <c r="F2432" s="4" t="s">
        <v>3587</v>
      </c>
      <c r="G2432" s="4"/>
      <c r="H2432" s="4"/>
      <c r="I2432" s="4" t="s">
        <v>56</v>
      </c>
      <c r="J2432" s="4">
        <v>1</v>
      </c>
      <c r="K2432" s="4">
        <v>0</v>
      </c>
      <c r="L2432" s="4">
        <f>J2432+K2432</f>
        <v>0</v>
      </c>
      <c r="M2432" s="4"/>
      <c r="N2432" s="4"/>
      <c r="O2432" s="4">
        <v>0</v>
      </c>
      <c r="P2432" s="4"/>
      <c r="Q2432" s="4"/>
      <c r="R2432" s="7">
        <v>0</v>
      </c>
      <c r="S2432" s="7">
        <v>0</v>
      </c>
      <c r="T2432" s="7">
        <f>R2432-S2432</f>
        <v>0</v>
      </c>
      <c r="U2432" s="7">
        <f>T2432*O2432</f>
        <v>0</v>
      </c>
    </row>
    <row r="2433" spans="1:21">
      <c r="A2433" s="4" t="s">
        <v>3584</v>
      </c>
      <c r="B2433" s="4" t="s">
        <v>122</v>
      </c>
      <c r="C2433" s="5">
        <v>45955.218125</v>
      </c>
      <c r="D2433" s="5">
        <v>45961</v>
      </c>
      <c r="E2433" s="6">
        <f>IF(AND(C2433&lt;&gt;"",D2433&lt;&gt;""),D2433-C2433,"")</f>
        <v>0</v>
      </c>
      <c r="F2433" s="4" t="s">
        <v>3588</v>
      </c>
      <c r="G2433" s="4"/>
      <c r="H2433" s="4"/>
      <c r="I2433" s="4" t="s">
        <v>56</v>
      </c>
      <c r="J2433" s="4">
        <v>1</v>
      </c>
      <c r="K2433" s="4">
        <v>0</v>
      </c>
      <c r="L2433" s="4">
        <f>J2433+K2433</f>
        <v>0</v>
      </c>
      <c r="M2433" s="4"/>
      <c r="N2433" s="4"/>
      <c r="O2433" s="4">
        <v>0</v>
      </c>
      <c r="P2433" s="4"/>
      <c r="Q2433" s="4"/>
      <c r="R2433" s="7">
        <v>0</v>
      </c>
      <c r="S2433" s="7">
        <v>0</v>
      </c>
      <c r="T2433" s="7">
        <f>R2433-S2433</f>
        <v>0</v>
      </c>
      <c r="U2433" s="7">
        <f>T2433*O2433</f>
        <v>0</v>
      </c>
    </row>
    <row r="2434" spans="1:21">
      <c r="A2434" s="4" t="s">
        <v>3584</v>
      </c>
      <c r="B2434" s="4" t="s">
        <v>122</v>
      </c>
      <c r="C2434" s="5">
        <v>45955.218125</v>
      </c>
      <c r="D2434" s="5">
        <v>45961</v>
      </c>
      <c r="E2434" s="6">
        <f>IF(AND(C2434&lt;&gt;"",D2434&lt;&gt;""),D2434-C2434,"")</f>
        <v>0</v>
      </c>
      <c r="F2434" s="4" t="s">
        <v>3589</v>
      </c>
      <c r="G2434" s="4"/>
      <c r="H2434" s="4"/>
      <c r="I2434" s="4" t="s">
        <v>56</v>
      </c>
      <c r="J2434" s="4">
        <v>1</v>
      </c>
      <c r="K2434" s="4">
        <v>0</v>
      </c>
      <c r="L2434" s="4">
        <f>J2434+K2434</f>
        <v>0</v>
      </c>
      <c r="M2434" s="4"/>
      <c r="N2434" s="4"/>
      <c r="O2434" s="4">
        <v>0</v>
      </c>
      <c r="P2434" s="4"/>
      <c r="Q2434" s="4"/>
      <c r="R2434" s="7">
        <v>0</v>
      </c>
      <c r="S2434" s="7">
        <v>0</v>
      </c>
      <c r="T2434" s="7">
        <f>R2434-S2434</f>
        <v>0</v>
      </c>
      <c r="U2434" s="7">
        <f>T2434*O2434</f>
        <v>0</v>
      </c>
    </row>
    <row r="2435" spans="1:21">
      <c r="A2435" s="4" t="s">
        <v>3584</v>
      </c>
      <c r="B2435" s="4" t="s">
        <v>122</v>
      </c>
      <c r="C2435" s="5">
        <v>45955.218125</v>
      </c>
      <c r="D2435" s="5">
        <v>45961</v>
      </c>
      <c r="E2435" s="6">
        <f>IF(AND(C2435&lt;&gt;"",D2435&lt;&gt;""),D2435-C2435,"")</f>
        <v>0</v>
      </c>
      <c r="F2435" s="4" t="s">
        <v>3590</v>
      </c>
      <c r="G2435" s="4"/>
      <c r="H2435" s="4"/>
      <c r="I2435" s="4" t="s">
        <v>56</v>
      </c>
      <c r="J2435" s="4">
        <v>1</v>
      </c>
      <c r="K2435" s="4">
        <v>0</v>
      </c>
      <c r="L2435" s="4">
        <f>J2435+K2435</f>
        <v>0</v>
      </c>
      <c r="M2435" s="4"/>
      <c r="N2435" s="4"/>
      <c r="O2435" s="4">
        <v>0</v>
      </c>
      <c r="P2435" s="4"/>
      <c r="Q2435" s="4"/>
      <c r="R2435" s="7">
        <v>0</v>
      </c>
      <c r="S2435" s="7">
        <v>0</v>
      </c>
      <c r="T2435" s="7">
        <f>R2435-S2435</f>
        <v>0</v>
      </c>
      <c r="U2435" s="7">
        <f>T2435*O2435</f>
        <v>0</v>
      </c>
    </row>
    <row r="2436" spans="1:21">
      <c r="A2436" s="4" t="s">
        <v>3591</v>
      </c>
      <c r="B2436" s="4" t="s">
        <v>122</v>
      </c>
      <c r="C2436" s="5">
        <v>45955.218125</v>
      </c>
      <c r="D2436" s="5">
        <v>45961</v>
      </c>
      <c r="E2436" s="6">
        <f>IF(AND(C2436&lt;&gt;"",D2436&lt;&gt;""),D2436-C2436,"")</f>
        <v>0</v>
      </c>
      <c r="F2436" s="4" t="s">
        <v>3592</v>
      </c>
      <c r="G2436" s="4"/>
      <c r="H2436" s="4"/>
      <c r="I2436" s="4" t="s">
        <v>56</v>
      </c>
      <c r="J2436" s="4">
        <v>1</v>
      </c>
      <c r="K2436" s="4">
        <v>0</v>
      </c>
      <c r="L2436" s="4">
        <f>J2436+K2436</f>
        <v>0</v>
      </c>
      <c r="M2436" s="4"/>
      <c r="N2436" s="4"/>
      <c r="O2436" s="4">
        <v>0</v>
      </c>
      <c r="P2436" s="4"/>
      <c r="Q2436" s="4"/>
      <c r="R2436" s="7">
        <v>0</v>
      </c>
      <c r="S2436" s="7">
        <v>0</v>
      </c>
      <c r="T2436" s="7">
        <f>R2436-S2436</f>
        <v>0</v>
      </c>
      <c r="U2436" s="7">
        <f>T2436*O2436</f>
        <v>0</v>
      </c>
    </row>
    <row r="2437" spans="1:21">
      <c r="A2437" s="4" t="s">
        <v>3591</v>
      </c>
      <c r="B2437" s="4" t="s">
        <v>122</v>
      </c>
      <c r="C2437" s="5">
        <v>45955.218125</v>
      </c>
      <c r="D2437" s="5">
        <v>45961</v>
      </c>
      <c r="E2437" s="6">
        <f>IF(AND(C2437&lt;&gt;"",D2437&lt;&gt;""),D2437-C2437,"")</f>
        <v>0</v>
      </c>
      <c r="F2437" s="4" t="s">
        <v>3593</v>
      </c>
      <c r="G2437" s="4"/>
      <c r="H2437" s="4"/>
      <c r="I2437" s="4" t="s">
        <v>56</v>
      </c>
      <c r="J2437" s="4">
        <v>1</v>
      </c>
      <c r="K2437" s="4">
        <v>0</v>
      </c>
      <c r="L2437" s="4">
        <f>J2437+K2437</f>
        <v>0</v>
      </c>
      <c r="M2437" s="4"/>
      <c r="N2437" s="4"/>
      <c r="O2437" s="4">
        <v>0</v>
      </c>
      <c r="P2437" s="4"/>
      <c r="Q2437" s="4"/>
      <c r="R2437" s="7">
        <v>0</v>
      </c>
      <c r="S2437" s="7">
        <v>0</v>
      </c>
      <c r="T2437" s="7">
        <f>R2437-S2437</f>
        <v>0</v>
      </c>
      <c r="U2437" s="7">
        <f>T2437*O2437</f>
        <v>0</v>
      </c>
    </row>
    <row r="2438" spans="1:21">
      <c r="A2438" s="4" t="s">
        <v>3591</v>
      </c>
      <c r="B2438" s="4" t="s">
        <v>122</v>
      </c>
      <c r="C2438" s="5">
        <v>45955.21813657408</v>
      </c>
      <c r="D2438" s="5">
        <v>45961</v>
      </c>
      <c r="E2438" s="6">
        <f>IF(AND(C2438&lt;&gt;"",D2438&lt;&gt;""),D2438-C2438,"")</f>
        <v>0</v>
      </c>
      <c r="F2438" s="4" t="s">
        <v>3594</v>
      </c>
      <c r="G2438" s="4"/>
      <c r="H2438" s="4"/>
      <c r="I2438" s="4" t="s">
        <v>56</v>
      </c>
      <c r="J2438" s="4">
        <v>1</v>
      </c>
      <c r="K2438" s="4">
        <v>0</v>
      </c>
      <c r="L2438" s="4">
        <f>J2438+K2438</f>
        <v>0</v>
      </c>
      <c r="M2438" s="4"/>
      <c r="N2438" s="4"/>
      <c r="O2438" s="4">
        <v>0</v>
      </c>
      <c r="P2438" s="4"/>
      <c r="Q2438" s="4"/>
      <c r="R2438" s="7">
        <v>0</v>
      </c>
      <c r="S2438" s="7">
        <v>0</v>
      </c>
      <c r="T2438" s="7">
        <f>R2438-S2438</f>
        <v>0</v>
      </c>
      <c r="U2438" s="7">
        <f>T2438*O2438</f>
        <v>0</v>
      </c>
    </row>
    <row r="2439" spans="1:21">
      <c r="A2439" s="4" t="s">
        <v>3591</v>
      </c>
      <c r="B2439" s="4" t="s">
        <v>122</v>
      </c>
      <c r="C2439" s="5">
        <v>45955.21813657408</v>
      </c>
      <c r="D2439" s="5">
        <v>45961</v>
      </c>
      <c r="E2439" s="6">
        <f>IF(AND(C2439&lt;&gt;"",D2439&lt;&gt;""),D2439-C2439,"")</f>
        <v>0</v>
      </c>
      <c r="F2439" s="4" t="s">
        <v>3595</v>
      </c>
      <c r="G2439" s="4"/>
      <c r="H2439" s="4"/>
      <c r="I2439" s="4" t="s">
        <v>56</v>
      </c>
      <c r="J2439" s="4">
        <v>1</v>
      </c>
      <c r="K2439" s="4">
        <v>0</v>
      </c>
      <c r="L2439" s="4">
        <f>J2439+K2439</f>
        <v>0</v>
      </c>
      <c r="M2439" s="4"/>
      <c r="N2439" s="4"/>
      <c r="O2439" s="4">
        <v>0</v>
      </c>
      <c r="P2439" s="4"/>
      <c r="Q2439" s="4"/>
      <c r="R2439" s="7">
        <v>0</v>
      </c>
      <c r="S2439" s="7">
        <v>0</v>
      </c>
      <c r="T2439" s="7">
        <f>R2439-S2439</f>
        <v>0</v>
      </c>
      <c r="U2439" s="7">
        <f>T2439*O2439</f>
        <v>0</v>
      </c>
    </row>
    <row r="2440" spans="1:21">
      <c r="A2440" s="4" t="s">
        <v>3591</v>
      </c>
      <c r="B2440" s="4" t="s">
        <v>122</v>
      </c>
      <c r="C2440" s="5">
        <v>45955.21813657408</v>
      </c>
      <c r="D2440" s="5">
        <v>45961</v>
      </c>
      <c r="E2440" s="6">
        <f>IF(AND(C2440&lt;&gt;"",D2440&lt;&gt;""),D2440-C2440,"")</f>
        <v>0</v>
      </c>
      <c r="F2440" s="4" t="s">
        <v>3596</v>
      </c>
      <c r="G2440" s="4"/>
      <c r="H2440" s="4"/>
      <c r="I2440" s="4" t="s">
        <v>56</v>
      </c>
      <c r="J2440" s="4">
        <v>1</v>
      </c>
      <c r="K2440" s="4">
        <v>0</v>
      </c>
      <c r="L2440" s="4">
        <f>J2440+K2440</f>
        <v>0</v>
      </c>
      <c r="M2440" s="4"/>
      <c r="N2440" s="4"/>
      <c r="O2440" s="4">
        <v>0</v>
      </c>
      <c r="P2440" s="4"/>
      <c r="Q2440" s="4"/>
      <c r="R2440" s="7">
        <v>0</v>
      </c>
      <c r="S2440" s="7">
        <v>0</v>
      </c>
      <c r="T2440" s="7">
        <f>R2440-S2440</f>
        <v>0</v>
      </c>
      <c r="U2440" s="7">
        <f>T2440*O2440</f>
        <v>0</v>
      </c>
    </row>
    <row r="2441" spans="1:21">
      <c r="A2441" s="4" t="s">
        <v>3591</v>
      </c>
      <c r="B2441" s="4" t="s">
        <v>122</v>
      </c>
      <c r="C2441" s="5">
        <v>45955.21813657408</v>
      </c>
      <c r="D2441" s="5">
        <v>45961</v>
      </c>
      <c r="E2441" s="6">
        <f>IF(AND(C2441&lt;&gt;"",D2441&lt;&gt;""),D2441-C2441,"")</f>
        <v>0</v>
      </c>
      <c r="F2441" s="4" t="s">
        <v>3597</v>
      </c>
      <c r="G2441" s="4"/>
      <c r="H2441" s="4"/>
      <c r="I2441" s="4" t="s">
        <v>56</v>
      </c>
      <c r="J2441" s="4">
        <v>1</v>
      </c>
      <c r="K2441" s="4">
        <v>0</v>
      </c>
      <c r="L2441" s="4">
        <f>J2441+K2441</f>
        <v>0</v>
      </c>
      <c r="M2441" s="4"/>
      <c r="N2441" s="4"/>
      <c r="O2441" s="4">
        <v>0</v>
      </c>
      <c r="P2441" s="4"/>
      <c r="Q2441" s="4"/>
      <c r="R2441" s="7">
        <v>0</v>
      </c>
      <c r="S2441" s="7">
        <v>0</v>
      </c>
      <c r="T2441" s="7">
        <f>R2441-S2441</f>
        <v>0</v>
      </c>
      <c r="U2441" s="7">
        <f>T2441*O2441</f>
        <v>0</v>
      </c>
    </row>
    <row r="2442" spans="1:21">
      <c r="A2442" s="4" t="s">
        <v>3598</v>
      </c>
      <c r="B2442" s="4" t="s">
        <v>122</v>
      </c>
      <c r="C2442" s="5">
        <v>45955.21813657408</v>
      </c>
      <c r="D2442" s="5">
        <v>45961</v>
      </c>
      <c r="E2442" s="6">
        <f>IF(AND(C2442&lt;&gt;"",D2442&lt;&gt;""),D2442-C2442,"")</f>
        <v>0</v>
      </c>
      <c r="F2442" s="4" t="s">
        <v>3599</v>
      </c>
      <c r="G2442" s="4"/>
      <c r="H2442" s="4"/>
      <c r="I2442" s="4" t="s">
        <v>56</v>
      </c>
      <c r="J2442" s="4">
        <v>1</v>
      </c>
      <c r="K2442" s="4">
        <v>0</v>
      </c>
      <c r="L2442" s="4">
        <f>J2442+K2442</f>
        <v>0</v>
      </c>
      <c r="M2442" s="4"/>
      <c r="N2442" s="4"/>
      <c r="O2442" s="4">
        <v>0</v>
      </c>
      <c r="P2442" s="4"/>
      <c r="Q2442" s="4"/>
      <c r="R2442" s="7">
        <v>0</v>
      </c>
      <c r="S2442" s="7">
        <v>0</v>
      </c>
      <c r="T2442" s="7">
        <f>R2442-S2442</f>
        <v>0</v>
      </c>
      <c r="U2442" s="7">
        <f>T2442*O2442</f>
        <v>0</v>
      </c>
    </row>
    <row r="2443" spans="1:21">
      <c r="A2443" s="4" t="s">
        <v>3598</v>
      </c>
      <c r="B2443" s="4" t="s">
        <v>122</v>
      </c>
      <c r="C2443" s="5">
        <v>45955.21813657408</v>
      </c>
      <c r="D2443" s="5">
        <v>45961</v>
      </c>
      <c r="E2443" s="6">
        <f>IF(AND(C2443&lt;&gt;"",D2443&lt;&gt;""),D2443-C2443,"")</f>
        <v>0</v>
      </c>
      <c r="F2443" s="4" t="s">
        <v>3600</v>
      </c>
      <c r="G2443" s="4"/>
      <c r="H2443" s="4"/>
      <c r="I2443" s="4" t="s">
        <v>56</v>
      </c>
      <c r="J2443" s="4">
        <v>1</v>
      </c>
      <c r="K2443" s="4">
        <v>0</v>
      </c>
      <c r="L2443" s="4">
        <f>J2443+K2443</f>
        <v>0</v>
      </c>
      <c r="M2443" s="4"/>
      <c r="N2443" s="4"/>
      <c r="O2443" s="4">
        <v>0</v>
      </c>
      <c r="P2443" s="4"/>
      <c r="Q2443" s="4"/>
      <c r="R2443" s="7">
        <v>0</v>
      </c>
      <c r="S2443" s="7">
        <v>0</v>
      </c>
      <c r="T2443" s="7">
        <f>R2443-S2443</f>
        <v>0</v>
      </c>
      <c r="U2443" s="7">
        <f>T2443*O2443</f>
        <v>0</v>
      </c>
    </row>
    <row r="2444" spans="1:21">
      <c r="A2444" s="4" t="s">
        <v>3598</v>
      </c>
      <c r="B2444" s="4" t="s">
        <v>122</v>
      </c>
      <c r="C2444" s="5">
        <v>45955.21813657408</v>
      </c>
      <c r="D2444" s="5">
        <v>45961</v>
      </c>
      <c r="E2444" s="6">
        <f>IF(AND(C2444&lt;&gt;"",D2444&lt;&gt;""),D2444-C2444,"")</f>
        <v>0</v>
      </c>
      <c r="F2444" s="4" t="s">
        <v>3601</v>
      </c>
      <c r="G2444" s="4"/>
      <c r="H2444" s="4"/>
      <c r="I2444" s="4" t="s">
        <v>56</v>
      </c>
      <c r="J2444" s="4">
        <v>1</v>
      </c>
      <c r="K2444" s="4">
        <v>0</v>
      </c>
      <c r="L2444" s="4">
        <f>J2444+K2444</f>
        <v>0</v>
      </c>
      <c r="M2444" s="4"/>
      <c r="N2444" s="4"/>
      <c r="O2444" s="4">
        <v>0</v>
      </c>
      <c r="P2444" s="4"/>
      <c r="Q2444" s="4"/>
      <c r="R2444" s="7">
        <v>0</v>
      </c>
      <c r="S2444" s="7">
        <v>0</v>
      </c>
      <c r="T2444" s="7">
        <f>R2444-S2444</f>
        <v>0</v>
      </c>
      <c r="U2444" s="7">
        <f>T2444*O2444</f>
        <v>0</v>
      </c>
    </row>
    <row r="2445" spans="1:21">
      <c r="A2445" s="4" t="s">
        <v>3598</v>
      </c>
      <c r="B2445" s="4" t="s">
        <v>122</v>
      </c>
      <c r="C2445" s="5">
        <v>45955.21813657408</v>
      </c>
      <c r="D2445" s="5">
        <v>45961</v>
      </c>
      <c r="E2445" s="6">
        <f>IF(AND(C2445&lt;&gt;"",D2445&lt;&gt;""),D2445-C2445,"")</f>
        <v>0</v>
      </c>
      <c r="F2445" s="4" t="s">
        <v>3602</v>
      </c>
      <c r="G2445" s="4"/>
      <c r="H2445" s="4"/>
      <c r="I2445" s="4" t="s">
        <v>56</v>
      </c>
      <c r="J2445" s="4">
        <v>1</v>
      </c>
      <c r="K2445" s="4">
        <v>0</v>
      </c>
      <c r="L2445" s="4">
        <f>J2445+K2445</f>
        <v>0</v>
      </c>
      <c r="M2445" s="4"/>
      <c r="N2445" s="4"/>
      <c r="O2445" s="4">
        <v>0</v>
      </c>
      <c r="P2445" s="4"/>
      <c r="Q2445" s="4"/>
      <c r="R2445" s="7">
        <v>0</v>
      </c>
      <c r="S2445" s="7">
        <v>0</v>
      </c>
      <c r="T2445" s="7">
        <f>R2445-S2445</f>
        <v>0</v>
      </c>
      <c r="U2445" s="7">
        <f>T2445*O2445</f>
        <v>0</v>
      </c>
    </row>
    <row r="2446" spans="1:21">
      <c r="A2446" s="4" t="s">
        <v>3598</v>
      </c>
      <c r="B2446" s="4" t="s">
        <v>122</v>
      </c>
      <c r="C2446" s="5">
        <v>45955.21813657408</v>
      </c>
      <c r="D2446" s="5">
        <v>45961</v>
      </c>
      <c r="E2446" s="6">
        <f>IF(AND(C2446&lt;&gt;"",D2446&lt;&gt;""),D2446-C2446,"")</f>
        <v>0</v>
      </c>
      <c r="F2446" s="4" t="s">
        <v>3603</v>
      </c>
      <c r="G2446" s="4"/>
      <c r="H2446" s="4"/>
      <c r="I2446" s="4" t="s">
        <v>56</v>
      </c>
      <c r="J2446" s="4">
        <v>1</v>
      </c>
      <c r="K2446" s="4">
        <v>0</v>
      </c>
      <c r="L2446" s="4">
        <f>J2446+K2446</f>
        <v>0</v>
      </c>
      <c r="M2446" s="4"/>
      <c r="N2446" s="4"/>
      <c r="O2446" s="4">
        <v>0</v>
      </c>
      <c r="P2446" s="4"/>
      <c r="Q2446" s="4"/>
      <c r="R2446" s="7">
        <v>0</v>
      </c>
      <c r="S2446" s="7">
        <v>0</v>
      </c>
      <c r="T2446" s="7">
        <f>R2446-S2446</f>
        <v>0</v>
      </c>
      <c r="U2446" s="7">
        <f>T2446*O2446</f>
        <v>0</v>
      </c>
    </row>
    <row r="2447" spans="1:21">
      <c r="A2447" s="4" t="s">
        <v>3598</v>
      </c>
      <c r="B2447" s="4" t="s">
        <v>122</v>
      </c>
      <c r="C2447" s="5">
        <v>45955.21813657408</v>
      </c>
      <c r="D2447" s="5">
        <v>45961</v>
      </c>
      <c r="E2447" s="6">
        <f>IF(AND(C2447&lt;&gt;"",D2447&lt;&gt;""),D2447-C2447,"")</f>
        <v>0</v>
      </c>
      <c r="F2447" s="4" t="s">
        <v>3604</v>
      </c>
      <c r="G2447" s="4"/>
      <c r="H2447" s="4"/>
      <c r="I2447" s="4" t="s">
        <v>56</v>
      </c>
      <c r="J2447" s="4">
        <v>1</v>
      </c>
      <c r="K2447" s="4">
        <v>0</v>
      </c>
      <c r="L2447" s="4">
        <f>J2447+K2447</f>
        <v>0</v>
      </c>
      <c r="M2447" s="4"/>
      <c r="N2447" s="4"/>
      <c r="O2447" s="4">
        <v>0</v>
      </c>
      <c r="P2447" s="4"/>
      <c r="Q2447" s="4"/>
      <c r="R2447" s="7">
        <v>0</v>
      </c>
      <c r="S2447" s="7">
        <v>0</v>
      </c>
      <c r="T2447" s="7">
        <f>R2447-S2447</f>
        <v>0</v>
      </c>
      <c r="U2447" s="7">
        <f>T2447*O2447</f>
        <v>0</v>
      </c>
    </row>
    <row r="2448" spans="1:21">
      <c r="A2448" s="4" t="s">
        <v>3605</v>
      </c>
      <c r="B2448" s="4" t="s">
        <v>122</v>
      </c>
      <c r="C2448" s="5">
        <v>45955.22693287037</v>
      </c>
      <c r="D2448" s="5">
        <v>45961</v>
      </c>
      <c r="E2448" s="6">
        <f>IF(AND(C2448&lt;&gt;"",D2448&lt;&gt;""),D2448-C2448,"")</f>
        <v>0</v>
      </c>
      <c r="F2448" s="4" t="s">
        <v>3606</v>
      </c>
      <c r="G2448" s="4"/>
      <c r="H2448" s="4"/>
      <c r="I2448" s="4" t="s">
        <v>56</v>
      </c>
      <c r="J2448" s="4">
        <v>20</v>
      </c>
      <c r="K2448" s="4">
        <v>15</v>
      </c>
      <c r="L2448" s="4">
        <f>J2448+K2448</f>
        <v>0</v>
      </c>
      <c r="M2448" s="4"/>
      <c r="N2448" s="4"/>
      <c r="O2448" s="4">
        <v>0</v>
      </c>
      <c r="P2448" s="4"/>
      <c r="Q2448" s="4"/>
      <c r="R2448" s="7">
        <v>0</v>
      </c>
      <c r="S2448" s="7">
        <v>0</v>
      </c>
      <c r="T2448" s="7">
        <f>R2448-S2448</f>
        <v>0</v>
      </c>
      <c r="U2448" s="7">
        <f>T2448*O2448</f>
        <v>0</v>
      </c>
    </row>
    <row r="2449" spans="1:21">
      <c r="A2449" s="4" t="s">
        <v>3607</v>
      </c>
      <c r="B2449" s="4"/>
      <c r="C2449" s="5">
        <v>45955.25724537037</v>
      </c>
      <c r="D2449" s="5">
        <v>45961</v>
      </c>
      <c r="E2449" s="6">
        <f>IF(AND(C2449&lt;&gt;"",D2449&lt;&gt;""),D2449-C2449,"")</f>
        <v>0</v>
      </c>
      <c r="F2449" s="4" t="s">
        <v>3608</v>
      </c>
      <c r="G2449" s="4"/>
      <c r="H2449" s="4"/>
      <c r="I2449" s="4" t="s">
        <v>56</v>
      </c>
      <c r="J2449" s="4">
        <v>31</v>
      </c>
      <c r="K2449" s="4">
        <v>0</v>
      </c>
      <c r="L2449" s="4">
        <f>J2449+K2449</f>
        <v>0</v>
      </c>
      <c r="M2449" s="4"/>
      <c r="N2449" s="4"/>
      <c r="O2449" s="4">
        <v>0</v>
      </c>
      <c r="P2449" s="4"/>
      <c r="Q2449" s="4"/>
      <c r="R2449" s="7">
        <v>0</v>
      </c>
      <c r="S2449" s="7">
        <v>0</v>
      </c>
      <c r="T2449" s="7">
        <f>R2449-S2449</f>
        <v>0</v>
      </c>
      <c r="U2449" s="7">
        <f>T2449*O2449</f>
        <v>0</v>
      </c>
    </row>
    <row r="2450" spans="1:21">
      <c r="A2450" s="4" t="s">
        <v>3609</v>
      </c>
      <c r="B2450" s="4" t="s">
        <v>39</v>
      </c>
      <c r="C2450" s="5">
        <v>45955.31949074074</v>
      </c>
      <c r="D2450" s="5">
        <v>45955</v>
      </c>
      <c r="E2450" s="6">
        <f>IF(AND(C2450&lt;&gt;"",D2450&lt;&gt;""),D2450-C2450,"")</f>
        <v>0</v>
      </c>
      <c r="F2450" s="4" t="s">
        <v>3610</v>
      </c>
      <c r="G2450" s="4" t="s">
        <v>3611</v>
      </c>
      <c r="H2450" s="4" t="s">
        <v>32</v>
      </c>
      <c r="I2450" s="4" t="s">
        <v>33</v>
      </c>
      <c r="J2450" s="4">
        <v>0</v>
      </c>
      <c r="K2450" s="4">
        <v>0</v>
      </c>
      <c r="L2450" s="4">
        <f>J2450+K2450</f>
        <v>0</v>
      </c>
      <c r="M2450" s="4" t="s">
        <v>370</v>
      </c>
      <c r="N2450" s="4"/>
      <c r="O2450" s="4">
        <v>1</v>
      </c>
      <c r="P2450" s="4" t="s">
        <v>135</v>
      </c>
      <c r="Q2450" s="4" t="s">
        <v>44</v>
      </c>
      <c r="R2450" s="7">
        <v>2000000</v>
      </c>
      <c r="S2450" s="7">
        <v>0</v>
      </c>
      <c r="T2450" s="7">
        <f>R2450-S2450</f>
        <v>0</v>
      </c>
      <c r="U2450" s="7">
        <f>T2450*O2450</f>
        <v>0</v>
      </c>
    </row>
    <row r="2451" spans="1:21">
      <c r="A2451" s="4" t="s">
        <v>3612</v>
      </c>
      <c r="B2451" s="4" t="s">
        <v>39</v>
      </c>
      <c r="C2451" s="5">
        <v>45955.32041666667</v>
      </c>
      <c r="D2451" s="5">
        <v>45955</v>
      </c>
      <c r="E2451" s="6">
        <f>IF(AND(C2451&lt;&gt;"",D2451&lt;&gt;""),D2451-C2451,"")</f>
        <v>0</v>
      </c>
      <c r="F2451" s="4" t="s">
        <v>3613</v>
      </c>
      <c r="G2451" s="4" t="s">
        <v>3614</v>
      </c>
      <c r="H2451" s="4" t="s">
        <v>1262</v>
      </c>
      <c r="I2451" s="4" t="s">
        <v>56</v>
      </c>
      <c r="J2451" s="4">
        <v>0</v>
      </c>
      <c r="K2451" s="4">
        <v>0</v>
      </c>
      <c r="L2451" s="4">
        <f>J2451+K2451</f>
        <v>0</v>
      </c>
      <c r="M2451" s="4" t="s">
        <v>370</v>
      </c>
      <c r="N2451" s="4"/>
      <c r="O2451" s="4">
        <v>1</v>
      </c>
      <c r="P2451" s="4" t="s">
        <v>135</v>
      </c>
      <c r="Q2451" s="4" t="s">
        <v>44</v>
      </c>
      <c r="R2451" s="7">
        <v>2000000</v>
      </c>
      <c r="S2451" s="7">
        <v>0</v>
      </c>
      <c r="T2451" s="7">
        <f>R2451-S2451</f>
        <v>0</v>
      </c>
      <c r="U2451" s="7">
        <f>T2451*O2451</f>
        <v>0</v>
      </c>
    </row>
    <row r="2452" spans="1:21">
      <c r="A2452" s="4" t="s">
        <v>3615</v>
      </c>
      <c r="B2452" s="4" t="s">
        <v>39</v>
      </c>
      <c r="C2452" s="5">
        <v>45955.32067129629</v>
      </c>
      <c r="D2452" s="5">
        <v>45955</v>
      </c>
      <c r="E2452" s="6">
        <f>IF(AND(C2452&lt;&gt;"",D2452&lt;&gt;""),D2452-C2452,"")</f>
        <v>0</v>
      </c>
      <c r="F2452" s="4" t="s">
        <v>3616</v>
      </c>
      <c r="G2452" s="4" t="s">
        <v>202</v>
      </c>
      <c r="H2452" s="4" t="s">
        <v>32</v>
      </c>
      <c r="I2452" s="4" t="s">
        <v>33</v>
      </c>
      <c r="J2452" s="4">
        <v>0</v>
      </c>
      <c r="K2452" s="4">
        <v>0</v>
      </c>
      <c r="L2452" s="4">
        <f>J2452+K2452</f>
        <v>0</v>
      </c>
      <c r="M2452" s="4" t="s">
        <v>370</v>
      </c>
      <c r="N2452" s="4"/>
      <c r="O2452" s="4">
        <v>1</v>
      </c>
      <c r="P2452" s="4" t="s">
        <v>135</v>
      </c>
      <c r="Q2452" s="4" t="s">
        <v>44</v>
      </c>
      <c r="R2452" s="7">
        <v>2000000</v>
      </c>
      <c r="S2452" s="7">
        <v>0</v>
      </c>
      <c r="T2452" s="7">
        <f>R2452-S2452</f>
        <v>0</v>
      </c>
      <c r="U2452" s="7">
        <f>T2452*O2452</f>
        <v>0</v>
      </c>
    </row>
    <row r="2453" spans="1:21">
      <c r="A2453" s="4" t="s">
        <v>3617</v>
      </c>
      <c r="B2453" s="4" t="s">
        <v>39</v>
      </c>
      <c r="C2453" s="5">
        <v>45955.36840277778</v>
      </c>
      <c r="D2453" s="5">
        <v>45955</v>
      </c>
      <c r="E2453" s="6">
        <f>IF(AND(C2453&lt;&gt;"",D2453&lt;&gt;""),D2453-C2453,"")</f>
        <v>0</v>
      </c>
      <c r="F2453" s="4" t="s">
        <v>3427</v>
      </c>
      <c r="G2453" s="4" t="s">
        <v>3428</v>
      </c>
      <c r="H2453" s="4" t="s">
        <v>3429</v>
      </c>
      <c r="I2453" s="4" t="s">
        <v>56</v>
      </c>
      <c r="J2453" s="4">
        <v>0</v>
      </c>
      <c r="K2453" s="4">
        <v>0</v>
      </c>
      <c r="L2453" s="4">
        <f>J2453+K2453</f>
        <v>0</v>
      </c>
      <c r="M2453" s="4" t="s">
        <v>370</v>
      </c>
      <c r="N2453" s="4"/>
      <c r="O2453" s="4">
        <v>1</v>
      </c>
      <c r="P2453" s="4" t="s">
        <v>135</v>
      </c>
      <c r="Q2453" s="4" t="s">
        <v>44</v>
      </c>
      <c r="R2453" s="7">
        <v>0</v>
      </c>
      <c r="S2453" s="7">
        <v>0</v>
      </c>
      <c r="T2453" s="7">
        <f>R2453-S2453</f>
        <v>0</v>
      </c>
      <c r="U2453" s="7">
        <f>T2453*O2453</f>
        <v>0</v>
      </c>
    </row>
    <row r="2454" spans="1:21">
      <c r="A2454" s="4" t="s">
        <v>3618</v>
      </c>
      <c r="B2454" s="4" t="s">
        <v>48</v>
      </c>
      <c r="C2454" s="5">
        <v>45955.43436342593</v>
      </c>
      <c r="D2454" s="5">
        <v>45961</v>
      </c>
      <c r="E2454" s="6">
        <f>IF(AND(C2454&lt;&gt;"",D2454&lt;&gt;""),D2454-C2454,"")</f>
        <v>0</v>
      </c>
      <c r="F2454" s="4" t="s">
        <v>1399</v>
      </c>
      <c r="G2454" s="4" t="s">
        <v>202</v>
      </c>
      <c r="H2454" s="4" t="s">
        <v>32</v>
      </c>
      <c r="I2454" s="4" t="s">
        <v>33</v>
      </c>
      <c r="J2454" s="4">
        <v>9</v>
      </c>
      <c r="K2454" s="4">
        <v>3</v>
      </c>
      <c r="L2454" s="4">
        <f>J2454+K2454</f>
        <v>0</v>
      </c>
      <c r="M2454" s="4"/>
      <c r="N2454" s="4"/>
      <c r="O2454" s="4">
        <v>0</v>
      </c>
      <c r="P2454" s="4"/>
      <c r="Q2454" s="4"/>
      <c r="R2454" s="7">
        <v>0</v>
      </c>
      <c r="S2454" s="7">
        <v>0</v>
      </c>
      <c r="T2454" s="7">
        <f>R2454-S2454</f>
        <v>0</v>
      </c>
      <c r="U2454" s="7">
        <f>T2454*O2454</f>
        <v>0</v>
      </c>
    </row>
    <row r="2455" spans="1:21">
      <c r="A2455" s="4" t="s">
        <v>3619</v>
      </c>
      <c r="B2455" s="4" t="s">
        <v>39</v>
      </c>
      <c r="C2455" s="5">
        <v>45955.4477662037</v>
      </c>
      <c r="D2455" s="5">
        <v>45955</v>
      </c>
      <c r="E2455" s="6">
        <f>IF(AND(C2455&lt;&gt;"",D2455&lt;&gt;""),D2455-C2455,"")</f>
        <v>0</v>
      </c>
      <c r="F2455" s="4" t="s">
        <v>3620</v>
      </c>
      <c r="G2455" s="4" t="s">
        <v>3621</v>
      </c>
      <c r="H2455" s="4" t="s">
        <v>32</v>
      </c>
      <c r="I2455" s="4" t="s">
        <v>33</v>
      </c>
      <c r="J2455" s="4">
        <v>2</v>
      </c>
      <c r="K2455" s="4">
        <v>0</v>
      </c>
      <c r="L2455" s="4">
        <f>J2455+K2455</f>
        <v>0</v>
      </c>
      <c r="M2455" s="4" t="s">
        <v>80</v>
      </c>
      <c r="N2455" s="4"/>
      <c r="O2455" s="4">
        <v>2</v>
      </c>
      <c r="P2455" s="4" t="s">
        <v>135</v>
      </c>
      <c r="Q2455" s="4"/>
      <c r="R2455" s="7">
        <v>610000</v>
      </c>
      <c r="S2455" s="7">
        <v>0</v>
      </c>
      <c r="T2455" s="7">
        <f>R2455-S2455</f>
        <v>0</v>
      </c>
      <c r="U2455" s="7">
        <f>T2455*O2455</f>
        <v>0</v>
      </c>
    </row>
    <row r="2456" spans="1:21">
      <c r="A2456" s="4" t="s">
        <v>3622</v>
      </c>
      <c r="B2456" s="4" t="s">
        <v>39</v>
      </c>
      <c r="C2456" s="5">
        <v>45955.46190972222</v>
      </c>
      <c r="D2456" s="5">
        <v>45955</v>
      </c>
      <c r="E2456" s="6">
        <f>IF(AND(C2456&lt;&gt;"",D2456&lt;&gt;""),D2456-C2456,"")</f>
        <v>0</v>
      </c>
      <c r="F2456" s="4" t="s">
        <v>3623</v>
      </c>
      <c r="G2456" s="4" t="s">
        <v>3624</v>
      </c>
      <c r="H2456" s="4" t="s">
        <v>32</v>
      </c>
      <c r="I2456" s="4" t="s">
        <v>33</v>
      </c>
      <c r="J2456" s="4">
        <v>4</v>
      </c>
      <c r="K2456" s="4">
        <v>0</v>
      </c>
      <c r="L2456" s="4">
        <f>J2456+K2456</f>
        <v>0</v>
      </c>
      <c r="M2456" s="4" t="s">
        <v>42</v>
      </c>
      <c r="N2456" s="4"/>
      <c r="O2456" s="4">
        <v>4</v>
      </c>
      <c r="P2456" s="4" t="s">
        <v>135</v>
      </c>
      <c r="Q2456" s="4"/>
      <c r="R2456" s="7">
        <v>370000</v>
      </c>
      <c r="S2456" s="7">
        <v>0</v>
      </c>
      <c r="T2456" s="7">
        <f>R2456-S2456</f>
        <v>0</v>
      </c>
      <c r="U2456" s="7">
        <f>T2456*O2456</f>
        <v>0</v>
      </c>
    </row>
    <row r="2457" spans="1:21">
      <c r="A2457" s="4" t="s">
        <v>3622</v>
      </c>
      <c r="B2457" s="4" t="s">
        <v>39</v>
      </c>
      <c r="C2457" s="5">
        <v>45955.46190972222</v>
      </c>
      <c r="D2457" s="5">
        <v>45955</v>
      </c>
      <c r="E2457" s="6">
        <f>IF(AND(C2457&lt;&gt;"",D2457&lt;&gt;""),D2457-C2457,"")</f>
        <v>0</v>
      </c>
      <c r="F2457" s="4" t="s">
        <v>3623</v>
      </c>
      <c r="G2457" s="4" t="s">
        <v>3624</v>
      </c>
      <c r="H2457" s="4" t="s">
        <v>32</v>
      </c>
      <c r="I2457" s="4" t="s">
        <v>33</v>
      </c>
      <c r="J2457" s="4">
        <v>2</v>
      </c>
      <c r="K2457" s="4">
        <v>0</v>
      </c>
      <c r="L2457" s="4">
        <f>J2457+K2457</f>
        <v>0</v>
      </c>
      <c r="M2457" s="4" t="s">
        <v>80</v>
      </c>
      <c r="N2457" s="4"/>
      <c r="O2457" s="4">
        <v>2</v>
      </c>
      <c r="P2457" s="4" t="s">
        <v>135</v>
      </c>
      <c r="Q2457" s="4"/>
      <c r="R2457" s="7">
        <v>610000</v>
      </c>
      <c r="S2457" s="7">
        <v>0</v>
      </c>
      <c r="T2457" s="7">
        <f>R2457-S2457</f>
        <v>0</v>
      </c>
      <c r="U2457" s="7">
        <f>T2457*O2457</f>
        <v>0</v>
      </c>
    </row>
    <row r="2458" spans="1:21">
      <c r="A2458" s="4" t="s">
        <v>3625</v>
      </c>
      <c r="B2458" s="4" t="s">
        <v>48</v>
      </c>
      <c r="C2458" s="5">
        <v>45955.63721064815</v>
      </c>
      <c r="D2458" s="5">
        <v>45961</v>
      </c>
      <c r="E2458" s="6">
        <f>IF(AND(C2458&lt;&gt;"",D2458&lt;&gt;""),D2458-C2458,"")</f>
        <v>0</v>
      </c>
      <c r="F2458" s="4" t="s">
        <v>64</v>
      </c>
      <c r="G2458" s="4" t="s">
        <v>3626</v>
      </c>
      <c r="H2458" s="4" t="s">
        <v>32</v>
      </c>
      <c r="I2458" s="4" t="s">
        <v>33</v>
      </c>
      <c r="J2458" s="4">
        <v>2</v>
      </c>
      <c r="K2458" s="4">
        <v>2</v>
      </c>
      <c r="L2458" s="4">
        <f>J2458+K2458</f>
        <v>0</v>
      </c>
      <c r="M2458" s="4"/>
      <c r="N2458" s="4"/>
      <c r="O2458" s="4">
        <v>0</v>
      </c>
      <c r="P2458" s="4"/>
      <c r="Q2458" s="4"/>
      <c r="R2458" s="7">
        <v>0</v>
      </c>
      <c r="S2458" s="7">
        <v>0</v>
      </c>
      <c r="T2458" s="7">
        <f>R2458-S2458</f>
        <v>0</v>
      </c>
      <c r="U2458" s="7">
        <f>T2458*O2458</f>
        <v>0</v>
      </c>
    </row>
    <row r="2459" spans="1:21">
      <c r="A2459" s="4" t="s">
        <v>3627</v>
      </c>
      <c r="B2459" s="4" t="s">
        <v>39</v>
      </c>
      <c r="C2459" s="5">
        <v>45955.64978009259</v>
      </c>
      <c r="D2459" s="5">
        <v>45955</v>
      </c>
      <c r="E2459" s="6">
        <f>IF(AND(C2459&lt;&gt;"",D2459&lt;&gt;""),D2459-C2459,"")</f>
        <v>0</v>
      </c>
      <c r="F2459" s="4" t="s">
        <v>3628</v>
      </c>
      <c r="G2459" s="4" t="s">
        <v>3629</v>
      </c>
      <c r="H2459" s="4" t="s">
        <v>32</v>
      </c>
      <c r="I2459" s="4" t="s">
        <v>33</v>
      </c>
      <c r="J2459" s="4">
        <v>0</v>
      </c>
      <c r="K2459" s="4">
        <v>0</v>
      </c>
      <c r="L2459" s="4">
        <f>J2459+K2459</f>
        <v>0</v>
      </c>
      <c r="M2459" s="4" t="s">
        <v>3630</v>
      </c>
      <c r="N2459" s="4"/>
      <c r="O2459" s="4">
        <v>1</v>
      </c>
      <c r="P2459" s="4" t="s">
        <v>135</v>
      </c>
      <c r="Q2459" s="4"/>
      <c r="R2459" s="7">
        <v>15000</v>
      </c>
      <c r="S2459" s="7">
        <v>0</v>
      </c>
      <c r="T2459" s="7">
        <f>R2459-S2459</f>
        <v>0</v>
      </c>
      <c r="U2459" s="7">
        <f>T2459*O2459</f>
        <v>0</v>
      </c>
    </row>
    <row r="2460" spans="1:21">
      <c r="A2460" s="4" t="s">
        <v>3631</v>
      </c>
      <c r="B2460" s="4" t="s">
        <v>39</v>
      </c>
      <c r="C2460" s="5">
        <v>45955.65081018519</v>
      </c>
      <c r="D2460" s="5">
        <v>45955</v>
      </c>
      <c r="E2460" s="6">
        <f>IF(AND(C2460&lt;&gt;"",D2460&lt;&gt;""),D2460-C2460,"")</f>
        <v>0</v>
      </c>
      <c r="F2460" s="4" t="s">
        <v>3632</v>
      </c>
      <c r="G2460" s="4" t="s">
        <v>3633</v>
      </c>
      <c r="H2460" s="4" t="s">
        <v>32</v>
      </c>
      <c r="I2460" s="4" t="s">
        <v>33</v>
      </c>
      <c r="J2460" s="4">
        <v>1</v>
      </c>
      <c r="K2460" s="4">
        <v>0</v>
      </c>
      <c r="L2460" s="4">
        <f>J2460+K2460</f>
        <v>0</v>
      </c>
      <c r="M2460" s="4" t="s">
        <v>80</v>
      </c>
      <c r="N2460" s="4"/>
      <c r="O2460" s="4">
        <v>1</v>
      </c>
      <c r="P2460" s="4" t="s">
        <v>135</v>
      </c>
      <c r="Q2460" s="4"/>
      <c r="R2460" s="7">
        <v>610000</v>
      </c>
      <c r="S2460" s="7">
        <v>0</v>
      </c>
      <c r="T2460" s="7">
        <f>R2460-S2460</f>
        <v>0</v>
      </c>
      <c r="U2460" s="7">
        <f>T2460*O2460</f>
        <v>0</v>
      </c>
    </row>
    <row r="2461" spans="1:21">
      <c r="A2461" s="4" t="s">
        <v>3631</v>
      </c>
      <c r="B2461" s="4" t="s">
        <v>39</v>
      </c>
      <c r="C2461" s="5">
        <v>45955.65081018519</v>
      </c>
      <c r="D2461" s="5">
        <v>45955</v>
      </c>
      <c r="E2461" s="6">
        <f>IF(AND(C2461&lt;&gt;"",D2461&lt;&gt;""),D2461-C2461,"")</f>
        <v>0</v>
      </c>
      <c r="F2461" s="4" t="s">
        <v>3632</v>
      </c>
      <c r="G2461" s="4" t="s">
        <v>3633</v>
      </c>
      <c r="H2461" s="4" t="s">
        <v>32</v>
      </c>
      <c r="I2461" s="4" t="s">
        <v>33</v>
      </c>
      <c r="J2461" s="4">
        <v>1</v>
      </c>
      <c r="K2461" s="4">
        <v>0</v>
      </c>
      <c r="L2461" s="4">
        <f>J2461+K2461</f>
        <v>0</v>
      </c>
      <c r="M2461" s="4" t="s">
        <v>80</v>
      </c>
      <c r="N2461" s="4"/>
      <c r="O2461" s="4">
        <v>1</v>
      </c>
      <c r="P2461" s="4" t="s">
        <v>135</v>
      </c>
      <c r="Q2461" s="4"/>
      <c r="R2461" s="7">
        <v>610000</v>
      </c>
      <c r="S2461" s="7">
        <v>0</v>
      </c>
      <c r="T2461" s="7">
        <f>R2461-S2461</f>
        <v>0</v>
      </c>
      <c r="U2461" s="7">
        <f>T2461*O2461</f>
        <v>0</v>
      </c>
    </row>
    <row r="2462" spans="1:21">
      <c r="A2462" s="4" t="s">
        <v>3634</v>
      </c>
      <c r="B2462" s="4" t="s">
        <v>39</v>
      </c>
      <c r="C2462" s="5">
        <v>45955.65287037037</v>
      </c>
      <c r="D2462" s="5">
        <v>45955</v>
      </c>
      <c r="E2462" s="6">
        <f>IF(AND(C2462&lt;&gt;"",D2462&lt;&gt;""),D2462-C2462,"")</f>
        <v>0</v>
      </c>
      <c r="F2462" s="4" t="s">
        <v>3635</v>
      </c>
      <c r="G2462" s="4" t="s">
        <v>3636</v>
      </c>
      <c r="H2462" s="4" t="s">
        <v>32</v>
      </c>
      <c r="I2462" s="4" t="s">
        <v>33</v>
      </c>
      <c r="J2462" s="4">
        <v>1</v>
      </c>
      <c r="K2462" s="4">
        <v>0</v>
      </c>
      <c r="L2462" s="4">
        <f>J2462+K2462</f>
        <v>0</v>
      </c>
      <c r="M2462" s="4" t="s">
        <v>80</v>
      </c>
      <c r="N2462" s="4"/>
      <c r="O2462" s="4">
        <v>1</v>
      </c>
      <c r="P2462" s="4" t="s">
        <v>135</v>
      </c>
      <c r="Q2462" s="4"/>
      <c r="R2462" s="7">
        <v>610000</v>
      </c>
      <c r="S2462" s="7">
        <v>0</v>
      </c>
      <c r="T2462" s="7">
        <f>R2462-S2462</f>
        <v>0</v>
      </c>
      <c r="U2462" s="7">
        <f>T2462*O2462</f>
        <v>0</v>
      </c>
    </row>
    <row r="2463" spans="1:21">
      <c r="A2463" s="4" t="s">
        <v>3634</v>
      </c>
      <c r="B2463" s="4" t="s">
        <v>39</v>
      </c>
      <c r="C2463" s="5">
        <v>45955.65287037037</v>
      </c>
      <c r="D2463" s="5">
        <v>45955</v>
      </c>
      <c r="E2463" s="6">
        <f>IF(AND(C2463&lt;&gt;"",D2463&lt;&gt;""),D2463-C2463,"")</f>
        <v>0</v>
      </c>
      <c r="F2463" s="4" t="s">
        <v>3635</v>
      </c>
      <c r="G2463" s="4" t="s">
        <v>3636</v>
      </c>
      <c r="H2463" s="4" t="s">
        <v>32</v>
      </c>
      <c r="I2463" s="4" t="s">
        <v>33</v>
      </c>
      <c r="J2463" s="4">
        <v>1</v>
      </c>
      <c r="K2463" s="4">
        <v>0</v>
      </c>
      <c r="L2463" s="4">
        <f>J2463+K2463</f>
        <v>0</v>
      </c>
      <c r="M2463" s="4" t="s">
        <v>80</v>
      </c>
      <c r="N2463" s="4"/>
      <c r="O2463" s="4">
        <v>1</v>
      </c>
      <c r="P2463" s="4" t="s">
        <v>135</v>
      </c>
      <c r="Q2463" s="4"/>
      <c r="R2463" s="7">
        <v>610000</v>
      </c>
      <c r="S2463" s="7">
        <v>0</v>
      </c>
      <c r="T2463" s="7">
        <f>R2463-S2463</f>
        <v>0</v>
      </c>
      <c r="U2463" s="7">
        <f>T2463*O2463</f>
        <v>0</v>
      </c>
    </row>
    <row r="2464" spans="1:21">
      <c r="A2464" s="4" t="s">
        <v>3637</v>
      </c>
      <c r="B2464" s="4" t="s">
        <v>39</v>
      </c>
      <c r="C2464" s="5">
        <v>45955.6815162037</v>
      </c>
      <c r="D2464" s="5">
        <v>45955</v>
      </c>
      <c r="E2464" s="6">
        <f>IF(AND(C2464&lt;&gt;"",D2464&lt;&gt;""),D2464-C2464,"")</f>
        <v>0</v>
      </c>
      <c r="F2464" s="4" t="s">
        <v>3638</v>
      </c>
      <c r="G2464" s="4" t="s">
        <v>3639</v>
      </c>
      <c r="H2464" s="4" t="s">
        <v>32</v>
      </c>
      <c r="I2464" s="4" t="s">
        <v>33</v>
      </c>
      <c r="J2464" s="4">
        <v>3</v>
      </c>
      <c r="K2464" s="4">
        <v>0</v>
      </c>
      <c r="L2464" s="4">
        <f>J2464+K2464</f>
        <v>0</v>
      </c>
      <c r="M2464" s="4" t="s">
        <v>80</v>
      </c>
      <c r="N2464" s="4"/>
      <c r="O2464" s="4">
        <v>3</v>
      </c>
      <c r="P2464" s="4" t="s">
        <v>135</v>
      </c>
      <c r="Q2464" s="4"/>
      <c r="R2464" s="7">
        <v>610000</v>
      </c>
      <c r="S2464" s="7">
        <v>0</v>
      </c>
      <c r="T2464" s="7">
        <f>R2464-S2464</f>
        <v>0</v>
      </c>
      <c r="U2464" s="7">
        <f>T2464*O2464</f>
        <v>0</v>
      </c>
    </row>
    <row r="2465" spans="1:21">
      <c r="A2465" s="4" t="s">
        <v>3640</v>
      </c>
      <c r="B2465" s="4" t="s">
        <v>39</v>
      </c>
      <c r="C2465" s="5">
        <v>45955.68540509259</v>
      </c>
      <c r="D2465" s="5">
        <v>45955</v>
      </c>
      <c r="E2465" s="6">
        <f>IF(AND(C2465&lt;&gt;"",D2465&lt;&gt;""),D2465-C2465,"")</f>
        <v>0</v>
      </c>
      <c r="F2465" s="4" t="s">
        <v>3641</v>
      </c>
      <c r="G2465" s="4" t="s">
        <v>3642</v>
      </c>
      <c r="H2465" s="4" t="s">
        <v>32</v>
      </c>
      <c r="I2465" s="4" t="s">
        <v>33</v>
      </c>
      <c r="J2465" s="4">
        <v>1</v>
      </c>
      <c r="K2465" s="4">
        <v>0</v>
      </c>
      <c r="L2465" s="4">
        <f>J2465+K2465</f>
        <v>0</v>
      </c>
      <c r="M2465" s="4" t="s">
        <v>80</v>
      </c>
      <c r="N2465" s="4"/>
      <c r="O2465" s="4">
        <v>1</v>
      </c>
      <c r="P2465" s="4" t="s">
        <v>135</v>
      </c>
      <c r="Q2465" s="4"/>
      <c r="R2465" s="7">
        <v>610000</v>
      </c>
      <c r="S2465" s="7">
        <v>0</v>
      </c>
      <c r="T2465" s="7">
        <f>R2465-S2465</f>
        <v>0</v>
      </c>
      <c r="U2465" s="7">
        <f>T2465*O2465</f>
        <v>0</v>
      </c>
    </row>
    <row r="2466" spans="1:21">
      <c r="A2466" s="4" t="s">
        <v>3640</v>
      </c>
      <c r="B2466" s="4" t="s">
        <v>39</v>
      </c>
      <c r="C2466" s="5">
        <v>45955.68540509259</v>
      </c>
      <c r="D2466" s="5">
        <v>45955</v>
      </c>
      <c r="E2466" s="6">
        <f>IF(AND(C2466&lt;&gt;"",D2466&lt;&gt;""),D2466-C2466,"")</f>
        <v>0</v>
      </c>
      <c r="F2466" s="4" t="s">
        <v>3641</v>
      </c>
      <c r="G2466" s="4" t="s">
        <v>3642</v>
      </c>
      <c r="H2466" s="4" t="s">
        <v>32</v>
      </c>
      <c r="I2466" s="4" t="s">
        <v>33</v>
      </c>
      <c r="J2466" s="4">
        <v>1</v>
      </c>
      <c r="K2466" s="4">
        <v>0</v>
      </c>
      <c r="L2466" s="4">
        <f>J2466+K2466</f>
        <v>0</v>
      </c>
      <c r="M2466" s="4" t="s">
        <v>80</v>
      </c>
      <c r="N2466" s="4"/>
      <c r="O2466" s="4">
        <v>1</v>
      </c>
      <c r="P2466" s="4" t="s">
        <v>135</v>
      </c>
      <c r="Q2466" s="4"/>
      <c r="R2466" s="7">
        <v>610000</v>
      </c>
      <c r="S2466" s="7">
        <v>0</v>
      </c>
      <c r="T2466" s="7">
        <f>R2466-S2466</f>
        <v>0</v>
      </c>
      <c r="U2466" s="7">
        <f>T2466*O2466</f>
        <v>0</v>
      </c>
    </row>
    <row r="2467" spans="1:21">
      <c r="A2467" s="4" t="s">
        <v>3640</v>
      </c>
      <c r="B2467" s="4" t="s">
        <v>39</v>
      </c>
      <c r="C2467" s="5">
        <v>45955.68540509259</v>
      </c>
      <c r="D2467" s="5">
        <v>45955</v>
      </c>
      <c r="E2467" s="6">
        <f>IF(AND(C2467&lt;&gt;"",D2467&lt;&gt;""),D2467-C2467,"")</f>
        <v>0</v>
      </c>
      <c r="F2467" s="4" t="s">
        <v>3641</v>
      </c>
      <c r="G2467" s="4" t="s">
        <v>3642</v>
      </c>
      <c r="H2467" s="4" t="s">
        <v>32</v>
      </c>
      <c r="I2467" s="4" t="s">
        <v>33</v>
      </c>
      <c r="J2467" s="4">
        <v>1</v>
      </c>
      <c r="K2467" s="4">
        <v>0</v>
      </c>
      <c r="L2467" s="4">
        <f>J2467+K2467</f>
        <v>0</v>
      </c>
      <c r="M2467" s="4" t="s">
        <v>80</v>
      </c>
      <c r="N2467" s="4"/>
      <c r="O2467" s="4">
        <v>1</v>
      </c>
      <c r="P2467" s="4" t="s">
        <v>135</v>
      </c>
      <c r="Q2467" s="4"/>
      <c r="R2467" s="7">
        <v>610000</v>
      </c>
      <c r="S2467" s="7">
        <v>0</v>
      </c>
      <c r="T2467" s="7">
        <f>R2467-S2467</f>
        <v>0</v>
      </c>
      <c r="U2467" s="7">
        <f>T2467*O2467</f>
        <v>0</v>
      </c>
    </row>
    <row r="2468" spans="1:21">
      <c r="A2468" s="4" t="s">
        <v>3643</v>
      </c>
      <c r="B2468" s="4" t="s">
        <v>39</v>
      </c>
      <c r="C2468" s="5">
        <v>45955.68978009259</v>
      </c>
      <c r="D2468" s="5">
        <v>45955</v>
      </c>
      <c r="E2468" s="6">
        <f>IF(AND(C2468&lt;&gt;"",D2468&lt;&gt;""),D2468-C2468,"")</f>
        <v>0</v>
      </c>
      <c r="F2468" s="4" t="s">
        <v>3644</v>
      </c>
      <c r="G2468" s="4" t="s">
        <v>3645</v>
      </c>
      <c r="H2468" s="4" t="s">
        <v>32</v>
      </c>
      <c r="I2468" s="4" t="s">
        <v>33</v>
      </c>
      <c r="J2468" s="4">
        <v>3</v>
      </c>
      <c r="K2468" s="4">
        <v>0</v>
      </c>
      <c r="L2468" s="4">
        <f>J2468+K2468</f>
        <v>0</v>
      </c>
      <c r="M2468" s="4" t="s">
        <v>80</v>
      </c>
      <c r="N2468" s="4"/>
      <c r="O2468" s="4">
        <v>3</v>
      </c>
      <c r="P2468" s="4" t="s">
        <v>135</v>
      </c>
      <c r="Q2468" s="4"/>
      <c r="R2468" s="7">
        <v>610000</v>
      </c>
      <c r="S2468" s="7">
        <v>0</v>
      </c>
      <c r="T2468" s="7">
        <f>R2468-S2468</f>
        <v>0</v>
      </c>
      <c r="U2468" s="7">
        <f>T2468*O2468</f>
        <v>0</v>
      </c>
    </row>
    <row r="2469" spans="1:21">
      <c r="A2469" s="4" t="s">
        <v>3643</v>
      </c>
      <c r="B2469" s="4" t="s">
        <v>39</v>
      </c>
      <c r="C2469" s="5">
        <v>45955.68978009259</v>
      </c>
      <c r="D2469" s="5">
        <v>45955</v>
      </c>
      <c r="E2469" s="6">
        <f>IF(AND(C2469&lt;&gt;"",D2469&lt;&gt;""),D2469-C2469,"")</f>
        <v>0</v>
      </c>
      <c r="F2469" s="4" t="s">
        <v>3644</v>
      </c>
      <c r="G2469" s="4" t="s">
        <v>3645</v>
      </c>
      <c r="H2469" s="4" t="s">
        <v>32</v>
      </c>
      <c r="I2469" s="4" t="s">
        <v>33</v>
      </c>
      <c r="J2469" s="4">
        <v>3</v>
      </c>
      <c r="K2469" s="4">
        <v>0</v>
      </c>
      <c r="L2469" s="4">
        <f>J2469+K2469</f>
        <v>0</v>
      </c>
      <c r="M2469" s="4" t="s">
        <v>42</v>
      </c>
      <c r="N2469" s="4"/>
      <c r="O2469" s="4">
        <v>3</v>
      </c>
      <c r="P2469" s="4" t="s">
        <v>135</v>
      </c>
      <c r="Q2469" s="4"/>
      <c r="R2469" s="7">
        <v>370000</v>
      </c>
      <c r="S2469" s="7">
        <v>0</v>
      </c>
      <c r="T2469" s="7">
        <f>R2469-S2469</f>
        <v>0</v>
      </c>
      <c r="U2469" s="7">
        <f>T2469*O2469</f>
        <v>0</v>
      </c>
    </row>
    <row r="2470" spans="1:21">
      <c r="A2470" s="4" t="s">
        <v>3646</v>
      </c>
      <c r="B2470" s="4" t="s">
        <v>39</v>
      </c>
      <c r="C2470" s="5">
        <v>45955.69834490741</v>
      </c>
      <c r="D2470" s="5">
        <v>45955</v>
      </c>
      <c r="E2470" s="6">
        <f>IF(AND(C2470&lt;&gt;"",D2470&lt;&gt;""),D2470-C2470,"")</f>
        <v>0</v>
      </c>
      <c r="F2470" s="4" t="s">
        <v>3647</v>
      </c>
      <c r="G2470" s="4" t="s">
        <v>3648</v>
      </c>
      <c r="H2470" s="4" t="s">
        <v>32</v>
      </c>
      <c r="I2470" s="4" t="s">
        <v>33</v>
      </c>
      <c r="J2470" s="4">
        <v>1</v>
      </c>
      <c r="K2470" s="4">
        <v>0</v>
      </c>
      <c r="L2470" s="4">
        <f>J2470+K2470</f>
        <v>0</v>
      </c>
      <c r="M2470" s="4" t="s">
        <v>80</v>
      </c>
      <c r="N2470" s="4"/>
      <c r="O2470" s="4">
        <v>1</v>
      </c>
      <c r="P2470" s="4" t="s">
        <v>135</v>
      </c>
      <c r="Q2470" s="4"/>
      <c r="R2470" s="7">
        <v>610000</v>
      </c>
      <c r="S2470" s="7">
        <v>0</v>
      </c>
      <c r="T2470" s="7">
        <f>R2470-S2470</f>
        <v>0</v>
      </c>
      <c r="U2470" s="7">
        <f>T2470*O2470</f>
        <v>0</v>
      </c>
    </row>
    <row r="2471" spans="1:21">
      <c r="A2471" s="4" t="s">
        <v>3646</v>
      </c>
      <c r="B2471" s="4" t="s">
        <v>39</v>
      </c>
      <c r="C2471" s="5">
        <v>45955.69834490741</v>
      </c>
      <c r="D2471" s="5">
        <v>45955</v>
      </c>
      <c r="E2471" s="6">
        <f>IF(AND(C2471&lt;&gt;"",D2471&lt;&gt;""),D2471-C2471,"")</f>
        <v>0</v>
      </c>
      <c r="F2471" s="4" t="s">
        <v>3647</v>
      </c>
      <c r="G2471" s="4" t="s">
        <v>3648</v>
      </c>
      <c r="H2471" s="4" t="s">
        <v>32</v>
      </c>
      <c r="I2471" s="4" t="s">
        <v>33</v>
      </c>
      <c r="J2471" s="4">
        <v>1</v>
      </c>
      <c r="K2471" s="4">
        <v>0</v>
      </c>
      <c r="L2471" s="4">
        <f>J2471+K2471</f>
        <v>0</v>
      </c>
      <c r="M2471" s="4" t="s">
        <v>80</v>
      </c>
      <c r="N2471" s="4"/>
      <c r="O2471" s="4">
        <v>1</v>
      </c>
      <c r="P2471" s="4" t="s">
        <v>135</v>
      </c>
      <c r="Q2471" s="4"/>
      <c r="R2471" s="7">
        <v>610000</v>
      </c>
      <c r="S2471" s="7">
        <v>0</v>
      </c>
      <c r="T2471" s="7">
        <f>R2471-S2471</f>
        <v>0</v>
      </c>
      <c r="U2471" s="7">
        <f>T2471*O2471</f>
        <v>0</v>
      </c>
    </row>
    <row r="2472" spans="1:21">
      <c r="A2472" s="4" t="s">
        <v>3646</v>
      </c>
      <c r="B2472" s="4" t="s">
        <v>39</v>
      </c>
      <c r="C2472" s="5">
        <v>45955.69834490741</v>
      </c>
      <c r="D2472" s="5">
        <v>45955</v>
      </c>
      <c r="E2472" s="6">
        <f>IF(AND(C2472&lt;&gt;"",D2472&lt;&gt;""),D2472-C2472,"")</f>
        <v>0</v>
      </c>
      <c r="F2472" s="4" t="s">
        <v>3647</v>
      </c>
      <c r="G2472" s="4" t="s">
        <v>3648</v>
      </c>
      <c r="H2472" s="4" t="s">
        <v>32</v>
      </c>
      <c r="I2472" s="4" t="s">
        <v>33</v>
      </c>
      <c r="J2472" s="4">
        <v>1</v>
      </c>
      <c r="K2472" s="4">
        <v>0</v>
      </c>
      <c r="L2472" s="4">
        <f>J2472+K2472</f>
        <v>0</v>
      </c>
      <c r="M2472" s="4" t="s">
        <v>42</v>
      </c>
      <c r="N2472" s="4"/>
      <c r="O2472" s="4">
        <v>1</v>
      </c>
      <c r="P2472" s="4" t="s">
        <v>135</v>
      </c>
      <c r="Q2472" s="4"/>
      <c r="R2472" s="7">
        <v>370000</v>
      </c>
      <c r="S2472" s="7">
        <v>0</v>
      </c>
      <c r="T2472" s="7">
        <f>R2472-S2472</f>
        <v>0</v>
      </c>
      <c r="U2472" s="7">
        <f>T2472*O2472</f>
        <v>0</v>
      </c>
    </row>
    <row r="2473" spans="1:21">
      <c r="A2473" s="4" t="s">
        <v>3646</v>
      </c>
      <c r="B2473" s="4" t="s">
        <v>39</v>
      </c>
      <c r="C2473" s="5">
        <v>45955.69834490741</v>
      </c>
      <c r="D2473" s="5">
        <v>45955</v>
      </c>
      <c r="E2473" s="6">
        <f>IF(AND(C2473&lt;&gt;"",D2473&lt;&gt;""),D2473-C2473,"")</f>
        <v>0</v>
      </c>
      <c r="F2473" s="4" t="s">
        <v>3647</v>
      </c>
      <c r="G2473" s="4" t="s">
        <v>3648</v>
      </c>
      <c r="H2473" s="4" t="s">
        <v>32</v>
      </c>
      <c r="I2473" s="4" t="s">
        <v>33</v>
      </c>
      <c r="J2473" s="4">
        <v>1</v>
      </c>
      <c r="K2473" s="4">
        <v>0</v>
      </c>
      <c r="L2473" s="4">
        <f>J2473+K2473</f>
        <v>0</v>
      </c>
      <c r="M2473" s="4" t="s">
        <v>42</v>
      </c>
      <c r="N2473" s="4"/>
      <c r="O2473" s="4">
        <v>1</v>
      </c>
      <c r="P2473" s="4" t="s">
        <v>135</v>
      </c>
      <c r="Q2473" s="4"/>
      <c r="R2473" s="7">
        <v>370000</v>
      </c>
      <c r="S2473" s="7">
        <v>0</v>
      </c>
      <c r="T2473" s="7">
        <f>R2473-S2473</f>
        <v>0</v>
      </c>
      <c r="U2473" s="7">
        <f>T2473*O2473</f>
        <v>0</v>
      </c>
    </row>
    <row r="2474" spans="1:21">
      <c r="A2474" s="4" t="s">
        <v>3649</v>
      </c>
      <c r="B2474" s="4" t="s">
        <v>39</v>
      </c>
      <c r="C2474" s="5">
        <v>45955.70622685185</v>
      </c>
      <c r="D2474" s="5">
        <v>45955</v>
      </c>
      <c r="E2474" s="6">
        <f>IF(AND(C2474&lt;&gt;"",D2474&lt;&gt;""),D2474-C2474,"")</f>
        <v>0</v>
      </c>
      <c r="F2474" s="4" t="s">
        <v>3650</v>
      </c>
      <c r="G2474" s="4" t="s">
        <v>3651</v>
      </c>
      <c r="H2474" s="4" t="s">
        <v>32</v>
      </c>
      <c r="I2474" s="4" t="s">
        <v>33</v>
      </c>
      <c r="J2474" s="4">
        <v>1</v>
      </c>
      <c r="K2474" s="4">
        <v>0</v>
      </c>
      <c r="L2474" s="4">
        <f>J2474+K2474</f>
        <v>0</v>
      </c>
      <c r="M2474" s="4" t="s">
        <v>80</v>
      </c>
      <c r="N2474" s="4"/>
      <c r="O2474" s="4">
        <v>1</v>
      </c>
      <c r="P2474" s="4" t="s">
        <v>135</v>
      </c>
      <c r="Q2474" s="4"/>
      <c r="R2474" s="7">
        <v>610000</v>
      </c>
      <c r="S2474" s="7">
        <v>0</v>
      </c>
      <c r="T2474" s="7">
        <f>R2474-S2474</f>
        <v>0</v>
      </c>
      <c r="U2474" s="7">
        <f>T2474*O2474</f>
        <v>0</v>
      </c>
    </row>
    <row r="2475" spans="1:21">
      <c r="A2475" s="4" t="s">
        <v>3649</v>
      </c>
      <c r="B2475" s="4" t="s">
        <v>39</v>
      </c>
      <c r="C2475" s="5">
        <v>45955.70622685185</v>
      </c>
      <c r="D2475" s="5">
        <v>45955</v>
      </c>
      <c r="E2475" s="6">
        <f>IF(AND(C2475&lt;&gt;"",D2475&lt;&gt;""),D2475-C2475,"")</f>
        <v>0</v>
      </c>
      <c r="F2475" s="4" t="s">
        <v>3650</v>
      </c>
      <c r="G2475" s="4" t="s">
        <v>3651</v>
      </c>
      <c r="H2475" s="4" t="s">
        <v>32</v>
      </c>
      <c r="I2475" s="4" t="s">
        <v>33</v>
      </c>
      <c r="J2475" s="4">
        <v>1</v>
      </c>
      <c r="K2475" s="4">
        <v>0</v>
      </c>
      <c r="L2475" s="4">
        <f>J2475+K2475</f>
        <v>0</v>
      </c>
      <c r="M2475" s="4" t="s">
        <v>80</v>
      </c>
      <c r="N2475" s="4"/>
      <c r="O2475" s="4">
        <v>1</v>
      </c>
      <c r="P2475" s="4" t="s">
        <v>135</v>
      </c>
      <c r="Q2475" s="4"/>
      <c r="R2475" s="7">
        <v>610000</v>
      </c>
      <c r="S2475" s="7">
        <v>0</v>
      </c>
      <c r="T2475" s="7">
        <f>R2475-S2475</f>
        <v>0</v>
      </c>
      <c r="U2475" s="7">
        <f>T2475*O2475</f>
        <v>0</v>
      </c>
    </row>
    <row r="2476" spans="1:21">
      <c r="A2476" s="4" t="s">
        <v>3649</v>
      </c>
      <c r="B2476" s="4" t="s">
        <v>39</v>
      </c>
      <c r="C2476" s="5">
        <v>45955.70622685185</v>
      </c>
      <c r="D2476" s="5">
        <v>45955</v>
      </c>
      <c r="E2476" s="6">
        <f>IF(AND(C2476&lt;&gt;"",D2476&lt;&gt;""),D2476-C2476,"")</f>
        <v>0</v>
      </c>
      <c r="F2476" s="4" t="s">
        <v>3650</v>
      </c>
      <c r="G2476" s="4" t="s">
        <v>3651</v>
      </c>
      <c r="H2476" s="4" t="s">
        <v>32</v>
      </c>
      <c r="I2476" s="4" t="s">
        <v>33</v>
      </c>
      <c r="J2476" s="4">
        <v>1</v>
      </c>
      <c r="K2476" s="4">
        <v>0</v>
      </c>
      <c r="L2476" s="4">
        <f>J2476+K2476</f>
        <v>0</v>
      </c>
      <c r="M2476" s="4" t="s">
        <v>42</v>
      </c>
      <c r="N2476" s="4"/>
      <c r="O2476" s="4">
        <v>1</v>
      </c>
      <c r="P2476" s="4" t="s">
        <v>135</v>
      </c>
      <c r="Q2476" s="4"/>
      <c r="R2476" s="7">
        <v>370000</v>
      </c>
      <c r="S2476" s="7">
        <v>0</v>
      </c>
      <c r="T2476" s="7">
        <f>R2476-S2476</f>
        <v>0</v>
      </c>
      <c r="U2476" s="7">
        <f>T2476*O2476</f>
        <v>0</v>
      </c>
    </row>
    <row r="2477" spans="1:21">
      <c r="A2477" s="4" t="s">
        <v>3649</v>
      </c>
      <c r="B2477" s="4" t="s">
        <v>39</v>
      </c>
      <c r="C2477" s="5">
        <v>45955.70622685185</v>
      </c>
      <c r="D2477" s="5">
        <v>45955</v>
      </c>
      <c r="E2477" s="6">
        <f>IF(AND(C2477&lt;&gt;"",D2477&lt;&gt;""),D2477-C2477,"")</f>
        <v>0</v>
      </c>
      <c r="F2477" s="4" t="s">
        <v>3650</v>
      </c>
      <c r="G2477" s="4" t="s">
        <v>3651</v>
      </c>
      <c r="H2477" s="4" t="s">
        <v>32</v>
      </c>
      <c r="I2477" s="4" t="s">
        <v>33</v>
      </c>
      <c r="J2477" s="4">
        <v>1</v>
      </c>
      <c r="K2477" s="4">
        <v>0</v>
      </c>
      <c r="L2477" s="4">
        <f>J2477+K2477</f>
        <v>0</v>
      </c>
      <c r="M2477" s="4" t="s">
        <v>42</v>
      </c>
      <c r="N2477" s="4"/>
      <c r="O2477" s="4">
        <v>1</v>
      </c>
      <c r="P2477" s="4" t="s">
        <v>135</v>
      </c>
      <c r="Q2477" s="4"/>
      <c r="R2477" s="7">
        <v>370000</v>
      </c>
      <c r="S2477" s="7">
        <v>0</v>
      </c>
      <c r="T2477" s="7">
        <f>R2477-S2477</f>
        <v>0</v>
      </c>
      <c r="U2477" s="7">
        <f>T2477*O2477</f>
        <v>0</v>
      </c>
    </row>
    <row r="2478" spans="1:21">
      <c r="A2478" s="4" t="s">
        <v>3652</v>
      </c>
      <c r="B2478" s="4" t="s">
        <v>39</v>
      </c>
      <c r="C2478" s="5">
        <v>45955.71799768518</v>
      </c>
      <c r="D2478" s="5">
        <v>45955</v>
      </c>
      <c r="E2478" s="6">
        <f>IF(AND(C2478&lt;&gt;"",D2478&lt;&gt;""),D2478-C2478,"")</f>
        <v>0</v>
      </c>
      <c r="F2478" s="4" t="s">
        <v>3653</v>
      </c>
      <c r="G2478" s="4" t="s">
        <v>3654</v>
      </c>
      <c r="H2478" s="4" t="s">
        <v>32</v>
      </c>
      <c r="I2478" s="4" t="s">
        <v>33</v>
      </c>
      <c r="J2478" s="4">
        <v>1</v>
      </c>
      <c r="K2478" s="4">
        <v>0</v>
      </c>
      <c r="L2478" s="4">
        <f>J2478+K2478</f>
        <v>0</v>
      </c>
      <c r="M2478" s="4" t="s">
        <v>80</v>
      </c>
      <c r="N2478" s="4"/>
      <c r="O2478" s="4">
        <v>1</v>
      </c>
      <c r="P2478" s="4" t="s">
        <v>135</v>
      </c>
      <c r="Q2478" s="4"/>
      <c r="R2478" s="7">
        <v>610000</v>
      </c>
      <c r="S2478" s="7">
        <v>0</v>
      </c>
      <c r="T2478" s="7">
        <f>R2478-S2478</f>
        <v>0</v>
      </c>
      <c r="U2478" s="7">
        <f>T2478*O2478</f>
        <v>0</v>
      </c>
    </row>
    <row r="2479" spans="1:21">
      <c r="A2479" s="4" t="s">
        <v>3655</v>
      </c>
      <c r="B2479" s="4" t="s">
        <v>39</v>
      </c>
      <c r="C2479" s="5">
        <v>45956.12885416667</v>
      </c>
      <c r="D2479" s="5">
        <v>45956</v>
      </c>
      <c r="E2479" s="6">
        <f>IF(AND(C2479&lt;&gt;"",D2479&lt;&gt;""),D2479-C2479,"")</f>
        <v>0</v>
      </c>
      <c r="F2479" s="4" t="s">
        <v>3656</v>
      </c>
      <c r="G2479" s="4" t="s">
        <v>3657</v>
      </c>
      <c r="H2479" s="4" t="s">
        <v>32</v>
      </c>
      <c r="I2479" s="4" t="s">
        <v>33</v>
      </c>
      <c r="J2479" s="4">
        <v>0</v>
      </c>
      <c r="K2479" s="4">
        <v>0</v>
      </c>
      <c r="L2479" s="4">
        <f>J2479+K2479</f>
        <v>0</v>
      </c>
      <c r="M2479" s="4" t="s">
        <v>370</v>
      </c>
      <c r="N2479" s="4"/>
      <c r="O2479" s="4">
        <v>1</v>
      </c>
      <c r="P2479" s="4" t="s">
        <v>135</v>
      </c>
      <c r="Q2479" s="4" t="s">
        <v>44</v>
      </c>
      <c r="R2479" s="7">
        <v>500000</v>
      </c>
      <c r="S2479" s="7">
        <v>0</v>
      </c>
      <c r="T2479" s="7">
        <f>R2479-S2479</f>
        <v>0</v>
      </c>
      <c r="U2479" s="7">
        <f>T2479*O2479</f>
        <v>0</v>
      </c>
    </row>
    <row r="2480" spans="1:21">
      <c r="A2480" s="4" t="s">
        <v>3658</v>
      </c>
      <c r="B2480" s="4" t="s">
        <v>39</v>
      </c>
      <c r="C2480" s="5">
        <v>45956.16107638889</v>
      </c>
      <c r="D2480" s="5">
        <v>45956</v>
      </c>
      <c r="E2480" s="6">
        <f>IF(AND(C2480&lt;&gt;"",D2480&lt;&gt;""),D2480-C2480,"")</f>
        <v>0</v>
      </c>
      <c r="F2480" s="4" t="s">
        <v>3659</v>
      </c>
      <c r="G2480" s="4" t="s">
        <v>3660</v>
      </c>
      <c r="H2480" s="4" t="s">
        <v>32</v>
      </c>
      <c r="I2480" s="4" t="s">
        <v>33</v>
      </c>
      <c r="J2480" s="4">
        <v>1</v>
      </c>
      <c r="K2480" s="4">
        <v>0</v>
      </c>
      <c r="L2480" s="4">
        <f>J2480+K2480</f>
        <v>0</v>
      </c>
      <c r="M2480" s="4" t="s">
        <v>80</v>
      </c>
      <c r="N2480" s="4"/>
      <c r="O2480" s="4">
        <v>1</v>
      </c>
      <c r="P2480" s="4" t="s">
        <v>135</v>
      </c>
      <c r="Q2480" s="4"/>
      <c r="R2480" s="7">
        <v>610000</v>
      </c>
      <c r="S2480" s="7">
        <v>0</v>
      </c>
      <c r="T2480" s="7">
        <f>R2480-S2480</f>
        <v>0</v>
      </c>
      <c r="U2480" s="7">
        <f>T2480*O2480</f>
        <v>0</v>
      </c>
    </row>
    <row r="2481" spans="1:21">
      <c r="A2481" s="4" t="s">
        <v>3661</v>
      </c>
      <c r="B2481" s="4" t="s">
        <v>103</v>
      </c>
      <c r="C2481" s="5">
        <v>45956.23103009259</v>
      </c>
      <c r="D2481" s="5">
        <v>45961</v>
      </c>
      <c r="E2481" s="6">
        <f>IF(AND(C2481&lt;&gt;"",D2481&lt;&gt;""),D2481-C2481,"")</f>
        <v>0</v>
      </c>
      <c r="F2481" s="4" t="s">
        <v>3662</v>
      </c>
      <c r="G2481" s="4"/>
      <c r="H2481" s="4"/>
      <c r="I2481" s="4" t="s">
        <v>56</v>
      </c>
      <c r="J2481" s="4">
        <v>2</v>
      </c>
      <c r="K2481" s="4">
        <v>1</v>
      </c>
      <c r="L2481" s="4">
        <f>J2481+K2481</f>
        <v>0</v>
      </c>
      <c r="M2481" s="4"/>
      <c r="N2481" s="4"/>
      <c r="O2481" s="4">
        <v>0</v>
      </c>
      <c r="P2481" s="4"/>
      <c r="Q2481" s="4"/>
      <c r="R2481" s="7">
        <v>0</v>
      </c>
      <c r="S2481" s="7">
        <v>0</v>
      </c>
      <c r="T2481" s="7">
        <f>R2481-S2481</f>
        <v>0</v>
      </c>
      <c r="U2481" s="7">
        <f>T2481*O2481</f>
        <v>0</v>
      </c>
    </row>
    <row r="2482" spans="1:21">
      <c r="A2482" s="4" t="s">
        <v>3663</v>
      </c>
      <c r="B2482" s="4" t="s">
        <v>103</v>
      </c>
      <c r="C2482" s="5">
        <v>45956.23510416667</v>
      </c>
      <c r="D2482" s="5">
        <v>45961</v>
      </c>
      <c r="E2482" s="6">
        <f>IF(AND(C2482&lt;&gt;"",D2482&lt;&gt;""),D2482-C2482,"")</f>
        <v>0</v>
      </c>
      <c r="F2482" s="4" t="s">
        <v>3664</v>
      </c>
      <c r="G2482" s="4"/>
      <c r="H2482" s="4"/>
      <c r="I2482" s="4" t="s">
        <v>56</v>
      </c>
      <c r="J2482" s="4">
        <v>6</v>
      </c>
      <c r="K2482" s="4">
        <v>4</v>
      </c>
      <c r="L2482" s="4">
        <f>J2482+K2482</f>
        <v>0</v>
      </c>
      <c r="M2482" s="4"/>
      <c r="N2482" s="4"/>
      <c r="O2482" s="4">
        <v>0</v>
      </c>
      <c r="P2482" s="4"/>
      <c r="Q2482" s="4"/>
      <c r="R2482" s="7">
        <v>0</v>
      </c>
      <c r="S2482" s="7">
        <v>0</v>
      </c>
      <c r="T2482" s="7">
        <f>R2482-S2482</f>
        <v>0</v>
      </c>
      <c r="U2482" s="7">
        <f>T2482*O2482</f>
        <v>0</v>
      </c>
    </row>
    <row r="2483" spans="1:21">
      <c r="A2483" s="4" t="s">
        <v>3665</v>
      </c>
      <c r="B2483" s="4" t="s">
        <v>103</v>
      </c>
      <c r="C2483" s="5">
        <v>45956.23851851852</v>
      </c>
      <c r="D2483" s="5">
        <v>45961</v>
      </c>
      <c r="E2483" s="6">
        <f>IF(AND(C2483&lt;&gt;"",D2483&lt;&gt;""),D2483-C2483,"")</f>
        <v>0</v>
      </c>
      <c r="F2483" s="4" t="s">
        <v>3666</v>
      </c>
      <c r="G2483" s="4"/>
      <c r="H2483" s="4"/>
      <c r="I2483" s="4" t="s">
        <v>56</v>
      </c>
      <c r="J2483" s="4">
        <v>13</v>
      </c>
      <c r="K2483" s="4">
        <v>7</v>
      </c>
      <c r="L2483" s="4">
        <f>J2483+K2483</f>
        <v>0</v>
      </c>
      <c r="M2483" s="4"/>
      <c r="N2483" s="4"/>
      <c r="O2483" s="4">
        <v>0</v>
      </c>
      <c r="P2483" s="4"/>
      <c r="Q2483" s="4"/>
      <c r="R2483" s="7">
        <v>0</v>
      </c>
      <c r="S2483" s="7">
        <v>0</v>
      </c>
      <c r="T2483" s="7">
        <f>R2483-S2483</f>
        <v>0</v>
      </c>
      <c r="U2483" s="7">
        <f>T2483*O2483</f>
        <v>0</v>
      </c>
    </row>
    <row r="2484" spans="1:21">
      <c r="A2484" s="4" t="s">
        <v>3667</v>
      </c>
      <c r="B2484" s="4" t="s">
        <v>103</v>
      </c>
      <c r="C2484" s="5">
        <v>45956.24467592593</v>
      </c>
      <c r="D2484" s="5">
        <v>45961</v>
      </c>
      <c r="E2484" s="6">
        <f>IF(AND(C2484&lt;&gt;"",D2484&lt;&gt;""),D2484-C2484,"")</f>
        <v>0</v>
      </c>
      <c r="F2484" s="4" t="s">
        <v>3668</v>
      </c>
      <c r="G2484" s="4" t="s">
        <v>3669</v>
      </c>
      <c r="H2484" s="4" t="s">
        <v>2310</v>
      </c>
      <c r="I2484" s="4" t="s">
        <v>56</v>
      </c>
      <c r="J2484" s="4">
        <v>2</v>
      </c>
      <c r="K2484" s="4">
        <v>3</v>
      </c>
      <c r="L2484" s="4">
        <f>J2484+K2484</f>
        <v>0</v>
      </c>
      <c r="M2484" s="4"/>
      <c r="N2484" s="4"/>
      <c r="O2484" s="4">
        <v>0</v>
      </c>
      <c r="P2484" s="4"/>
      <c r="Q2484" s="4"/>
      <c r="R2484" s="7">
        <v>0</v>
      </c>
      <c r="S2484" s="7">
        <v>0</v>
      </c>
      <c r="T2484" s="7">
        <f>R2484-S2484</f>
        <v>0</v>
      </c>
      <c r="U2484" s="7">
        <f>T2484*O2484</f>
        <v>0</v>
      </c>
    </row>
    <row r="2485" spans="1:21">
      <c r="A2485" s="4" t="s">
        <v>3670</v>
      </c>
      <c r="B2485" s="4" t="s">
        <v>103</v>
      </c>
      <c r="C2485" s="5">
        <v>45956.24577546296</v>
      </c>
      <c r="D2485" s="5">
        <v>45961</v>
      </c>
      <c r="E2485" s="6">
        <f>IF(AND(C2485&lt;&gt;"",D2485&lt;&gt;""),D2485-C2485,"")</f>
        <v>0</v>
      </c>
      <c r="F2485" s="4" t="s">
        <v>3671</v>
      </c>
      <c r="G2485" s="4" t="s">
        <v>3672</v>
      </c>
      <c r="H2485" s="4" t="s">
        <v>32</v>
      </c>
      <c r="I2485" s="4" t="s">
        <v>33</v>
      </c>
      <c r="J2485" s="4">
        <v>2</v>
      </c>
      <c r="K2485" s="4">
        <v>1</v>
      </c>
      <c r="L2485" s="4">
        <f>J2485+K2485</f>
        <v>0</v>
      </c>
      <c r="M2485" s="4"/>
      <c r="N2485" s="4"/>
      <c r="O2485" s="4">
        <v>0</v>
      </c>
      <c r="P2485" s="4"/>
      <c r="Q2485" s="4"/>
      <c r="R2485" s="7">
        <v>0</v>
      </c>
      <c r="S2485" s="7">
        <v>0</v>
      </c>
      <c r="T2485" s="7">
        <f>R2485-S2485</f>
        <v>0</v>
      </c>
      <c r="U2485" s="7">
        <f>T2485*O2485</f>
        <v>0</v>
      </c>
    </row>
    <row r="2486" spans="1:21">
      <c r="A2486" s="4" t="s">
        <v>3673</v>
      </c>
      <c r="B2486" s="4" t="s">
        <v>103</v>
      </c>
      <c r="C2486" s="5">
        <v>45956.24898148148</v>
      </c>
      <c r="D2486" s="5">
        <v>45961</v>
      </c>
      <c r="E2486" s="6">
        <f>IF(AND(C2486&lt;&gt;"",D2486&lt;&gt;""),D2486-C2486,"")</f>
        <v>0</v>
      </c>
      <c r="F2486" s="4" t="s">
        <v>3674</v>
      </c>
      <c r="G2486" s="4" t="s">
        <v>3675</v>
      </c>
      <c r="H2486" s="4" t="s">
        <v>2848</v>
      </c>
      <c r="I2486" s="4" t="s">
        <v>56</v>
      </c>
      <c r="J2486" s="4">
        <v>3</v>
      </c>
      <c r="K2486" s="4">
        <v>2</v>
      </c>
      <c r="L2486" s="4">
        <f>J2486+K2486</f>
        <v>0</v>
      </c>
      <c r="M2486" s="4"/>
      <c r="N2486" s="4"/>
      <c r="O2486" s="4">
        <v>0</v>
      </c>
      <c r="P2486" s="4"/>
      <c r="Q2486" s="4"/>
      <c r="R2486" s="7">
        <v>0</v>
      </c>
      <c r="S2486" s="7">
        <v>0</v>
      </c>
      <c r="T2486" s="7">
        <f>R2486-S2486</f>
        <v>0</v>
      </c>
      <c r="U2486" s="7">
        <f>T2486*O2486</f>
        <v>0</v>
      </c>
    </row>
    <row r="2487" spans="1:21">
      <c r="A2487" s="4" t="s">
        <v>3676</v>
      </c>
      <c r="B2487" s="4" t="s">
        <v>39</v>
      </c>
      <c r="C2487" s="5">
        <v>45956.25135416666</v>
      </c>
      <c r="D2487" s="5">
        <v>45956</v>
      </c>
      <c r="E2487" s="6">
        <f>IF(AND(C2487&lt;&gt;"",D2487&lt;&gt;""),D2487-C2487,"")</f>
        <v>0</v>
      </c>
      <c r="F2487" s="4" t="s">
        <v>3677</v>
      </c>
      <c r="G2487" s="4" t="s">
        <v>3678</v>
      </c>
      <c r="H2487" s="4" t="s">
        <v>3679</v>
      </c>
      <c r="I2487" s="4" t="s">
        <v>56</v>
      </c>
      <c r="J2487" s="4">
        <v>0</v>
      </c>
      <c r="K2487" s="4">
        <v>0</v>
      </c>
      <c r="L2487" s="4">
        <f>J2487+K2487</f>
        <v>0</v>
      </c>
      <c r="M2487" s="4" t="s">
        <v>370</v>
      </c>
      <c r="N2487" s="4"/>
      <c r="O2487" s="4">
        <v>1</v>
      </c>
      <c r="P2487" s="4" t="s">
        <v>43</v>
      </c>
      <c r="Q2487" s="4" t="s">
        <v>44</v>
      </c>
      <c r="R2487" s="7">
        <v>0</v>
      </c>
      <c r="S2487" s="7">
        <v>0</v>
      </c>
      <c r="T2487" s="7">
        <f>R2487-S2487</f>
        <v>0</v>
      </c>
      <c r="U2487" s="7">
        <f>T2487*O2487</f>
        <v>0</v>
      </c>
    </row>
    <row r="2488" spans="1:21">
      <c r="A2488" s="4" t="s">
        <v>3676</v>
      </c>
      <c r="B2488" s="4" t="s">
        <v>39</v>
      </c>
      <c r="C2488" s="5">
        <v>45956.25135416666</v>
      </c>
      <c r="D2488" s="5">
        <v>45956</v>
      </c>
      <c r="E2488" s="6">
        <f>IF(AND(C2488&lt;&gt;"",D2488&lt;&gt;""),D2488-C2488,"")</f>
        <v>0</v>
      </c>
      <c r="F2488" s="4" t="s">
        <v>3677</v>
      </c>
      <c r="G2488" s="4" t="s">
        <v>3678</v>
      </c>
      <c r="H2488" s="4" t="s">
        <v>3679</v>
      </c>
      <c r="I2488" s="4" t="s">
        <v>56</v>
      </c>
      <c r="J2488" s="4">
        <v>0</v>
      </c>
      <c r="K2488" s="4">
        <v>0</v>
      </c>
      <c r="L2488" s="4">
        <f>J2488+K2488</f>
        <v>0</v>
      </c>
      <c r="M2488" s="4" t="s">
        <v>370</v>
      </c>
      <c r="N2488" s="4"/>
      <c r="O2488" s="4">
        <v>1</v>
      </c>
      <c r="P2488" s="4" t="s">
        <v>43</v>
      </c>
      <c r="Q2488" s="4" t="s">
        <v>44</v>
      </c>
      <c r="R2488" s="7">
        <v>0</v>
      </c>
      <c r="S2488" s="7">
        <v>0</v>
      </c>
      <c r="T2488" s="7">
        <f>R2488-S2488</f>
        <v>0</v>
      </c>
      <c r="U2488" s="7">
        <f>T2488*O2488</f>
        <v>0</v>
      </c>
    </row>
    <row r="2489" spans="1:21">
      <c r="A2489" s="4" t="s">
        <v>3676</v>
      </c>
      <c r="B2489" s="4" t="s">
        <v>39</v>
      </c>
      <c r="C2489" s="5">
        <v>45956.25135416666</v>
      </c>
      <c r="D2489" s="5">
        <v>45956</v>
      </c>
      <c r="E2489" s="6">
        <f>IF(AND(C2489&lt;&gt;"",D2489&lt;&gt;""),D2489-C2489,"")</f>
        <v>0</v>
      </c>
      <c r="F2489" s="4" t="s">
        <v>3677</v>
      </c>
      <c r="G2489" s="4" t="s">
        <v>3678</v>
      </c>
      <c r="H2489" s="4" t="s">
        <v>3679</v>
      </c>
      <c r="I2489" s="4" t="s">
        <v>56</v>
      </c>
      <c r="J2489" s="4">
        <v>0</v>
      </c>
      <c r="K2489" s="4">
        <v>0</v>
      </c>
      <c r="L2489" s="4">
        <f>J2489+K2489</f>
        <v>0</v>
      </c>
      <c r="M2489" s="4" t="s">
        <v>370</v>
      </c>
      <c r="N2489" s="4"/>
      <c r="O2489" s="4">
        <v>1</v>
      </c>
      <c r="P2489" s="4" t="s">
        <v>43</v>
      </c>
      <c r="Q2489" s="4" t="s">
        <v>44</v>
      </c>
      <c r="R2489" s="7">
        <v>0</v>
      </c>
      <c r="S2489" s="7">
        <v>0</v>
      </c>
      <c r="T2489" s="7">
        <f>R2489-S2489</f>
        <v>0</v>
      </c>
      <c r="U2489" s="7">
        <f>T2489*O2489</f>
        <v>0</v>
      </c>
    </row>
    <row r="2490" spans="1:21">
      <c r="A2490" s="4" t="s">
        <v>3676</v>
      </c>
      <c r="B2490" s="4" t="s">
        <v>39</v>
      </c>
      <c r="C2490" s="5">
        <v>45956.25135416666</v>
      </c>
      <c r="D2490" s="5">
        <v>45956</v>
      </c>
      <c r="E2490" s="6">
        <f>IF(AND(C2490&lt;&gt;"",D2490&lt;&gt;""),D2490-C2490,"")</f>
        <v>0</v>
      </c>
      <c r="F2490" s="4" t="s">
        <v>3677</v>
      </c>
      <c r="G2490" s="4" t="s">
        <v>3678</v>
      </c>
      <c r="H2490" s="4" t="s">
        <v>3679</v>
      </c>
      <c r="I2490" s="4" t="s">
        <v>56</v>
      </c>
      <c r="J2490" s="4">
        <v>0</v>
      </c>
      <c r="K2490" s="4">
        <v>0</v>
      </c>
      <c r="L2490" s="4">
        <f>J2490+K2490</f>
        <v>0</v>
      </c>
      <c r="M2490" s="4" t="s">
        <v>370</v>
      </c>
      <c r="N2490" s="4"/>
      <c r="O2490" s="4">
        <v>1</v>
      </c>
      <c r="P2490" s="4" t="s">
        <v>43</v>
      </c>
      <c r="Q2490" s="4" t="s">
        <v>44</v>
      </c>
      <c r="R2490" s="7">
        <v>0</v>
      </c>
      <c r="S2490" s="7">
        <v>0</v>
      </c>
      <c r="T2490" s="7">
        <f>R2490-S2490</f>
        <v>0</v>
      </c>
      <c r="U2490" s="7">
        <f>T2490*O2490</f>
        <v>0</v>
      </c>
    </row>
    <row r="2491" spans="1:21">
      <c r="A2491" s="4" t="s">
        <v>3676</v>
      </c>
      <c r="B2491" s="4" t="s">
        <v>39</v>
      </c>
      <c r="C2491" s="5">
        <v>45956.25135416666</v>
      </c>
      <c r="D2491" s="5">
        <v>45956</v>
      </c>
      <c r="E2491" s="6">
        <f>IF(AND(C2491&lt;&gt;"",D2491&lt;&gt;""),D2491-C2491,"")</f>
        <v>0</v>
      </c>
      <c r="F2491" s="4" t="s">
        <v>3677</v>
      </c>
      <c r="G2491" s="4" t="s">
        <v>3678</v>
      </c>
      <c r="H2491" s="4" t="s">
        <v>3679</v>
      </c>
      <c r="I2491" s="4" t="s">
        <v>56</v>
      </c>
      <c r="J2491" s="4">
        <v>0</v>
      </c>
      <c r="K2491" s="4">
        <v>0</v>
      </c>
      <c r="L2491" s="4">
        <f>J2491+K2491</f>
        <v>0</v>
      </c>
      <c r="M2491" s="4" t="s">
        <v>370</v>
      </c>
      <c r="N2491" s="4"/>
      <c r="O2491" s="4">
        <v>1</v>
      </c>
      <c r="P2491" s="4" t="s">
        <v>43</v>
      </c>
      <c r="Q2491" s="4" t="s">
        <v>44</v>
      </c>
      <c r="R2491" s="7">
        <v>0</v>
      </c>
      <c r="S2491" s="7">
        <v>0</v>
      </c>
      <c r="T2491" s="7">
        <f>R2491-S2491</f>
        <v>0</v>
      </c>
      <c r="U2491" s="7">
        <f>T2491*O2491</f>
        <v>0</v>
      </c>
    </row>
    <row r="2492" spans="1:21">
      <c r="A2492" s="4" t="s">
        <v>3676</v>
      </c>
      <c r="B2492" s="4" t="s">
        <v>39</v>
      </c>
      <c r="C2492" s="5">
        <v>45956.25135416666</v>
      </c>
      <c r="D2492" s="5">
        <v>45956</v>
      </c>
      <c r="E2492" s="6">
        <f>IF(AND(C2492&lt;&gt;"",D2492&lt;&gt;""),D2492-C2492,"")</f>
        <v>0</v>
      </c>
      <c r="F2492" s="4" t="s">
        <v>3677</v>
      </c>
      <c r="G2492" s="4" t="s">
        <v>3678</v>
      </c>
      <c r="H2492" s="4" t="s">
        <v>3679</v>
      </c>
      <c r="I2492" s="4" t="s">
        <v>56</v>
      </c>
      <c r="J2492" s="4">
        <v>0</v>
      </c>
      <c r="K2492" s="4">
        <v>0</v>
      </c>
      <c r="L2492" s="4">
        <f>J2492+K2492</f>
        <v>0</v>
      </c>
      <c r="M2492" s="4" t="s">
        <v>370</v>
      </c>
      <c r="N2492" s="4"/>
      <c r="O2492" s="4">
        <v>1</v>
      </c>
      <c r="P2492" s="4" t="s">
        <v>43</v>
      </c>
      <c r="Q2492" s="4" t="s">
        <v>44</v>
      </c>
      <c r="R2492" s="7">
        <v>0</v>
      </c>
      <c r="S2492" s="7">
        <v>0</v>
      </c>
      <c r="T2492" s="7">
        <f>R2492-S2492</f>
        <v>0</v>
      </c>
      <c r="U2492" s="7">
        <f>T2492*O2492</f>
        <v>0</v>
      </c>
    </row>
    <row r="2493" spans="1:21">
      <c r="A2493" s="4" t="s">
        <v>3676</v>
      </c>
      <c r="B2493" s="4" t="s">
        <v>39</v>
      </c>
      <c r="C2493" s="5">
        <v>45956.25135416666</v>
      </c>
      <c r="D2493" s="5">
        <v>45956</v>
      </c>
      <c r="E2493" s="6">
        <f>IF(AND(C2493&lt;&gt;"",D2493&lt;&gt;""),D2493-C2493,"")</f>
        <v>0</v>
      </c>
      <c r="F2493" s="4" t="s">
        <v>3677</v>
      </c>
      <c r="G2493" s="4" t="s">
        <v>3678</v>
      </c>
      <c r="H2493" s="4" t="s">
        <v>3679</v>
      </c>
      <c r="I2493" s="4" t="s">
        <v>56</v>
      </c>
      <c r="J2493" s="4">
        <v>0</v>
      </c>
      <c r="K2493" s="4">
        <v>0</v>
      </c>
      <c r="L2493" s="4">
        <f>J2493+K2493</f>
        <v>0</v>
      </c>
      <c r="M2493" s="4" t="s">
        <v>370</v>
      </c>
      <c r="N2493" s="4"/>
      <c r="O2493" s="4">
        <v>1</v>
      </c>
      <c r="P2493" s="4" t="s">
        <v>43</v>
      </c>
      <c r="Q2493" s="4" t="s">
        <v>44</v>
      </c>
      <c r="R2493" s="7">
        <v>0</v>
      </c>
      <c r="S2493" s="7">
        <v>0</v>
      </c>
      <c r="T2493" s="7">
        <f>R2493-S2493</f>
        <v>0</v>
      </c>
      <c r="U2493" s="7">
        <f>T2493*O2493</f>
        <v>0</v>
      </c>
    </row>
    <row r="2494" spans="1:21">
      <c r="A2494" s="4" t="s">
        <v>3676</v>
      </c>
      <c r="B2494" s="4" t="s">
        <v>39</v>
      </c>
      <c r="C2494" s="5">
        <v>45956.25135416666</v>
      </c>
      <c r="D2494" s="5">
        <v>45956</v>
      </c>
      <c r="E2494" s="6">
        <f>IF(AND(C2494&lt;&gt;"",D2494&lt;&gt;""),D2494-C2494,"")</f>
        <v>0</v>
      </c>
      <c r="F2494" s="4" t="s">
        <v>3677</v>
      </c>
      <c r="G2494" s="4" t="s">
        <v>3678</v>
      </c>
      <c r="H2494" s="4" t="s">
        <v>3679</v>
      </c>
      <c r="I2494" s="4" t="s">
        <v>56</v>
      </c>
      <c r="J2494" s="4">
        <v>0</v>
      </c>
      <c r="K2494" s="4">
        <v>0</v>
      </c>
      <c r="L2494" s="4">
        <f>J2494+K2494</f>
        <v>0</v>
      </c>
      <c r="M2494" s="4" t="s">
        <v>370</v>
      </c>
      <c r="N2494" s="4"/>
      <c r="O2494" s="4">
        <v>1</v>
      </c>
      <c r="P2494" s="4" t="s">
        <v>43</v>
      </c>
      <c r="Q2494" s="4" t="s">
        <v>44</v>
      </c>
      <c r="R2494" s="7">
        <v>0</v>
      </c>
      <c r="S2494" s="7">
        <v>0</v>
      </c>
      <c r="T2494" s="7">
        <f>R2494-S2494</f>
        <v>0</v>
      </c>
      <c r="U2494" s="7">
        <f>T2494*O2494</f>
        <v>0</v>
      </c>
    </row>
    <row r="2495" spans="1:21">
      <c r="A2495" s="4" t="s">
        <v>3676</v>
      </c>
      <c r="B2495" s="4" t="s">
        <v>39</v>
      </c>
      <c r="C2495" s="5">
        <v>45956.25135416666</v>
      </c>
      <c r="D2495" s="5">
        <v>45956</v>
      </c>
      <c r="E2495" s="6">
        <f>IF(AND(C2495&lt;&gt;"",D2495&lt;&gt;""),D2495-C2495,"")</f>
        <v>0</v>
      </c>
      <c r="F2495" s="4" t="s">
        <v>3677</v>
      </c>
      <c r="G2495" s="4" t="s">
        <v>3678</v>
      </c>
      <c r="H2495" s="4" t="s">
        <v>3679</v>
      </c>
      <c r="I2495" s="4" t="s">
        <v>56</v>
      </c>
      <c r="J2495" s="4">
        <v>0</v>
      </c>
      <c r="K2495" s="4">
        <v>0</v>
      </c>
      <c r="L2495" s="4">
        <f>J2495+K2495</f>
        <v>0</v>
      </c>
      <c r="M2495" s="4" t="s">
        <v>370</v>
      </c>
      <c r="N2495" s="4"/>
      <c r="O2495" s="4">
        <v>1</v>
      </c>
      <c r="P2495" s="4" t="s">
        <v>43</v>
      </c>
      <c r="Q2495" s="4" t="s">
        <v>44</v>
      </c>
      <c r="R2495" s="7">
        <v>0</v>
      </c>
      <c r="S2495" s="7">
        <v>0</v>
      </c>
      <c r="T2495" s="7">
        <f>R2495-S2495</f>
        <v>0</v>
      </c>
      <c r="U2495" s="7">
        <f>T2495*O2495</f>
        <v>0</v>
      </c>
    </row>
    <row r="2496" spans="1:21">
      <c r="A2496" s="4" t="s">
        <v>3676</v>
      </c>
      <c r="B2496" s="4" t="s">
        <v>39</v>
      </c>
      <c r="C2496" s="5">
        <v>45956.25135416666</v>
      </c>
      <c r="D2496" s="5">
        <v>45956</v>
      </c>
      <c r="E2496" s="6">
        <f>IF(AND(C2496&lt;&gt;"",D2496&lt;&gt;""),D2496-C2496,"")</f>
        <v>0</v>
      </c>
      <c r="F2496" s="4" t="s">
        <v>3677</v>
      </c>
      <c r="G2496" s="4" t="s">
        <v>3678</v>
      </c>
      <c r="H2496" s="4" t="s">
        <v>3679</v>
      </c>
      <c r="I2496" s="4" t="s">
        <v>56</v>
      </c>
      <c r="J2496" s="4">
        <v>0</v>
      </c>
      <c r="K2496" s="4">
        <v>0</v>
      </c>
      <c r="L2496" s="4">
        <f>J2496+K2496</f>
        <v>0</v>
      </c>
      <c r="M2496" s="4" t="s">
        <v>370</v>
      </c>
      <c r="N2496" s="4"/>
      <c r="O2496" s="4">
        <v>1</v>
      </c>
      <c r="P2496" s="4" t="s">
        <v>43</v>
      </c>
      <c r="Q2496" s="4" t="s">
        <v>44</v>
      </c>
      <c r="R2496" s="7">
        <v>1000000</v>
      </c>
      <c r="S2496" s="7">
        <v>0</v>
      </c>
      <c r="T2496" s="7">
        <f>R2496-S2496</f>
        <v>0</v>
      </c>
      <c r="U2496" s="7">
        <f>T2496*O2496</f>
        <v>0</v>
      </c>
    </row>
    <row r="2497" spans="1:21">
      <c r="A2497" s="4" t="s">
        <v>3676</v>
      </c>
      <c r="B2497" s="4" t="s">
        <v>39</v>
      </c>
      <c r="C2497" s="5">
        <v>45956.25135416666</v>
      </c>
      <c r="D2497" s="5">
        <v>45956</v>
      </c>
      <c r="E2497" s="6">
        <f>IF(AND(C2497&lt;&gt;"",D2497&lt;&gt;""),D2497-C2497,"")</f>
        <v>0</v>
      </c>
      <c r="F2497" s="4" t="s">
        <v>3677</v>
      </c>
      <c r="G2497" s="4" t="s">
        <v>3678</v>
      </c>
      <c r="H2497" s="4" t="s">
        <v>3679</v>
      </c>
      <c r="I2497" s="4" t="s">
        <v>56</v>
      </c>
      <c r="J2497" s="4">
        <v>0</v>
      </c>
      <c r="K2497" s="4">
        <v>0</v>
      </c>
      <c r="L2497" s="4">
        <f>J2497+K2497</f>
        <v>0</v>
      </c>
      <c r="M2497" s="4" t="s">
        <v>370</v>
      </c>
      <c r="N2497" s="4"/>
      <c r="O2497" s="4">
        <v>1</v>
      </c>
      <c r="P2497" s="4" t="s">
        <v>43</v>
      </c>
      <c r="Q2497" s="4" t="s">
        <v>44</v>
      </c>
      <c r="R2497" s="7">
        <v>0</v>
      </c>
      <c r="S2497" s="7">
        <v>0</v>
      </c>
      <c r="T2497" s="7">
        <f>R2497-S2497</f>
        <v>0</v>
      </c>
      <c r="U2497" s="7">
        <f>T2497*O2497</f>
        <v>0</v>
      </c>
    </row>
    <row r="2498" spans="1:21">
      <c r="A2498" s="4" t="s">
        <v>3676</v>
      </c>
      <c r="B2498" s="4" t="s">
        <v>39</v>
      </c>
      <c r="C2498" s="5">
        <v>45956.25135416666</v>
      </c>
      <c r="D2498" s="5">
        <v>45956</v>
      </c>
      <c r="E2498" s="6">
        <f>IF(AND(C2498&lt;&gt;"",D2498&lt;&gt;""),D2498-C2498,"")</f>
        <v>0</v>
      </c>
      <c r="F2498" s="4" t="s">
        <v>3677</v>
      </c>
      <c r="G2498" s="4" t="s">
        <v>3678</v>
      </c>
      <c r="H2498" s="4" t="s">
        <v>3679</v>
      </c>
      <c r="I2498" s="4" t="s">
        <v>56</v>
      </c>
      <c r="J2498" s="4">
        <v>0</v>
      </c>
      <c r="K2498" s="4">
        <v>0</v>
      </c>
      <c r="L2498" s="4">
        <f>J2498+K2498</f>
        <v>0</v>
      </c>
      <c r="M2498" s="4" t="s">
        <v>370</v>
      </c>
      <c r="N2498" s="4"/>
      <c r="O2498" s="4">
        <v>0</v>
      </c>
      <c r="P2498" s="4" t="s">
        <v>43</v>
      </c>
      <c r="Q2498" s="4" t="s">
        <v>44</v>
      </c>
      <c r="R2498" s="7">
        <v>0</v>
      </c>
      <c r="S2498" s="7">
        <v>0</v>
      </c>
      <c r="T2498" s="7">
        <f>R2498-S2498</f>
        <v>0</v>
      </c>
      <c r="U2498" s="7">
        <f>T2498*O2498</f>
        <v>0</v>
      </c>
    </row>
    <row r="2499" spans="1:21">
      <c r="A2499" s="4" t="s">
        <v>3676</v>
      </c>
      <c r="B2499" s="4" t="s">
        <v>39</v>
      </c>
      <c r="C2499" s="5">
        <v>45956.25135416666</v>
      </c>
      <c r="D2499" s="5">
        <v>45956</v>
      </c>
      <c r="E2499" s="6">
        <f>IF(AND(C2499&lt;&gt;"",D2499&lt;&gt;""),D2499-C2499,"")</f>
        <v>0</v>
      </c>
      <c r="F2499" s="4" t="s">
        <v>3677</v>
      </c>
      <c r="G2499" s="4" t="s">
        <v>3678</v>
      </c>
      <c r="H2499" s="4" t="s">
        <v>3679</v>
      </c>
      <c r="I2499" s="4" t="s">
        <v>56</v>
      </c>
      <c r="J2499" s="4">
        <v>0</v>
      </c>
      <c r="K2499" s="4">
        <v>0</v>
      </c>
      <c r="L2499" s="4">
        <f>J2499+K2499</f>
        <v>0</v>
      </c>
      <c r="M2499" s="4" t="s">
        <v>370</v>
      </c>
      <c r="N2499" s="4"/>
      <c r="O2499" s="4">
        <v>0</v>
      </c>
      <c r="P2499" s="4" t="s">
        <v>43</v>
      </c>
      <c r="Q2499" s="4" t="s">
        <v>44</v>
      </c>
      <c r="R2499" s="7">
        <v>0</v>
      </c>
      <c r="S2499" s="7">
        <v>0</v>
      </c>
      <c r="T2499" s="7">
        <f>R2499-S2499</f>
        <v>0</v>
      </c>
      <c r="U2499" s="7">
        <f>T2499*O2499</f>
        <v>0</v>
      </c>
    </row>
    <row r="2500" spans="1:21">
      <c r="A2500" s="4" t="s">
        <v>3676</v>
      </c>
      <c r="B2500" s="4" t="s">
        <v>39</v>
      </c>
      <c r="C2500" s="5">
        <v>45956.25135416666</v>
      </c>
      <c r="D2500" s="5">
        <v>45956</v>
      </c>
      <c r="E2500" s="6">
        <f>IF(AND(C2500&lt;&gt;"",D2500&lt;&gt;""),D2500-C2500,"")</f>
        <v>0</v>
      </c>
      <c r="F2500" s="4" t="s">
        <v>3677</v>
      </c>
      <c r="G2500" s="4" t="s">
        <v>3678</v>
      </c>
      <c r="H2500" s="4" t="s">
        <v>3679</v>
      </c>
      <c r="I2500" s="4" t="s">
        <v>56</v>
      </c>
      <c r="J2500" s="4">
        <v>0</v>
      </c>
      <c r="K2500" s="4">
        <v>0</v>
      </c>
      <c r="L2500" s="4">
        <f>J2500+K2500</f>
        <v>0</v>
      </c>
      <c r="M2500" s="4" t="s">
        <v>370</v>
      </c>
      <c r="N2500" s="4"/>
      <c r="O2500" s="4">
        <v>1</v>
      </c>
      <c r="P2500" s="4" t="s">
        <v>43</v>
      </c>
      <c r="Q2500" s="4" t="s">
        <v>44</v>
      </c>
      <c r="R2500" s="7">
        <v>0</v>
      </c>
      <c r="S2500" s="7">
        <v>0</v>
      </c>
      <c r="T2500" s="7">
        <f>R2500-S2500</f>
        <v>0</v>
      </c>
      <c r="U2500" s="7">
        <f>T2500*O2500</f>
        <v>0</v>
      </c>
    </row>
    <row r="2501" spans="1:21">
      <c r="A2501" s="4" t="s">
        <v>3676</v>
      </c>
      <c r="B2501" s="4" t="s">
        <v>39</v>
      </c>
      <c r="C2501" s="5">
        <v>45956.25135416666</v>
      </c>
      <c r="D2501" s="5">
        <v>45956</v>
      </c>
      <c r="E2501" s="6">
        <f>IF(AND(C2501&lt;&gt;"",D2501&lt;&gt;""),D2501-C2501,"")</f>
        <v>0</v>
      </c>
      <c r="F2501" s="4" t="s">
        <v>3677</v>
      </c>
      <c r="G2501" s="4" t="s">
        <v>3678</v>
      </c>
      <c r="H2501" s="4" t="s">
        <v>3679</v>
      </c>
      <c r="I2501" s="4" t="s">
        <v>56</v>
      </c>
      <c r="J2501" s="4">
        <v>0</v>
      </c>
      <c r="K2501" s="4">
        <v>0</v>
      </c>
      <c r="L2501" s="4">
        <f>J2501+K2501</f>
        <v>0</v>
      </c>
      <c r="M2501" s="4" t="s">
        <v>370</v>
      </c>
      <c r="N2501" s="4"/>
      <c r="O2501" s="4">
        <v>1</v>
      </c>
      <c r="P2501" s="4" t="s">
        <v>43</v>
      </c>
      <c r="Q2501" s="4" t="s">
        <v>44</v>
      </c>
      <c r="R2501" s="7">
        <v>0</v>
      </c>
      <c r="S2501" s="7">
        <v>0</v>
      </c>
      <c r="T2501" s="7">
        <f>R2501-S2501</f>
        <v>0</v>
      </c>
      <c r="U2501" s="7">
        <f>T2501*O2501</f>
        <v>0</v>
      </c>
    </row>
    <row r="2502" spans="1:21">
      <c r="A2502" s="4" t="s">
        <v>3676</v>
      </c>
      <c r="B2502" s="4" t="s">
        <v>39</v>
      </c>
      <c r="C2502" s="5">
        <v>45956.25135416666</v>
      </c>
      <c r="D2502" s="5">
        <v>45956</v>
      </c>
      <c r="E2502" s="6">
        <f>IF(AND(C2502&lt;&gt;"",D2502&lt;&gt;""),D2502-C2502,"")</f>
        <v>0</v>
      </c>
      <c r="F2502" s="4" t="s">
        <v>3677</v>
      </c>
      <c r="G2502" s="4" t="s">
        <v>3678</v>
      </c>
      <c r="H2502" s="4" t="s">
        <v>3679</v>
      </c>
      <c r="I2502" s="4" t="s">
        <v>56</v>
      </c>
      <c r="J2502" s="4">
        <v>0</v>
      </c>
      <c r="K2502" s="4">
        <v>0</v>
      </c>
      <c r="L2502" s="4">
        <f>J2502+K2502</f>
        <v>0</v>
      </c>
      <c r="M2502" s="4" t="s">
        <v>370</v>
      </c>
      <c r="N2502" s="4"/>
      <c r="O2502" s="4">
        <v>1</v>
      </c>
      <c r="P2502" s="4" t="s">
        <v>43</v>
      </c>
      <c r="Q2502" s="4" t="s">
        <v>44</v>
      </c>
      <c r="R2502" s="7">
        <v>0</v>
      </c>
      <c r="S2502" s="7">
        <v>0</v>
      </c>
      <c r="T2502" s="7">
        <f>R2502-S2502</f>
        <v>0</v>
      </c>
      <c r="U2502" s="7">
        <f>T2502*O2502</f>
        <v>0</v>
      </c>
    </row>
    <row r="2503" spans="1:21">
      <c r="A2503" s="4" t="s">
        <v>3676</v>
      </c>
      <c r="B2503" s="4" t="s">
        <v>39</v>
      </c>
      <c r="C2503" s="5">
        <v>45956.25135416666</v>
      </c>
      <c r="D2503" s="5">
        <v>45956</v>
      </c>
      <c r="E2503" s="6">
        <f>IF(AND(C2503&lt;&gt;"",D2503&lt;&gt;""),D2503-C2503,"")</f>
        <v>0</v>
      </c>
      <c r="F2503" s="4" t="s">
        <v>3677</v>
      </c>
      <c r="G2503" s="4" t="s">
        <v>3678</v>
      </c>
      <c r="H2503" s="4" t="s">
        <v>3679</v>
      </c>
      <c r="I2503" s="4" t="s">
        <v>56</v>
      </c>
      <c r="J2503" s="4">
        <v>0</v>
      </c>
      <c r="K2503" s="4">
        <v>0</v>
      </c>
      <c r="L2503" s="4">
        <f>J2503+K2503</f>
        <v>0</v>
      </c>
      <c r="M2503" s="4" t="s">
        <v>370</v>
      </c>
      <c r="N2503" s="4"/>
      <c r="O2503" s="4">
        <v>1</v>
      </c>
      <c r="P2503" s="4" t="s">
        <v>43</v>
      </c>
      <c r="Q2503" s="4" t="s">
        <v>44</v>
      </c>
      <c r="R2503" s="7">
        <v>0</v>
      </c>
      <c r="S2503" s="7">
        <v>0</v>
      </c>
      <c r="T2503" s="7">
        <f>R2503-S2503</f>
        <v>0</v>
      </c>
      <c r="U2503" s="7">
        <f>T2503*O2503</f>
        <v>0</v>
      </c>
    </row>
    <row r="2504" spans="1:21">
      <c r="A2504" s="4" t="s">
        <v>3676</v>
      </c>
      <c r="B2504" s="4" t="s">
        <v>39</v>
      </c>
      <c r="C2504" s="5">
        <v>45956.25135416666</v>
      </c>
      <c r="D2504" s="5">
        <v>45956</v>
      </c>
      <c r="E2504" s="6">
        <f>IF(AND(C2504&lt;&gt;"",D2504&lt;&gt;""),D2504-C2504,"")</f>
        <v>0</v>
      </c>
      <c r="F2504" s="4" t="s">
        <v>3677</v>
      </c>
      <c r="G2504" s="4" t="s">
        <v>3678</v>
      </c>
      <c r="H2504" s="4" t="s">
        <v>3679</v>
      </c>
      <c r="I2504" s="4" t="s">
        <v>56</v>
      </c>
      <c r="J2504" s="4">
        <v>0</v>
      </c>
      <c r="K2504" s="4">
        <v>0</v>
      </c>
      <c r="L2504" s="4">
        <f>J2504+K2504</f>
        <v>0</v>
      </c>
      <c r="M2504" s="4" t="s">
        <v>370</v>
      </c>
      <c r="N2504" s="4"/>
      <c r="O2504" s="4">
        <v>1</v>
      </c>
      <c r="P2504" s="4" t="s">
        <v>43</v>
      </c>
      <c r="Q2504" s="4" t="s">
        <v>44</v>
      </c>
      <c r="R2504" s="7">
        <v>0</v>
      </c>
      <c r="S2504" s="7">
        <v>0</v>
      </c>
      <c r="T2504" s="7">
        <f>R2504-S2504</f>
        <v>0</v>
      </c>
      <c r="U2504" s="7">
        <f>T2504*O2504</f>
        <v>0</v>
      </c>
    </row>
    <row r="2505" spans="1:21">
      <c r="A2505" s="4" t="s">
        <v>3680</v>
      </c>
      <c r="B2505" s="4" t="s">
        <v>103</v>
      </c>
      <c r="C2505" s="5">
        <v>45956.25631944444</v>
      </c>
      <c r="D2505" s="5">
        <v>45961</v>
      </c>
      <c r="E2505" s="6">
        <f>IF(AND(C2505&lt;&gt;"",D2505&lt;&gt;""),D2505-C2505,"")</f>
        <v>0</v>
      </c>
      <c r="F2505" s="4" t="s">
        <v>3681</v>
      </c>
      <c r="G2505" s="4" t="s">
        <v>3672</v>
      </c>
      <c r="H2505" s="4" t="s">
        <v>32</v>
      </c>
      <c r="I2505" s="4" t="s">
        <v>33</v>
      </c>
      <c r="J2505" s="4">
        <v>4</v>
      </c>
      <c r="K2505" s="4">
        <v>2</v>
      </c>
      <c r="L2505" s="4">
        <f>J2505+K2505</f>
        <v>0</v>
      </c>
      <c r="M2505" s="4"/>
      <c r="N2505" s="4"/>
      <c r="O2505" s="4">
        <v>0</v>
      </c>
      <c r="P2505" s="4"/>
      <c r="Q2505" s="4"/>
      <c r="R2505" s="7">
        <v>0</v>
      </c>
      <c r="S2505" s="7">
        <v>0</v>
      </c>
      <c r="T2505" s="7">
        <f>R2505-S2505</f>
        <v>0</v>
      </c>
      <c r="U2505" s="7">
        <f>T2505*O2505</f>
        <v>0</v>
      </c>
    </row>
    <row r="2506" spans="1:21">
      <c r="A2506" s="4" t="s">
        <v>3682</v>
      </c>
      <c r="B2506" s="4" t="s">
        <v>103</v>
      </c>
      <c r="C2506" s="5">
        <v>45956.27835648148</v>
      </c>
      <c r="D2506" s="5">
        <v>45961</v>
      </c>
      <c r="E2506" s="6">
        <f>IF(AND(C2506&lt;&gt;"",D2506&lt;&gt;""),D2506-C2506,"")</f>
        <v>0</v>
      </c>
      <c r="F2506" s="4" t="s">
        <v>3683</v>
      </c>
      <c r="G2506" s="4" t="s">
        <v>3684</v>
      </c>
      <c r="H2506" s="4" t="s">
        <v>190</v>
      </c>
      <c r="I2506" s="4" t="s">
        <v>56</v>
      </c>
      <c r="J2506" s="4">
        <v>5</v>
      </c>
      <c r="K2506" s="4">
        <v>2</v>
      </c>
      <c r="L2506" s="4">
        <f>J2506+K2506</f>
        <v>0</v>
      </c>
      <c r="M2506" s="4"/>
      <c r="N2506" s="4"/>
      <c r="O2506" s="4">
        <v>0</v>
      </c>
      <c r="P2506" s="4"/>
      <c r="Q2506" s="4"/>
      <c r="R2506" s="7">
        <v>0</v>
      </c>
      <c r="S2506" s="7">
        <v>0</v>
      </c>
      <c r="T2506" s="7">
        <f>R2506-S2506</f>
        <v>0</v>
      </c>
      <c r="U2506" s="7">
        <f>T2506*O2506</f>
        <v>0</v>
      </c>
    </row>
    <row r="2507" spans="1:21">
      <c r="A2507" s="4" t="s">
        <v>3685</v>
      </c>
      <c r="B2507" s="4" t="s">
        <v>103</v>
      </c>
      <c r="C2507" s="5">
        <v>45956.27997685185</v>
      </c>
      <c r="D2507" s="5">
        <v>45961</v>
      </c>
      <c r="E2507" s="6">
        <f>IF(AND(C2507&lt;&gt;"",D2507&lt;&gt;""),D2507-C2507,"")</f>
        <v>0</v>
      </c>
      <c r="F2507" s="4" t="s">
        <v>3686</v>
      </c>
      <c r="G2507" s="4" t="s">
        <v>3687</v>
      </c>
      <c r="H2507" s="4" t="s">
        <v>32</v>
      </c>
      <c r="I2507" s="4" t="s">
        <v>33</v>
      </c>
      <c r="J2507" s="4">
        <v>4</v>
      </c>
      <c r="K2507" s="4">
        <v>1</v>
      </c>
      <c r="L2507" s="4">
        <f>J2507+K2507</f>
        <v>0</v>
      </c>
      <c r="M2507" s="4"/>
      <c r="N2507" s="4"/>
      <c r="O2507" s="4">
        <v>0</v>
      </c>
      <c r="P2507" s="4"/>
      <c r="Q2507" s="4"/>
      <c r="R2507" s="7">
        <v>0</v>
      </c>
      <c r="S2507" s="7">
        <v>0</v>
      </c>
      <c r="T2507" s="7">
        <f>R2507-S2507</f>
        <v>0</v>
      </c>
      <c r="U2507" s="7">
        <f>T2507*O2507</f>
        <v>0</v>
      </c>
    </row>
    <row r="2508" spans="1:21">
      <c r="A2508" s="4" t="s">
        <v>3688</v>
      </c>
      <c r="B2508" s="4" t="s">
        <v>103</v>
      </c>
      <c r="C2508" s="5">
        <v>45956.28291666666</v>
      </c>
      <c r="D2508" s="5">
        <v>45961</v>
      </c>
      <c r="E2508" s="6">
        <f>IF(AND(C2508&lt;&gt;"",D2508&lt;&gt;""),D2508-C2508,"")</f>
        <v>0</v>
      </c>
      <c r="F2508" s="4" t="s">
        <v>3689</v>
      </c>
      <c r="G2508" s="4"/>
      <c r="H2508" s="4"/>
      <c r="I2508" s="4" t="s">
        <v>56</v>
      </c>
      <c r="J2508" s="4">
        <v>27</v>
      </c>
      <c r="K2508" s="4">
        <v>0</v>
      </c>
      <c r="L2508" s="4">
        <f>J2508+K2508</f>
        <v>0</v>
      </c>
      <c r="M2508" s="4"/>
      <c r="N2508" s="4"/>
      <c r="O2508" s="4">
        <v>0</v>
      </c>
      <c r="P2508" s="4"/>
      <c r="Q2508" s="4"/>
      <c r="R2508" s="7">
        <v>0</v>
      </c>
      <c r="S2508" s="7">
        <v>0</v>
      </c>
      <c r="T2508" s="7">
        <f>R2508-S2508</f>
        <v>0</v>
      </c>
      <c r="U2508" s="7">
        <f>T2508*O2508</f>
        <v>0</v>
      </c>
    </row>
    <row r="2509" spans="1:21">
      <c r="A2509" s="4" t="s">
        <v>3690</v>
      </c>
      <c r="B2509" s="4" t="s">
        <v>39</v>
      </c>
      <c r="C2509" s="5">
        <v>45956.31363425926</v>
      </c>
      <c r="D2509" s="5">
        <v>45956</v>
      </c>
      <c r="E2509" s="6">
        <f>IF(AND(C2509&lt;&gt;"",D2509&lt;&gt;""),D2509-C2509,"")</f>
        <v>0</v>
      </c>
      <c r="F2509" s="4" t="s">
        <v>947</v>
      </c>
      <c r="G2509" s="4" t="s">
        <v>3691</v>
      </c>
      <c r="H2509" s="4" t="s">
        <v>32</v>
      </c>
      <c r="I2509" s="4" t="s">
        <v>33</v>
      </c>
      <c r="J2509" s="4">
        <v>0</v>
      </c>
      <c r="K2509" s="4">
        <v>0</v>
      </c>
      <c r="L2509" s="4">
        <f>J2509+K2509</f>
        <v>0</v>
      </c>
      <c r="M2509" s="4" t="s">
        <v>370</v>
      </c>
      <c r="N2509" s="4"/>
      <c r="O2509" s="4">
        <v>1</v>
      </c>
      <c r="P2509" s="4" t="s">
        <v>135</v>
      </c>
      <c r="Q2509" s="4" t="s">
        <v>44</v>
      </c>
      <c r="R2509" s="7">
        <v>500000</v>
      </c>
      <c r="S2509" s="7">
        <v>0</v>
      </c>
      <c r="T2509" s="7">
        <f>R2509-S2509</f>
        <v>0</v>
      </c>
      <c r="U2509" s="7">
        <f>T2509*O2509</f>
        <v>0</v>
      </c>
    </row>
    <row r="2510" spans="1:21">
      <c r="A2510" s="4" t="s">
        <v>3692</v>
      </c>
      <c r="B2510" s="4" t="s">
        <v>39</v>
      </c>
      <c r="C2510" s="5">
        <v>45956.31869212963</v>
      </c>
      <c r="D2510" s="5">
        <v>45956</v>
      </c>
      <c r="E2510" s="6">
        <f>IF(AND(C2510&lt;&gt;"",D2510&lt;&gt;""),D2510-C2510,"")</f>
        <v>0</v>
      </c>
      <c r="F2510" s="4" t="s">
        <v>3693</v>
      </c>
      <c r="G2510" s="4" t="s">
        <v>3694</v>
      </c>
      <c r="H2510" s="4" t="s">
        <v>32</v>
      </c>
      <c r="I2510" s="4" t="s">
        <v>33</v>
      </c>
      <c r="J2510" s="4">
        <v>0</v>
      </c>
      <c r="K2510" s="4">
        <v>0</v>
      </c>
      <c r="L2510" s="4">
        <f>J2510+K2510</f>
        <v>0</v>
      </c>
      <c r="M2510" s="4" t="s">
        <v>370</v>
      </c>
      <c r="N2510" s="4"/>
      <c r="O2510" s="4">
        <v>1</v>
      </c>
      <c r="P2510" s="4" t="s">
        <v>135</v>
      </c>
      <c r="Q2510" s="4" t="s">
        <v>44</v>
      </c>
      <c r="R2510" s="7">
        <v>1000000</v>
      </c>
      <c r="S2510" s="7">
        <v>0</v>
      </c>
      <c r="T2510" s="7">
        <f>R2510-S2510</f>
        <v>0</v>
      </c>
      <c r="U2510" s="7">
        <f>T2510*O2510</f>
        <v>0</v>
      </c>
    </row>
    <row r="2511" spans="1:21">
      <c r="A2511" s="4" t="s">
        <v>3695</v>
      </c>
      <c r="B2511" s="4" t="s">
        <v>122</v>
      </c>
      <c r="C2511" s="5">
        <v>45956.36199074074</v>
      </c>
      <c r="D2511" s="5">
        <v>45961</v>
      </c>
      <c r="E2511" s="6">
        <f>IF(AND(C2511&lt;&gt;"",D2511&lt;&gt;""),D2511-C2511,"")</f>
        <v>0</v>
      </c>
      <c r="F2511" s="4" t="s">
        <v>165</v>
      </c>
      <c r="G2511" s="4" t="s">
        <v>65</v>
      </c>
      <c r="H2511" s="4" t="s">
        <v>32</v>
      </c>
      <c r="I2511" s="4" t="s">
        <v>33</v>
      </c>
      <c r="J2511" s="4">
        <v>0</v>
      </c>
      <c r="K2511" s="4">
        <v>0</v>
      </c>
      <c r="L2511" s="4">
        <f>J2511+K2511</f>
        <v>0</v>
      </c>
      <c r="M2511" s="4"/>
      <c r="N2511" s="4"/>
      <c r="O2511" s="4">
        <v>0</v>
      </c>
      <c r="P2511" s="4"/>
      <c r="Q2511" s="4"/>
      <c r="R2511" s="7">
        <v>0</v>
      </c>
      <c r="S2511" s="7">
        <v>0</v>
      </c>
      <c r="T2511" s="7">
        <f>R2511-S2511</f>
        <v>0</v>
      </c>
      <c r="U2511" s="7">
        <f>T2511*O2511</f>
        <v>0</v>
      </c>
    </row>
    <row r="2512" spans="1:21">
      <c r="A2512" s="4" t="s">
        <v>3696</v>
      </c>
      <c r="B2512" s="4" t="s">
        <v>39</v>
      </c>
      <c r="C2512" s="5">
        <v>45956.36649305555</v>
      </c>
      <c r="D2512" s="5">
        <v>45956</v>
      </c>
      <c r="E2512" s="6">
        <f>IF(AND(C2512&lt;&gt;"",D2512&lt;&gt;""),D2512-C2512,"")</f>
        <v>0</v>
      </c>
      <c r="F2512" s="4" t="s">
        <v>3697</v>
      </c>
      <c r="G2512" s="4" t="s">
        <v>3698</v>
      </c>
      <c r="H2512" s="4" t="s">
        <v>32</v>
      </c>
      <c r="I2512" s="4" t="s">
        <v>33</v>
      </c>
      <c r="J2512" s="4">
        <v>0</v>
      </c>
      <c r="K2512" s="4">
        <v>0</v>
      </c>
      <c r="L2512" s="4">
        <f>J2512+K2512</f>
        <v>0</v>
      </c>
      <c r="M2512" s="4" t="s">
        <v>370</v>
      </c>
      <c r="N2512" s="4"/>
      <c r="O2512" s="4">
        <v>1</v>
      </c>
      <c r="P2512" s="4" t="s">
        <v>43</v>
      </c>
      <c r="Q2512" s="4" t="s">
        <v>44</v>
      </c>
      <c r="R2512" s="7">
        <v>0</v>
      </c>
      <c r="S2512" s="7">
        <v>0</v>
      </c>
      <c r="T2512" s="7">
        <f>R2512-S2512</f>
        <v>0</v>
      </c>
      <c r="U2512" s="7">
        <f>T2512*O2512</f>
        <v>0</v>
      </c>
    </row>
    <row r="2513" spans="1:21">
      <c r="A2513" s="4" t="s">
        <v>3699</v>
      </c>
      <c r="B2513" s="4" t="s">
        <v>39</v>
      </c>
      <c r="C2513" s="5">
        <v>45956.3720949074</v>
      </c>
      <c r="D2513" s="5">
        <v>45956</v>
      </c>
      <c r="E2513" s="6">
        <f>IF(AND(C2513&lt;&gt;"",D2513&lt;&gt;""),D2513-C2513,"")</f>
        <v>0</v>
      </c>
      <c r="F2513" s="4" t="s">
        <v>3700</v>
      </c>
      <c r="G2513" s="4" t="s">
        <v>3701</v>
      </c>
      <c r="H2513" s="4" t="s">
        <v>1262</v>
      </c>
      <c r="I2513" s="4" t="s">
        <v>56</v>
      </c>
      <c r="J2513" s="4">
        <v>0</v>
      </c>
      <c r="K2513" s="4">
        <v>0</v>
      </c>
      <c r="L2513" s="4">
        <f>J2513+K2513</f>
        <v>0</v>
      </c>
      <c r="M2513" s="4" t="s">
        <v>370</v>
      </c>
      <c r="N2513" s="4"/>
      <c r="O2513" s="4">
        <v>1</v>
      </c>
      <c r="P2513" s="4" t="s">
        <v>135</v>
      </c>
      <c r="Q2513" s="4" t="s">
        <v>44</v>
      </c>
      <c r="R2513" s="7">
        <v>500000</v>
      </c>
      <c r="S2513" s="7">
        <v>0</v>
      </c>
      <c r="T2513" s="7">
        <f>R2513-S2513</f>
        <v>0</v>
      </c>
      <c r="U2513" s="7">
        <f>T2513*O2513</f>
        <v>0</v>
      </c>
    </row>
    <row r="2514" spans="1:21">
      <c r="A2514" s="4" t="s">
        <v>3702</v>
      </c>
      <c r="B2514" s="4" t="s">
        <v>122</v>
      </c>
      <c r="C2514" s="5">
        <v>45956.37898148148</v>
      </c>
      <c r="D2514" s="5">
        <v>45961</v>
      </c>
      <c r="E2514" s="6">
        <f>IF(AND(C2514&lt;&gt;"",D2514&lt;&gt;""),D2514-C2514,"")</f>
        <v>0</v>
      </c>
      <c r="F2514" s="4" t="s">
        <v>165</v>
      </c>
      <c r="G2514" s="4" t="s">
        <v>65</v>
      </c>
      <c r="H2514" s="4" t="s">
        <v>32</v>
      </c>
      <c r="I2514" s="4" t="s">
        <v>33</v>
      </c>
      <c r="J2514" s="4">
        <v>2</v>
      </c>
      <c r="K2514" s="4">
        <v>0</v>
      </c>
      <c r="L2514" s="4">
        <f>J2514+K2514</f>
        <v>0</v>
      </c>
      <c r="M2514" s="4"/>
      <c r="N2514" s="4"/>
      <c r="O2514" s="4">
        <v>0</v>
      </c>
      <c r="P2514" s="4"/>
      <c r="Q2514" s="4"/>
      <c r="R2514" s="7">
        <v>0</v>
      </c>
      <c r="S2514" s="7">
        <v>0</v>
      </c>
      <c r="T2514" s="7">
        <f>R2514-S2514</f>
        <v>0</v>
      </c>
      <c r="U2514" s="7">
        <f>T2514*O2514</f>
        <v>0</v>
      </c>
    </row>
    <row r="2515" spans="1:21">
      <c r="A2515" s="4" t="s">
        <v>3703</v>
      </c>
      <c r="B2515" s="4" t="s">
        <v>3704</v>
      </c>
      <c r="C2515" s="5">
        <v>45956.40912037037</v>
      </c>
      <c r="D2515" s="5">
        <v>45961</v>
      </c>
      <c r="E2515" s="6">
        <f>IF(AND(C2515&lt;&gt;"",D2515&lt;&gt;""),D2515-C2515,"")</f>
        <v>0</v>
      </c>
      <c r="F2515" s="4" t="s">
        <v>3705</v>
      </c>
      <c r="G2515" s="4"/>
      <c r="H2515" s="4"/>
      <c r="I2515" s="4" t="s">
        <v>56</v>
      </c>
      <c r="J2515" s="4">
        <v>4</v>
      </c>
      <c r="K2515" s="4">
        <v>2</v>
      </c>
      <c r="L2515" s="4">
        <f>J2515+K2515</f>
        <v>0</v>
      </c>
      <c r="M2515" s="4"/>
      <c r="N2515" s="4"/>
      <c r="O2515" s="4">
        <v>0</v>
      </c>
      <c r="P2515" s="4"/>
      <c r="Q2515" s="4"/>
      <c r="R2515" s="7">
        <v>0</v>
      </c>
      <c r="S2515" s="7">
        <v>0</v>
      </c>
      <c r="T2515" s="7">
        <f>R2515-S2515</f>
        <v>0</v>
      </c>
      <c r="U2515" s="7">
        <f>T2515*O2515</f>
        <v>0</v>
      </c>
    </row>
    <row r="2516" spans="1:21">
      <c r="A2516" s="4" t="s">
        <v>3706</v>
      </c>
      <c r="B2516" s="4" t="s">
        <v>3704</v>
      </c>
      <c r="C2516" s="5">
        <v>45956.4109375</v>
      </c>
      <c r="D2516" s="5">
        <v>45961</v>
      </c>
      <c r="E2516" s="6">
        <f>IF(AND(C2516&lt;&gt;"",D2516&lt;&gt;""),D2516-C2516,"")</f>
        <v>0</v>
      </c>
      <c r="F2516" s="4" t="s">
        <v>3707</v>
      </c>
      <c r="G2516" s="4"/>
      <c r="H2516" s="4"/>
      <c r="I2516" s="4" t="s">
        <v>56</v>
      </c>
      <c r="J2516" s="4">
        <v>3</v>
      </c>
      <c r="K2516" s="4">
        <v>3</v>
      </c>
      <c r="L2516" s="4">
        <f>J2516+K2516</f>
        <v>0</v>
      </c>
      <c r="M2516" s="4"/>
      <c r="N2516" s="4"/>
      <c r="O2516" s="4">
        <v>0</v>
      </c>
      <c r="P2516" s="4"/>
      <c r="Q2516" s="4"/>
      <c r="R2516" s="7">
        <v>0</v>
      </c>
      <c r="S2516" s="7">
        <v>0</v>
      </c>
      <c r="T2516" s="7">
        <f>R2516-S2516</f>
        <v>0</v>
      </c>
      <c r="U2516" s="7">
        <f>T2516*O2516</f>
        <v>0</v>
      </c>
    </row>
    <row r="2517" spans="1:21">
      <c r="A2517" s="4" t="s">
        <v>3708</v>
      </c>
      <c r="B2517" s="4" t="s">
        <v>39</v>
      </c>
      <c r="C2517" s="5">
        <v>45956.52302083333</v>
      </c>
      <c r="D2517" s="5">
        <v>45956</v>
      </c>
      <c r="E2517" s="6">
        <f>IF(AND(C2517&lt;&gt;"",D2517&lt;&gt;""),D2517-C2517,"")</f>
        <v>0</v>
      </c>
      <c r="F2517" s="4" t="s">
        <v>3709</v>
      </c>
      <c r="G2517" s="4" t="s">
        <v>3710</v>
      </c>
      <c r="H2517" s="4" t="s">
        <v>32</v>
      </c>
      <c r="I2517" s="4" t="s">
        <v>33</v>
      </c>
      <c r="J2517" s="4">
        <v>2</v>
      </c>
      <c r="K2517" s="4">
        <v>0</v>
      </c>
      <c r="L2517" s="4">
        <f>J2517+K2517</f>
        <v>0</v>
      </c>
      <c r="M2517" s="4" t="s">
        <v>42</v>
      </c>
      <c r="N2517" s="4"/>
      <c r="O2517" s="4">
        <v>2</v>
      </c>
      <c r="P2517" s="4" t="s">
        <v>135</v>
      </c>
      <c r="Q2517" s="4"/>
      <c r="R2517" s="7">
        <v>370000</v>
      </c>
      <c r="S2517" s="7">
        <v>0</v>
      </c>
      <c r="T2517" s="7">
        <f>R2517-S2517</f>
        <v>0</v>
      </c>
      <c r="U2517" s="7">
        <f>T2517*O2517</f>
        <v>0</v>
      </c>
    </row>
    <row r="2518" spans="1:21">
      <c r="A2518" s="4" t="s">
        <v>3708</v>
      </c>
      <c r="B2518" s="4" t="s">
        <v>39</v>
      </c>
      <c r="C2518" s="5">
        <v>45956.52302083333</v>
      </c>
      <c r="D2518" s="5">
        <v>45956</v>
      </c>
      <c r="E2518" s="6">
        <f>IF(AND(C2518&lt;&gt;"",D2518&lt;&gt;""),D2518-C2518,"")</f>
        <v>0</v>
      </c>
      <c r="F2518" s="4" t="s">
        <v>3709</v>
      </c>
      <c r="G2518" s="4" t="s">
        <v>3710</v>
      </c>
      <c r="H2518" s="4" t="s">
        <v>32</v>
      </c>
      <c r="I2518" s="4" t="s">
        <v>33</v>
      </c>
      <c r="J2518" s="4">
        <v>2</v>
      </c>
      <c r="K2518" s="4">
        <v>0</v>
      </c>
      <c r="L2518" s="4">
        <f>J2518+K2518</f>
        <v>0</v>
      </c>
      <c r="M2518" s="4" t="s">
        <v>80</v>
      </c>
      <c r="N2518" s="4"/>
      <c r="O2518" s="4">
        <v>2</v>
      </c>
      <c r="P2518" s="4" t="s">
        <v>135</v>
      </c>
      <c r="Q2518" s="4"/>
      <c r="R2518" s="7">
        <v>610000</v>
      </c>
      <c r="S2518" s="7">
        <v>0</v>
      </c>
      <c r="T2518" s="7">
        <f>R2518-S2518</f>
        <v>0</v>
      </c>
      <c r="U2518" s="7">
        <f>T2518*O2518</f>
        <v>0</v>
      </c>
    </row>
    <row r="2519" spans="1:21">
      <c r="A2519" s="4" t="s">
        <v>3711</v>
      </c>
      <c r="B2519" s="4" t="s">
        <v>39</v>
      </c>
      <c r="C2519" s="5">
        <v>45956.52824074074</v>
      </c>
      <c r="D2519" s="5">
        <v>45956</v>
      </c>
      <c r="E2519" s="6">
        <f>IF(AND(C2519&lt;&gt;"",D2519&lt;&gt;""),D2519-C2519,"")</f>
        <v>0</v>
      </c>
      <c r="F2519" s="4" t="s">
        <v>3712</v>
      </c>
      <c r="G2519" s="4" t="s">
        <v>3713</v>
      </c>
      <c r="H2519" s="4" t="s">
        <v>32</v>
      </c>
      <c r="I2519" s="4" t="s">
        <v>33</v>
      </c>
      <c r="J2519" s="4">
        <v>1</v>
      </c>
      <c r="K2519" s="4">
        <v>0</v>
      </c>
      <c r="L2519" s="4">
        <f>J2519+K2519</f>
        <v>0</v>
      </c>
      <c r="M2519" s="4" t="s">
        <v>80</v>
      </c>
      <c r="N2519" s="4"/>
      <c r="O2519" s="4">
        <v>1</v>
      </c>
      <c r="P2519" s="4" t="s">
        <v>135</v>
      </c>
      <c r="Q2519" s="4"/>
      <c r="R2519" s="7">
        <v>610000</v>
      </c>
      <c r="S2519" s="7">
        <v>0</v>
      </c>
      <c r="T2519" s="7">
        <f>R2519-S2519</f>
        <v>0</v>
      </c>
      <c r="U2519" s="7">
        <f>T2519*O2519</f>
        <v>0</v>
      </c>
    </row>
    <row r="2520" spans="1:21">
      <c r="A2520" s="4" t="s">
        <v>3711</v>
      </c>
      <c r="B2520" s="4" t="s">
        <v>39</v>
      </c>
      <c r="C2520" s="5">
        <v>45956.52824074074</v>
      </c>
      <c r="D2520" s="5">
        <v>45956</v>
      </c>
      <c r="E2520" s="6">
        <f>IF(AND(C2520&lt;&gt;"",D2520&lt;&gt;""),D2520-C2520,"")</f>
        <v>0</v>
      </c>
      <c r="F2520" s="4" t="s">
        <v>3712</v>
      </c>
      <c r="G2520" s="4" t="s">
        <v>3713</v>
      </c>
      <c r="H2520" s="4" t="s">
        <v>32</v>
      </c>
      <c r="I2520" s="4" t="s">
        <v>33</v>
      </c>
      <c r="J2520" s="4">
        <v>1</v>
      </c>
      <c r="K2520" s="4">
        <v>0</v>
      </c>
      <c r="L2520" s="4">
        <f>J2520+K2520</f>
        <v>0</v>
      </c>
      <c r="M2520" s="4" t="s">
        <v>42</v>
      </c>
      <c r="N2520" s="4"/>
      <c r="O2520" s="4">
        <v>1</v>
      </c>
      <c r="P2520" s="4" t="s">
        <v>135</v>
      </c>
      <c r="Q2520" s="4"/>
      <c r="R2520" s="7">
        <v>370000</v>
      </c>
      <c r="S2520" s="7">
        <v>0</v>
      </c>
      <c r="T2520" s="7">
        <f>R2520-S2520</f>
        <v>0</v>
      </c>
      <c r="U2520" s="7">
        <f>T2520*O2520</f>
        <v>0</v>
      </c>
    </row>
    <row r="2521" spans="1:21">
      <c r="A2521" s="4" t="s">
        <v>3711</v>
      </c>
      <c r="B2521" s="4" t="s">
        <v>39</v>
      </c>
      <c r="C2521" s="5">
        <v>45956.52824074074</v>
      </c>
      <c r="D2521" s="5">
        <v>45956</v>
      </c>
      <c r="E2521" s="6">
        <f>IF(AND(C2521&lt;&gt;"",D2521&lt;&gt;""),D2521-C2521,"")</f>
        <v>0</v>
      </c>
      <c r="F2521" s="4" t="s">
        <v>3712</v>
      </c>
      <c r="G2521" s="4" t="s">
        <v>3713</v>
      </c>
      <c r="H2521" s="4" t="s">
        <v>32</v>
      </c>
      <c r="I2521" s="4" t="s">
        <v>33</v>
      </c>
      <c r="J2521" s="4">
        <v>1</v>
      </c>
      <c r="K2521" s="4">
        <v>0</v>
      </c>
      <c r="L2521" s="4">
        <f>J2521+K2521</f>
        <v>0</v>
      </c>
      <c r="M2521" s="4" t="s">
        <v>80</v>
      </c>
      <c r="N2521" s="4"/>
      <c r="O2521" s="4">
        <v>1</v>
      </c>
      <c r="P2521" s="4" t="s">
        <v>135</v>
      </c>
      <c r="Q2521" s="4"/>
      <c r="R2521" s="7">
        <v>610000</v>
      </c>
      <c r="S2521" s="7">
        <v>0</v>
      </c>
      <c r="T2521" s="7">
        <f>R2521-S2521</f>
        <v>0</v>
      </c>
      <c r="U2521" s="7">
        <f>T2521*O2521</f>
        <v>0</v>
      </c>
    </row>
    <row r="2522" spans="1:21">
      <c r="A2522" s="4" t="s">
        <v>3711</v>
      </c>
      <c r="B2522" s="4" t="s">
        <v>39</v>
      </c>
      <c r="C2522" s="5">
        <v>45956.52824074074</v>
      </c>
      <c r="D2522" s="5">
        <v>45956</v>
      </c>
      <c r="E2522" s="6">
        <f>IF(AND(C2522&lt;&gt;"",D2522&lt;&gt;""),D2522-C2522,"")</f>
        <v>0</v>
      </c>
      <c r="F2522" s="4" t="s">
        <v>3712</v>
      </c>
      <c r="G2522" s="4" t="s">
        <v>3713</v>
      </c>
      <c r="H2522" s="4" t="s">
        <v>32</v>
      </c>
      <c r="I2522" s="4" t="s">
        <v>33</v>
      </c>
      <c r="J2522" s="4">
        <v>1</v>
      </c>
      <c r="K2522" s="4">
        <v>0</v>
      </c>
      <c r="L2522" s="4">
        <f>J2522+K2522</f>
        <v>0</v>
      </c>
      <c r="M2522" s="4" t="s">
        <v>42</v>
      </c>
      <c r="N2522" s="4"/>
      <c r="O2522" s="4">
        <v>1</v>
      </c>
      <c r="P2522" s="4" t="s">
        <v>135</v>
      </c>
      <c r="Q2522" s="4"/>
      <c r="R2522" s="7">
        <v>370000</v>
      </c>
      <c r="S2522" s="7">
        <v>0</v>
      </c>
      <c r="T2522" s="7">
        <f>R2522-S2522</f>
        <v>0</v>
      </c>
      <c r="U2522" s="7">
        <f>T2522*O2522</f>
        <v>0</v>
      </c>
    </row>
    <row r="2523" spans="1:21">
      <c r="A2523" s="4" t="s">
        <v>3714</v>
      </c>
      <c r="B2523" s="4" t="s">
        <v>39</v>
      </c>
      <c r="C2523" s="5">
        <v>45956.53315972222</v>
      </c>
      <c r="D2523" s="5">
        <v>45956</v>
      </c>
      <c r="E2523" s="6">
        <f>IF(AND(C2523&lt;&gt;"",D2523&lt;&gt;""),D2523-C2523,"")</f>
        <v>0</v>
      </c>
      <c r="F2523" s="4" t="s">
        <v>3715</v>
      </c>
      <c r="G2523" s="4" t="s">
        <v>3716</v>
      </c>
      <c r="H2523" s="4" t="s">
        <v>32</v>
      </c>
      <c r="I2523" s="4" t="s">
        <v>33</v>
      </c>
      <c r="J2523" s="4">
        <v>1</v>
      </c>
      <c r="K2523" s="4">
        <v>0</v>
      </c>
      <c r="L2523" s="4">
        <f>J2523+K2523</f>
        <v>0</v>
      </c>
      <c r="M2523" s="4" t="s">
        <v>80</v>
      </c>
      <c r="N2523" s="4"/>
      <c r="O2523" s="4">
        <v>1</v>
      </c>
      <c r="P2523" s="4" t="s">
        <v>135</v>
      </c>
      <c r="Q2523" s="4"/>
      <c r="R2523" s="7">
        <v>610000</v>
      </c>
      <c r="S2523" s="7">
        <v>61000</v>
      </c>
      <c r="T2523" s="7">
        <f>R2523-S2523</f>
        <v>0</v>
      </c>
      <c r="U2523" s="7">
        <f>T2523*O2523</f>
        <v>0</v>
      </c>
    </row>
    <row r="2524" spans="1:21">
      <c r="A2524" s="4" t="s">
        <v>3717</v>
      </c>
      <c r="B2524" s="4" t="s">
        <v>39</v>
      </c>
      <c r="C2524" s="5">
        <v>45956.54525462963</v>
      </c>
      <c r="D2524" s="5">
        <v>45956</v>
      </c>
      <c r="E2524" s="6">
        <f>IF(AND(C2524&lt;&gt;"",D2524&lt;&gt;""),D2524-C2524,"")</f>
        <v>0</v>
      </c>
      <c r="F2524" s="4" t="s">
        <v>3718</v>
      </c>
      <c r="G2524" s="4" t="s">
        <v>3719</v>
      </c>
      <c r="H2524" s="4" t="s">
        <v>32</v>
      </c>
      <c r="I2524" s="4" t="s">
        <v>33</v>
      </c>
      <c r="J2524" s="4">
        <v>0</v>
      </c>
      <c r="K2524" s="4">
        <v>0</v>
      </c>
      <c r="L2524" s="4">
        <f>J2524+K2524</f>
        <v>0</v>
      </c>
      <c r="M2524" s="4" t="s">
        <v>370</v>
      </c>
      <c r="N2524" s="4"/>
      <c r="O2524" s="4">
        <v>1</v>
      </c>
      <c r="P2524" s="4" t="s">
        <v>135</v>
      </c>
      <c r="Q2524" s="4"/>
      <c r="R2524" s="7">
        <v>4000000</v>
      </c>
      <c r="S2524" s="7">
        <v>0</v>
      </c>
      <c r="T2524" s="7">
        <f>R2524-S2524</f>
        <v>0</v>
      </c>
      <c r="U2524" s="7">
        <f>T2524*O2524</f>
        <v>0</v>
      </c>
    </row>
    <row r="2525" spans="1:21">
      <c r="A2525" s="4" t="s">
        <v>3720</v>
      </c>
      <c r="B2525" s="4" t="s">
        <v>39</v>
      </c>
      <c r="C2525" s="5">
        <v>45956.59422453704</v>
      </c>
      <c r="D2525" s="5">
        <v>45956</v>
      </c>
      <c r="E2525" s="6">
        <f>IF(AND(C2525&lt;&gt;"",D2525&lt;&gt;""),D2525-C2525,"")</f>
        <v>0</v>
      </c>
      <c r="F2525" s="4" t="s">
        <v>3721</v>
      </c>
      <c r="G2525" s="4" t="s">
        <v>3722</v>
      </c>
      <c r="H2525" s="4" t="s">
        <v>32</v>
      </c>
      <c r="I2525" s="4" t="s">
        <v>33</v>
      </c>
      <c r="J2525" s="4">
        <v>1</v>
      </c>
      <c r="K2525" s="4">
        <v>0</v>
      </c>
      <c r="L2525" s="4">
        <f>J2525+K2525</f>
        <v>0</v>
      </c>
      <c r="M2525" s="4" t="s">
        <v>42</v>
      </c>
      <c r="N2525" s="4"/>
      <c r="O2525" s="4">
        <v>1</v>
      </c>
      <c r="P2525" s="4" t="s">
        <v>135</v>
      </c>
      <c r="Q2525" s="4"/>
      <c r="R2525" s="7">
        <v>370000</v>
      </c>
      <c r="S2525" s="7">
        <v>0</v>
      </c>
      <c r="T2525" s="7">
        <f>R2525-S2525</f>
        <v>0</v>
      </c>
      <c r="U2525" s="7">
        <f>T2525*O2525</f>
        <v>0</v>
      </c>
    </row>
    <row r="2526" spans="1:21">
      <c r="A2526" s="4" t="s">
        <v>3720</v>
      </c>
      <c r="B2526" s="4" t="s">
        <v>39</v>
      </c>
      <c r="C2526" s="5">
        <v>45956.59422453704</v>
      </c>
      <c r="D2526" s="5">
        <v>45956</v>
      </c>
      <c r="E2526" s="6">
        <f>IF(AND(C2526&lt;&gt;"",D2526&lt;&gt;""),D2526-C2526,"")</f>
        <v>0</v>
      </c>
      <c r="F2526" s="4" t="s">
        <v>3721</v>
      </c>
      <c r="G2526" s="4" t="s">
        <v>3722</v>
      </c>
      <c r="H2526" s="4" t="s">
        <v>32</v>
      </c>
      <c r="I2526" s="4" t="s">
        <v>33</v>
      </c>
      <c r="J2526" s="4">
        <v>0</v>
      </c>
      <c r="K2526" s="4">
        <v>0</v>
      </c>
      <c r="L2526" s="4">
        <f>J2526+K2526</f>
        <v>0</v>
      </c>
      <c r="M2526" s="4" t="s">
        <v>370</v>
      </c>
      <c r="N2526" s="4"/>
      <c r="O2526" s="4">
        <v>1</v>
      </c>
      <c r="P2526" s="4" t="s">
        <v>135</v>
      </c>
      <c r="Q2526" s="4"/>
      <c r="R2526" s="7">
        <v>1200000</v>
      </c>
      <c r="S2526" s="7">
        <v>0</v>
      </c>
      <c r="T2526" s="7">
        <f>R2526-S2526</f>
        <v>0</v>
      </c>
      <c r="U2526" s="7">
        <f>T2526*O2526</f>
        <v>0</v>
      </c>
    </row>
    <row r="2527" spans="1:21">
      <c r="A2527" s="4" t="s">
        <v>3720</v>
      </c>
      <c r="B2527" s="4" t="s">
        <v>39</v>
      </c>
      <c r="C2527" s="5">
        <v>45956.59422453704</v>
      </c>
      <c r="D2527" s="5">
        <v>45956</v>
      </c>
      <c r="E2527" s="6">
        <f>IF(AND(C2527&lt;&gt;"",D2527&lt;&gt;""),D2527-C2527,"")</f>
        <v>0</v>
      </c>
      <c r="F2527" s="4" t="s">
        <v>3721</v>
      </c>
      <c r="G2527" s="4" t="s">
        <v>3722</v>
      </c>
      <c r="H2527" s="4" t="s">
        <v>32</v>
      </c>
      <c r="I2527" s="4" t="s">
        <v>33</v>
      </c>
      <c r="J2527" s="4">
        <v>1</v>
      </c>
      <c r="K2527" s="4">
        <v>0</v>
      </c>
      <c r="L2527" s="4">
        <f>J2527+K2527</f>
        <v>0</v>
      </c>
      <c r="M2527" s="4" t="s">
        <v>42</v>
      </c>
      <c r="N2527" s="4"/>
      <c r="O2527" s="4">
        <v>1</v>
      </c>
      <c r="P2527" s="4" t="s">
        <v>135</v>
      </c>
      <c r="Q2527" s="4"/>
      <c r="R2527" s="7">
        <v>370000</v>
      </c>
      <c r="S2527" s="7">
        <v>0</v>
      </c>
      <c r="T2527" s="7">
        <f>R2527-S2527</f>
        <v>0</v>
      </c>
      <c r="U2527" s="7">
        <f>T2527*O2527</f>
        <v>0</v>
      </c>
    </row>
    <row r="2528" spans="1:21">
      <c r="A2528" s="4" t="s">
        <v>3720</v>
      </c>
      <c r="B2528" s="4" t="s">
        <v>39</v>
      </c>
      <c r="C2528" s="5">
        <v>45956.59422453704</v>
      </c>
      <c r="D2528" s="5">
        <v>45956</v>
      </c>
      <c r="E2528" s="6">
        <f>IF(AND(C2528&lt;&gt;"",D2528&lt;&gt;""),D2528-C2528,"")</f>
        <v>0</v>
      </c>
      <c r="F2528" s="4" t="s">
        <v>3721</v>
      </c>
      <c r="G2528" s="4" t="s">
        <v>3722</v>
      </c>
      <c r="H2528" s="4" t="s">
        <v>32</v>
      </c>
      <c r="I2528" s="4" t="s">
        <v>33</v>
      </c>
      <c r="J2528" s="4">
        <v>2</v>
      </c>
      <c r="K2528" s="4">
        <v>0</v>
      </c>
      <c r="L2528" s="4">
        <f>J2528+K2528</f>
        <v>0</v>
      </c>
      <c r="M2528" s="4" t="s">
        <v>80</v>
      </c>
      <c r="N2528" s="4"/>
      <c r="O2528" s="4">
        <v>2</v>
      </c>
      <c r="P2528" s="4" t="s">
        <v>135</v>
      </c>
      <c r="Q2528" s="4"/>
      <c r="R2528" s="7">
        <v>610000</v>
      </c>
      <c r="S2528" s="7">
        <v>0</v>
      </c>
      <c r="T2528" s="7">
        <f>R2528-S2528</f>
        <v>0</v>
      </c>
      <c r="U2528" s="7">
        <f>T2528*O2528</f>
        <v>0</v>
      </c>
    </row>
    <row r="2529" spans="1:21">
      <c r="A2529" s="4" t="s">
        <v>3723</v>
      </c>
      <c r="B2529" s="4" t="s">
        <v>39</v>
      </c>
      <c r="C2529" s="5">
        <v>45956.71611111111</v>
      </c>
      <c r="D2529" s="5">
        <v>45956</v>
      </c>
      <c r="E2529" s="6">
        <f>IF(AND(C2529&lt;&gt;"",D2529&lt;&gt;""),D2529-C2529,"")</f>
        <v>0</v>
      </c>
      <c r="F2529" s="4" t="s">
        <v>3724</v>
      </c>
      <c r="G2529" s="4" t="s">
        <v>3725</v>
      </c>
      <c r="H2529" s="4" t="s">
        <v>32</v>
      </c>
      <c r="I2529" s="4" t="s">
        <v>33</v>
      </c>
      <c r="J2529" s="4">
        <v>0</v>
      </c>
      <c r="K2529" s="4">
        <v>2</v>
      </c>
      <c r="L2529" s="4">
        <f>J2529+K2529</f>
        <v>0</v>
      </c>
      <c r="M2529" s="4" t="s">
        <v>46</v>
      </c>
      <c r="N2529" s="4"/>
      <c r="O2529" s="4">
        <v>2</v>
      </c>
      <c r="P2529" s="4" t="s">
        <v>135</v>
      </c>
      <c r="Q2529" s="4"/>
      <c r="R2529" s="7">
        <v>325000</v>
      </c>
      <c r="S2529" s="7">
        <v>0</v>
      </c>
      <c r="T2529" s="7">
        <f>R2529-S2529</f>
        <v>0</v>
      </c>
      <c r="U2529" s="7">
        <f>T2529*O2529</f>
        <v>0</v>
      </c>
    </row>
    <row r="2530" spans="1:21">
      <c r="A2530" s="4" t="s">
        <v>3723</v>
      </c>
      <c r="B2530" s="4" t="s">
        <v>39</v>
      </c>
      <c r="C2530" s="5">
        <v>45956.71611111111</v>
      </c>
      <c r="D2530" s="5">
        <v>45956</v>
      </c>
      <c r="E2530" s="6">
        <f>IF(AND(C2530&lt;&gt;"",D2530&lt;&gt;""),D2530-C2530,"")</f>
        <v>0</v>
      </c>
      <c r="F2530" s="4" t="s">
        <v>3724</v>
      </c>
      <c r="G2530" s="4" t="s">
        <v>3725</v>
      </c>
      <c r="H2530" s="4" t="s">
        <v>32</v>
      </c>
      <c r="I2530" s="4" t="s">
        <v>33</v>
      </c>
      <c r="J2530" s="4">
        <v>0</v>
      </c>
      <c r="K2530" s="4">
        <v>2</v>
      </c>
      <c r="L2530" s="4">
        <f>J2530+K2530</f>
        <v>0</v>
      </c>
      <c r="M2530" s="4" t="s">
        <v>81</v>
      </c>
      <c r="N2530" s="4"/>
      <c r="O2530" s="4">
        <v>2</v>
      </c>
      <c r="P2530" s="4" t="s">
        <v>135</v>
      </c>
      <c r="Q2530" s="4"/>
      <c r="R2530" s="7">
        <v>495000</v>
      </c>
      <c r="S2530" s="7">
        <v>0</v>
      </c>
      <c r="T2530" s="7">
        <f>R2530-S2530</f>
        <v>0</v>
      </c>
      <c r="U2530" s="7">
        <f>T2530*O2530</f>
        <v>0</v>
      </c>
    </row>
    <row r="2531" spans="1:21">
      <c r="A2531" s="4" t="s">
        <v>3723</v>
      </c>
      <c r="B2531" s="4" t="s">
        <v>39</v>
      </c>
      <c r="C2531" s="5">
        <v>45956.71611111111</v>
      </c>
      <c r="D2531" s="5">
        <v>45956</v>
      </c>
      <c r="E2531" s="6">
        <f>IF(AND(C2531&lt;&gt;"",D2531&lt;&gt;""),D2531-C2531,"")</f>
        <v>0</v>
      </c>
      <c r="F2531" s="4" t="s">
        <v>3724</v>
      </c>
      <c r="G2531" s="4" t="s">
        <v>3725</v>
      </c>
      <c r="H2531" s="4" t="s">
        <v>32</v>
      </c>
      <c r="I2531" s="4" t="s">
        <v>33</v>
      </c>
      <c r="J2531" s="4">
        <v>2</v>
      </c>
      <c r="K2531" s="4">
        <v>0</v>
      </c>
      <c r="L2531" s="4">
        <f>J2531+K2531</f>
        <v>0</v>
      </c>
      <c r="M2531" s="4" t="s">
        <v>80</v>
      </c>
      <c r="N2531" s="4"/>
      <c r="O2531" s="4">
        <v>2</v>
      </c>
      <c r="P2531" s="4" t="s">
        <v>135</v>
      </c>
      <c r="Q2531" s="4"/>
      <c r="R2531" s="7">
        <v>610000</v>
      </c>
      <c r="S2531" s="7">
        <v>0</v>
      </c>
      <c r="T2531" s="7">
        <f>R2531-S2531</f>
        <v>0</v>
      </c>
      <c r="U2531" s="7">
        <f>T2531*O2531</f>
        <v>0</v>
      </c>
    </row>
    <row r="2532" spans="1:21">
      <c r="A2532" s="4" t="s">
        <v>3723</v>
      </c>
      <c r="B2532" s="4" t="s">
        <v>39</v>
      </c>
      <c r="C2532" s="5">
        <v>45956.71611111111</v>
      </c>
      <c r="D2532" s="5">
        <v>45956</v>
      </c>
      <c r="E2532" s="6">
        <f>IF(AND(C2532&lt;&gt;"",D2532&lt;&gt;""),D2532-C2532,"")</f>
        <v>0</v>
      </c>
      <c r="F2532" s="4" t="s">
        <v>3724</v>
      </c>
      <c r="G2532" s="4" t="s">
        <v>3725</v>
      </c>
      <c r="H2532" s="4" t="s">
        <v>32</v>
      </c>
      <c r="I2532" s="4" t="s">
        <v>33</v>
      </c>
      <c r="J2532" s="4">
        <v>2</v>
      </c>
      <c r="K2532" s="4">
        <v>0</v>
      </c>
      <c r="L2532" s="4">
        <f>J2532+K2532</f>
        <v>0</v>
      </c>
      <c r="M2532" s="4" t="s">
        <v>42</v>
      </c>
      <c r="N2532" s="4"/>
      <c r="O2532" s="4">
        <v>2</v>
      </c>
      <c r="P2532" s="4" t="s">
        <v>135</v>
      </c>
      <c r="Q2532" s="4"/>
      <c r="R2532" s="7">
        <v>370000</v>
      </c>
      <c r="S2532" s="7">
        <v>0</v>
      </c>
      <c r="T2532" s="7">
        <f>R2532-S2532</f>
        <v>0</v>
      </c>
      <c r="U2532" s="7">
        <f>T2532*O2532</f>
        <v>0</v>
      </c>
    </row>
    <row r="2533" spans="1:21">
      <c r="A2533" s="4" t="s">
        <v>3726</v>
      </c>
      <c r="B2533" s="4" t="s">
        <v>39</v>
      </c>
      <c r="C2533" s="5">
        <v>45957.08479166667</v>
      </c>
      <c r="D2533" s="5">
        <v>45957</v>
      </c>
      <c r="E2533" s="6">
        <f>IF(AND(C2533&lt;&gt;"",D2533&lt;&gt;""),D2533-C2533,"")</f>
        <v>0</v>
      </c>
      <c r="F2533" s="4" t="s">
        <v>3727</v>
      </c>
      <c r="G2533" s="4" t="s">
        <v>3728</v>
      </c>
      <c r="H2533" s="4" t="s">
        <v>32</v>
      </c>
      <c r="I2533" s="4" t="s">
        <v>33</v>
      </c>
      <c r="J2533" s="4">
        <v>0</v>
      </c>
      <c r="K2533" s="4">
        <v>0</v>
      </c>
      <c r="L2533" s="4">
        <f>J2533+K2533</f>
        <v>0</v>
      </c>
      <c r="M2533" s="4" t="s">
        <v>370</v>
      </c>
      <c r="N2533" s="4"/>
      <c r="O2533" s="4">
        <v>1</v>
      </c>
      <c r="P2533" s="4" t="s">
        <v>135</v>
      </c>
      <c r="Q2533" s="4" t="s">
        <v>44</v>
      </c>
      <c r="R2533" s="7">
        <v>1500000</v>
      </c>
      <c r="S2533" s="7">
        <v>0</v>
      </c>
      <c r="T2533" s="7">
        <f>R2533-S2533</f>
        <v>0</v>
      </c>
      <c r="U2533" s="7">
        <f>T2533*O2533</f>
        <v>0</v>
      </c>
    </row>
    <row r="2534" spans="1:21">
      <c r="A2534" s="4" t="s">
        <v>3729</v>
      </c>
      <c r="B2534" s="4" t="s">
        <v>39</v>
      </c>
      <c r="C2534" s="5">
        <v>45957.09248842593</v>
      </c>
      <c r="D2534" s="5">
        <v>45957</v>
      </c>
      <c r="E2534" s="6">
        <f>IF(AND(C2534&lt;&gt;"",D2534&lt;&gt;""),D2534-C2534,"")</f>
        <v>0</v>
      </c>
      <c r="F2534" s="4" t="s">
        <v>3721</v>
      </c>
      <c r="G2534" s="4" t="s">
        <v>3730</v>
      </c>
      <c r="H2534" s="4" t="s">
        <v>32</v>
      </c>
      <c r="I2534" s="4" t="s">
        <v>33</v>
      </c>
      <c r="J2534" s="4">
        <v>0</v>
      </c>
      <c r="K2534" s="4">
        <v>0</v>
      </c>
      <c r="L2534" s="4">
        <f>J2534+K2534</f>
        <v>0</v>
      </c>
      <c r="M2534" s="4" t="s">
        <v>370</v>
      </c>
      <c r="N2534" s="4"/>
      <c r="O2534" s="4">
        <v>1</v>
      </c>
      <c r="P2534" s="4" t="s">
        <v>135</v>
      </c>
      <c r="Q2534" s="4" t="s">
        <v>44</v>
      </c>
      <c r="R2534" s="7">
        <v>2000000</v>
      </c>
      <c r="S2534" s="7">
        <v>0</v>
      </c>
      <c r="T2534" s="7">
        <f>R2534-S2534</f>
        <v>0</v>
      </c>
      <c r="U2534" s="7">
        <f>T2534*O2534</f>
        <v>0</v>
      </c>
    </row>
    <row r="2535" spans="1:21">
      <c r="A2535" s="4" t="s">
        <v>3731</v>
      </c>
      <c r="B2535" s="4" t="s">
        <v>39</v>
      </c>
      <c r="C2535" s="5">
        <v>45957.09596064815</v>
      </c>
      <c r="D2535" s="5">
        <v>45957</v>
      </c>
      <c r="E2535" s="6">
        <f>IF(AND(C2535&lt;&gt;"",D2535&lt;&gt;""),D2535-C2535,"")</f>
        <v>0</v>
      </c>
      <c r="F2535" s="4" t="s">
        <v>3732</v>
      </c>
      <c r="G2535" s="4" t="s">
        <v>3733</v>
      </c>
      <c r="H2535" s="4" t="s">
        <v>32</v>
      </c>
      <c r="I2535" s="4" t="s">
        <v>33</v>
      </c>
      <c r="J2535" s="4">
        <v>0</v>
      </c>
      <c r="K2535" s="4">
        <v>0</v>
      </c>
      <c r="L2535" s="4">
        <f>J2535+K2535</f>
        <v>0</v>
      </c>
      <c r="M2535" s="4" t="s">
        <v>370</v>
      </c>
      <c r="N2535" s="4"/>
      <c r="O2535" s="4">
        <v>1</v>
      </c>
      <c r="P2535" s="4" t="s">
        <v>135</v>
      </c>
      <c r="Q2535" s="4" t="s">
        <v>44</v>
      </c>
      <c r="R2535" s="7">
        <v>1000000</v>
      </c>
      <c r="S2535" s="7">
        <v>0</v>
      </c>
      <c r="T2535" s="7">
        <f>R2535-S2535</f>
        <v>0</v>
      </c>
      <c r="U2535" s="7">
        <f>T2535*O2535</f>
        <v>0</v>
      </c>
    </row>
    <row r="2536" spans="1:21">
      <c r="A2536" s="4" t="s">
        <v>3734</v>
      </c>
      <c r="B2536" s="4" t="s">
        <v>39</v>
      </c>
      <c r="C2536" s="5">
        <v>45957.10299768519</v>
      </c>
      <c r="D2536" s="5">
        <v>45957</v>
      </c>
      <c r="E2536" s="6">
        <f>IF(AND(C2536&lt;&gt;"",D2536&lt;&gt;""),D2536-C2536,"")</f>
        <v>0</v>
      </c>
      <c r="F2536" s="4" t="s">
        <v>3732</v>
      </c>
      <c r="G2536" s="4" t="s">
        <v>3735</v>
      </c>
      <c r="H2536" s="4" t="s">
        <v>32</v>
      </c>
      <c r="I2536" s="4" t="s">
        <v>33</v>
      </c>
      <c r="J2536" s="4">
        <v>0</v>
      </c>
      <c r="K2536" s="4">
        <v>0</v>
      </c>
      <c r="L2536" s="4">
        <f>J2536+K2536</f>
        <v>0</v>
      </c>
      <c r="M2536" s="4" t="s">
        <v>370</v>
      </c>
      <c r="N2536" s="4"/>
      <c r="O2536" s="4">
        <v>1</v>
      </c>
      <c r="P2536" s="4" t="s">
        <v>135</v>
      </c>
      <c r="Q2536" s="4" t="s">
        <v>44</v>
      </c>
      <c r="R2536" s="7">
        <v>2000000</v>
      </c>
      <c r="S2536" s="7">
        <v>0</v>
      </c>
      <c r="T2536" s="7">
        <f>R2536-S2536</f>
        <v>0</v>
      </c>
      <c r="U2536" s="7">
        <f>T2536*O2536</f>
        <v>0</v>
      </c>
    </row>
    <row r="2537" spans="1:21">
      <c r="A2537" s="4" t="s">
        <v>3736</v>
      </c>
      <c r="B2537" s="4" t="s">
        <v>39</v>
      </c>
      <c r="C2537" s="5">
        <v>45957.12717592593</v>
      </c>
      <c r="D2537" s="5">
        <v>45957</v>
      </c>
      <c r="E2537" s="6">
        <f>IF(AND(C2537&lt;&gt;"",D2537&lt;&gt;""),D2537-C2537,"")</f>
        <v>0</v>
      </c>
      <c r="F2537" s="4" t="s">
        <v>3737</v>
      </c>
      <c r="G2537" s="4" t="s">
        <v>3738</v>
      </c>
      <c r="H2537" s="4" t="s">
        <v>32</v>
      </c>
      <c r="I2537" s="4" t="s">
        <v>33</v>
      </c>
      <c r="J2537" s="4">
        <v>3</v>
      </c>
      <c r="K2537" s="4">
        <v>0</v>
      </c>
      <c r="L2537" s="4">
        <f>J2537+K2537</f>
        <v>0</v>
      </c>
      <c r="M2537" s="4" t="s">
        <v>80</v>
      </c>
      <c r="N2537" s="4"/>
      <c r="O2537" s="4">
        <v>3</v>
      </c>
      <c r="P2537" s="4" t="s">
        <v>135</v>
      </c>
      <c r="Q2537" s="4" t="s">
        <v>44</v>
      </c>
      <c r="R2537" s="7">
        <v>610000</v>
      </c>
      <c r="S2537" s="7">
        <v>0</v>
      </c>
      <c r="T2537" s="7">
        <f>R2537-S2537</f>
        <v>0</v>
      </c>
      <c r="U2537" s="7">
        <f>T2537*O2537</f>
        <v>0</v>
      </c>
    </row>
    <row r="2538" spans="1:21">
      <c r="A2538" s="4" t="s">
        <v>3739</v>
      </c>
      <c r="B2538" s="4" t="s">
        <v>39</v>
      </c>
      <c r="C2538" s="5">
        <v>45957.13197916667</v>
      </c>
      <c r="D2538" s="5">
        <v>45957</v>
      </c>
      <c r="E2538" s="6">
        <f>IF(AND(C2538&lt;&gt;"",D2538&lt;&gt;""),D2538-C2538,"")</f>
        <v>0</v>
      </c>
      <c r="F2538" s="4" t="s">
        <v>3740</v>
      </c>
      <c r="G2538" s="4" t="s">
        <v>3741</v>
      </c>
      <c r="H2538" s="4" t="s">
        <v>32</v>
      </c>
      <c r="I2538" s="4" t="s">
        <v>33</v>
      </c>
      <c r="J2538" s="4">
        <v>1</v>
      </c>
      <c r="K2538" s="4">
        <v>0</v>
      </c>
      <c r="L2538" s="4">
        <f>J2538+K2538</f>
        <v>0</v>
      </c>
      <c r="M2538" s="4" t="s">
        <v>80</v>
      </c>
      <c r="N2538" s="4"/>
      <c r="O2538" s="4">
        <v>1</v>
      </c>
      <c r="P2538" s="4" t="s">
        <v>135</v>
      </c>
      <c r="Q2538" s="4" t="s">
        <v>44</v>
      </c>
      <c r="R2538" s="7">
        <v>610000</v>
      </c>
      <c r="S2538" s="7">
        <v>0</v>
      </c>
      <c r="T2538" s="7">
        <f>R2538-S2538</f>
        <v>0</v>
      </c>
      <c r="U2538" s="7">
        <f>T2538*O2538</f>
        <v>0</v>
      </c>
    </row>
    <row r="2539" spans="1:21">
      <c r="A2539" s="4" t="s">
        <v>3739</v>
      </c>
      <c r="B2539" s="4" t="s">
        <v>39</v>
      </c>
      <c r="C2539" s="5">
        <v>45957.13197916667</v>
      </c>
      <c r="D2539" s="5">
        <v>45957</v>
      </c>
      <c r="E2539" s="6">
        <f>IF(AND(C2539&lt;&gt;"",D2539&lt;&gt;""),D2539-C2539,"")</f>
        <v>0</v>
      </c>
      <c r="F2539" s="4" t="s">
        <v>3740</v>
      </c>
      <c r="G2539" s="4" t="s">
        <v>3741</v>
      </c>
      <c r="H2539" s="4" t="s">
        <v>32</v>
      </c>
      <c r="I2539" s="4" t="s">
        <v>33</v>
      </c>
      <c r="J2539" s="4">
        <v>1</v>
      </c>
      <c r="K2539" s="4">
        <v>0</v>
      </c>
      <c r="L2539" s="4">
        <f>J2539+K2539</f>
        <v>0</v>
      </c>
      <c r="M2539" s="4" t="s">
        <v>80</v>
      </c>
      <c r="N2539" s="4"/>
      <c r="O2539" s="4">
        <v>1</v>
      </c>
      <c r="P2539" s="4" t="s">
        <v>135</v>
      </c>
      <c r="Q2539" s="4" t="s">
        <v>44</v>
      </c>
      <c r="R2539" s="7">
        <v>610000</v>
      </c>
      <c r="S2539" s="7">
        <v>0</v>
      </c>
      <c r="T2539" s="7">
        <f>R2539-S2539</f>
        <v>0</v>
      </c>
      <c r="U2539" s="7">
        <f>T2539*O2539</f>
        <v>0</v>
      </c>
    </row>
    <row r="2540" spans="1:21">
      <c r="A2540" s="4" t="s">
        <v>3739</v>
      </c>
      <c r="B2540" s="4" t="s">
        <v>39</v>
      </c>
      <c r="C2540" s="5">
        <v>45957.13197916667</v>
      </c>
      <c r="D2540" s="5">
        <v>45957</v>
      </c>
      <c r="E2540" s="6">
        <f>IF(AND(C2540&lt;&gt;"",D2540&lt;&gt;""),D2540-C2540,"")</f>
        <v>0</v>
      </c>
      <c r="F2540" s="4" t="s">
        <v>3740</v>
      </c>
      <c r="G2540" s="4" t="s">
        <v>3741</v>
      </c>
      <c r="H2540" s="4" t="s">
        <v>32</v>
      </c>
      <c r="I2540" s="4" t="s">
        <v>33</v>
      </c>
      <c r="J2540" s="4">
        <v>1</v>
      </c>
      <c r="K2540" s="4">
        <v>0</v>
      </c>
      <c r="L2540" s="4">
        <f>J2540+K2540</f>
        <v>0</v>
      </c>
      <c r="M2540" s="4" t="s">
        <v>80</v>
      </c>
      <c r="N2540" s="4"/>
      <c r="O2540" s="4">
        <v>1</v>
      </c>
      <c r="P2540" s="4" t="s">
        <v>135</v>
      </c>
      <c r="Q2540" s="4" t="s">
        <v>44</v>
      </c>
      <c r="R2540" s="7">
        <v>610000</v>
      </c>
      <c r="S2540" s="7">
        <v>0</v>
      </c>
      <c r="T2540" s="7">
        <f>R2540-S2540</f>
        <v>0</v>
      </c>
      <c r="U2540" s="7">
        <f>T2540*O2540</f>
        <v>0</v>
      </c>
    </row>
    <row r="2541" spans="1:21">
      <c r="A2541" s="4" t="s">
        <v>3742</v>
      </c>
      <c r="B2541" s="4" t="s">
        <v>39</v>
      </c>
      <c r="C2541" s="5">
        <v>45957.13615740741</v>
      </c>
      <c r="D2541" s="5">
        <v>45957</v>
      </c>
      <c r="E2541" s="6">
        <f>IF(AND(C2541&lt;&gt;"",D2541&lt;&gt;""),D2541-C2541,"")</f>
        <v>0</v>
      </c>
      <c r="F2541" s="4" t="s">
        <v>3743</v>
      </c>
      <c r="G2541" s="4" t="s">
        <v>3744</v>
      </c>
      <c r="H2541" s="4" t="s">
        <v>32</v>
      </c>
      <c r="I2541" s="4" t="s">
        <v>33</v>
      </c>
      <c r="J2541" s="4">
        <v>0</v>
      </c>
      <c r="K2541" s="4">
        <v>0</v>
      </c>
      <c r="L2541" s="4">
        <f>J2541+K2541</f>
        <v>0</v>
      </c>
      <c r="M2541" s="4" t="s">
        <v>370</v>
      </c>
      <c r="N2541" s="4"/>
      <c r="O2541" s="4">
        <v>1</v>
      </c>
      <c r="P2541" s="4" t="s">
        <v>135</v>
      </c>
      <c r="Q2541" s="4" t="s">
        <v>44</v>
      </c>
      <c r="R2541" s="7">
        <v>2000000</v>
      </c>
      <c r="S2541" s="7">
        <v>0</v>
      </c>
      <c r="T2541" s="7">
        <f>R2541-S2541</f>
        <v>0</v>
      </c>
      <c r="U2541" s="7">
        <f>T2541*O2541</f>
        <v>0</v>
      </c>
    </row>
    <row r="2542" spans="1:21">
      <c r="A2542" s="4" t="s">
        <v>3745</v>
      </c>
      <c r="B2542" s="4" t="s">
        <v>39</v>
      </c>
      <c r="C2542" s="5">
        <v>45957.13960648148</v>
      </c>
      <c r="D2542" s="5">
        <v>45957</v>
      </c>
      <c r="E2542" s="6">
        <f>IF(AND(C2542&lt;&gt;"",D2542&lt;&gt;""),D2542-C2542,"")</f>
        <v>0</v>
      </c>
      <c r="F2542" s="4" t="s">
        <v>3746</v>
      </c>
      <c r="G2542" s="4" t="s">
        <v>3747</v>
      </c>
      <c r="H2542" s="4" t="s">
        <v>32</v>
      </c>
      <c r="I2542" s="4" t="s">
        <v>33</v>
      </c>
      <c r="J2542" s="4">
        <v>0</v>
      </c>
      <c r="K2542" s="4">
        <v>0</v>
      </c>
      <c r="L2542" s="4">
        <f>J2542+K2542</f>
        <v>0</v>
      </c>
      <c r="M2542" s="4" t="s">
        <v>370</v>
      </c>
      <c r="N2542" s="4"/>
      <c r="O2542" s="4">
        <v>1</v>
      </c>
      <c r="P2542" s="4" t="s">
        <v>135</v>
      </c>
      <c r="Q2542" s="4" t="s">
        <v>44</v>
      </c>
      <c r="R2542" s="7">
        <v>2000000</v>
      </c>
      <c r="S2542" s="7">
        <v>0</v>
      </c>
      <c r="T2542" s="7">
        <f>R2542-S2542</f>
        <v>0</v>
      </c>
      <c r="U2542" s="7">
        <f>T2542*O2542</f>
        <v>0</v>
      </c>
    </row>
    <row r="2543" spans="1:21">
      <c r="A2543" s="4" t="s">
        <v>3748</v>
      </c>
      <c r="B2543" s="4" t="s">
        <v>39</v>
      </c>
      <c r="C2543" s="5">
        <v>45957.14783564815</v>
      </c>
      <c r="D2543" s="5">
        <v>45957</v>
      </c>
      <c r="E2543" s="6">
        <f>IF(AND(C2543&lt;&gt;"",D2543&lt;&gt;""),D2543-C2543,"")</f>
        <v>0</v>
      </c>
      <c r="F2543" s="4" t="s">
        <v>3749</v>
      </c>
      <c r="G2543" s="4" t="s">
        <v>3750</v>
      </c>
      <c r="H2543" s="4" t="s">
        <v>32</v>
      </c>
      <c r="I2543" s="4" t="s">
        <v>33</v>
      </c>
      <c r="J2543" s="4">
        <v>1</v>
      </c>
      <c r="K2543" s="4">
        <v>0</v>
      </c>
      <c r="L2543" s="4">
        <f>J2543+K2543</f>
        <v>0</v>
      </c>
      <c r="M2543" s="4" t="s">
        <v>42</v>
      </c>
      <c r="N2543" s="4"/>
      <c r="O2543" s="4">
        <v>1</v>
      </c>
      <c r="P2543" s="4" t="s">
        <v>135</v>
      </c>
      <c r="Q2543" s="4" t="s">
        <v>44</v>
      </c>
      <c r="R2543" s="7">
        <v>370000</v>
      </c>
      <c r="S2543" s="7">
        <v>0</v>
      </c>
      <c r="T2543" s="7">
        <f>R2543-S2543</f>
        <v>0</v>
      </c>
      <c r="U2543" s="7">
        <f>T2543*O2543</f>
        <v>0</v>
      </c>
    </row>
    <row r="2544" spans="1:21">
      <c r="A2544" s="4" t="s">
        <v>3748</v>
      </c>
      <c r="B2544" s="4" t="s">
        <v>39</v>
      </c>
      <c r="C2544" s="5">
        <v>45957.14783564815</v>
      </c>
      <c r="D2544" s="5">
        <v>45957</v>
      </c>
      <c r="E2544" s="6">
        <f>IF(AND(C2544&lt;&gt;"",D2544&lt;&gt;""),D2544-C2544,"")</f>
        <v>0</v>
      </c>
      <c r="F2544" s="4" t="s">
        <v>3749</v>
      </c>
      <c r="G2544" s="4" t="s">
        <v>3750</v>
      </c>
      <c r="H2544" s="4" t="s">
        <v>32</v>
      </c>
      <c r="I2544" s="4" t="s">
        <v>33</v>
      </c>
      <c r="J2544" s="4">
        <v>1</v>
      </c>
      <c r="K2544" s="4">
        <v>0</v>
      </c>
      <c r="L2544" s="4">
        <f>J2544+K2544</f>
        <v>0</v>
      </c>
      <c r="M2544" s="4" t="s">
        <v>42</v>
      </c>
      <c r="N2544" s="4"/>
      <c r="O2544" s="4">
        <v>1</v>
      </c>
      <c r="P2544" s="4" t="s">
        <v>135</v>
      </c>
      <c r="Q2544" s="4" t="s">
        <v>44</v>
      </c>
      <c r="R2544" s="7">
        <v>370000</v>
      </c>
      <c r="S2544" s="7">
        <v>0</v>
      </c>
      <c r="T2544" s="7">
        <f>R2544-S2544</f>
        <v>0</v>
      </c>
      <c r="U2544" s="7">
        <f>T2544*O2544</f>
        <v>0</v>
      </c>
    </row>
    <row r="2545" spans="1:21">
      <c r="A2545" s="4" t="s">
        <v>3748</v>
      </c>
      <c r="B2545" s="4" t="s">
        <v>39</v>
      </c>
      <c r="C2545" s="5">
        <v>45957.14783564815</v>
      </c>
      <c r="D2545" s="5">
        <v>45957</v>
      </c>
      <c r="E2545" s="6">
        <f>IF(AND(C2545&lt;&gt;"",D2545&lt;&gt;""),D2545-C2545,"")</f>
        <v>0</v>
      </c>
      <c r="F2545" s="4" t="s">
        <v>3749</v>
      </c>
      <c r="G2545" s="4" t="s">
        <v>3750</v>
      </c>
      <c r="H2545" s="4" t="s">
        <v>32</v>
      </c>
      <c r="I2545" s="4" t="s">
        <v>33</v>
      </c>
      <c r="J2545" s="4">
        <v>1</v>
      </c>
      <c r="K2545" s="4">
        <v>0</v>
      </c>
      <c r="L2545" s="4">
        <f>J2545+K2545</f>
        <v>0</v>
      </c>
      <c r="M2545" s="4" t="s">
        <v>80</v>
      </c>
      <c r="N2545" s="4"/>
      <c r="O2545" s="4">
        <v>1</v>
      </c>
      <c r="P2545" s="4" t="s">
        <v>135</v>
      </c>
      <c r="Q2545" s="4" t="s">
        <v>44</v>
      </c>
      <c r="R2545" s="7">
        <v>610000</v>
      </c>
      <c r="S2545" s="7">
        <v>0</v>
      </c>
      <c r="T2545" s="7">
        <f>R2545-S2545</f>
        <v>0</v>
      </c>
      <c r="U2545" s="7">
        <f>T2545*O2545</f>
        <v>0</v>
      </c>
    </row>
    <row r="2546" spans="1:21">
      <c r="A2546" s="4" t="s">
        <v>3748</v>
      </c>
      <c r="B2546" s="4" t="s">
        <v>39</v>
      </c>
      <c r="C2546" s="5">
        <v>45957.14783564815</v>
      </c>
      <c r="D2546" s="5">
        <v>45957</v>
      </c>
      <c r="E2546" s="6">
        <f>IF(AND(C2546&lt;&gt;"",D2546&lt;&gt;""),D2546-C2546,"")</f>
        <v>0</v>
      </c>
      <c r="F2546" s="4" t="s">
        <v>3749</v>
      </c>
      <c r="G2546" s="4" t="s">
        <v>3750</v>
      </c>
      <c r="H2546" s="4" t="s">
        <v>32</v>
      </c>
      <c r="I2546" s="4" t="s">
        <v>33</v>
      </c>
      <c r="J2546" s="4">
        <v>1</v>
      </c>
      <c r="K2546" s="4">
        <v>0</v>
      </c>
      <c r="L2546" s="4">
        <f>J2546+K2546</f>
        <v>0</v>
      </c>
      <c r="M2546" s="4" t="s">
        <v>80</v>
      </c>
      <c r="N2546" s="4"/>
      <c r="O2546" s="4">
        <v>1</v>
      </c>
      <c r="P2546" s="4" t="s">
        <v>135</v>
      </c>
      <c r="Q2546" s="4" t="s">
        <v>44</v>
      </c>
      <c r="R2546" s="7">
        <v>610000</v>
      </c>
      <c r="S2546" s="7">
        <v>0</v>
      </c>
      <c r="T2546" s="7">
        <f>R2546-S2546</f>
        <v>0</v>
      </c>
      <c r="U2546" s="7">
        <f>T2546*O2546</f>
        <v>0</v>
      </c>
    </row>
    <row r="2547" spans="1:21">
      <c r="A2547" s="4" t="s">
        <v>3751</v>
      </c>
      <c r="B2547" s="4" t="s">
        <v>39</v>
      </c>
      <c r="C2547" s="5">
        <v>45957.21023148148</v>
      </c>
      <c r="D2547" s="5">
        <v>45957</v>
      </c>
      <c r="E2547" s="6">
        <f>IF(AND(C2547&lt;&gt;"",D2547&lt;&gt;""),D2547-C2547,"")</f>
        <v>0</v>
      </c>
      <c r="F2547" s="4" t="s">
        <v>3752</v>
      </c>
      <c r="G2547" s="4" t="s">
        <v>3753</v>
      </c>
      <c r="H2547" s="4" t="s">
        <v>32</v>
      </c>
      <c r="I2547" s="4" t="s">
        <v>33</v>
      </c>
      <c r="J2547" s="4">
        <v>0</v>
      </c>
      <c r="K2547" s="4">
        <v>0</v>
      </c>
      <c r="L2547" s="4">
        <f>J2547+K2547</f>
        <v>0</v>
      </c>
      <c r="M2547" s="4" t="s">
        <v>370</v>
      </c>
      <c r="N2547" s="4"/>
      <c r="O2547" s="4">
        <v>1</v>
      </c>
      <c r="P2547" s="4" t="s">
        <v>135</v>
      </c>
      <c r="Q2547" s="4"/>
      <c r="R2547" s="7">
        <v>2000000</v>
      </c>
      <c r="S2547" s="7">
        <v>0</v>
      </c>
      <c r="T2547" s="7">
        <f>R2547-S2547</f>
        <v>0</v>
      </c>
      <c r="U2547" s="7">
        <f>T2547*O2547</f>
        <v>0</v>
      </c>
    </row>
    <row r="2548" spans="1:21">
      <c r="A2548" s="4" t="s">
        <v>3751</v>
      </c>
      <c r="B2548" s="4" t="s">
        <v>39</v>
      </c>
      <c r="C2548" s="5">
        <v>45957.21023148148</v>
      </c>
      <c r="D2548" s="5">
        <v>45957</v>
      </c>
      <c r="E2548" s="6">
        <f>IF(AND(C2548&lt;&gt;"",D2548&lt;&gt;""),D2548-C2548,"")</f>
        <v>0</v>
      </c>
      <c r="F2548" s="4" t="s">
        <v>3752</v>
      </c>
      <c r="G2548" s="4" t="s">
        <v>3753</v>
      </c>
      <c r="H2548" s="4" t="s">
        <v>32</v>
      </c>
      <c r="I2548" s="4" t="s">
        <v>33</v>
      </c>
      <c r="J2548" s="4">
        <v>2</v>
      </c>
      <c r="K2548" s="4">
        <v>0</v>
      </c>
      <c r="L2548" s="4">
        <f>J2548+K2548</f>
        <v>0</v>
      </c>
      <c r="M2548" s="4" t="s">
        <v>42</v>
      </c>
      <c r="N2548" s="4"/>
      <c r="O2548" s="4">
        <v>2</v>
      </c>
      <c r="P2548" s="4" t="s">
        <v>135</v>
      </c>
      <c r="Q2548" s="4"/>
      <c r="R2548" s="7">
        <v>370000</v>
      </c>
      <c r="S2548" s="7">
        <v>0</v>
      </c>
      <c r="T2548" s="7">
        <f>R2548-S2548</f>
        <v>0</v>
      </c>
      <c r="U2548" s="7">
        <f>T2548*O2548</f>
        <v>0</v>
      </c>
    </row>
    <row r="2549" spans="1:21">
      <c r="A2549" s="4" t="s">
        <v>3751</v>
      </c>
      <c r="B2549" s="4" t="s">
        <v>39</v>
      </c>
      <c r="C2549" s="5">
        <v>45957.21023148148</v>
      </c>
      <c r="D2549" s="5">
        <v>45957</v>
      </c>
      <c r="E2549" s="6">
        <f>IF(AND(C2549&lt;&gt;"",D2549&lt;&gt;""),D2549-C2549,"")</f>
        <v>0</v>
      </c>
      <c r="F2549" s="4" t="s">
        <v>3752</v>
      </c>
      <c r="G2549" s="4" t="s">
        <v>3753</v>
      </c>
      <c r="H2549" s="4" t="s">
        <v>32</v>
      </c>
      <c r="I2549" s="4" t="s">
        <v>33</v>
      </c>
      <c r="J2549" s="4">
        <v>2</v>
      </c>
      <c r="K2549" s="4">
        <v>0</v>
      </c>
      <c r="L2549" s="4">
        <f>J2549+K2549</f>
        <v>0</v>
      </c>
      <c r="M2549" s="4" t="s">
        <v>80</v>
      </c>
      <c r="N2549" s="4"/>
      <c r="O2549" s="4">
        <v>2</v>
      </c>
      <c r="P2549" s="4" t="s">
        <v>135</v>
      </c>
      <c r="Q2549" s="4"/>
      <c r="R2549" s="7">
        <v>610000</v>
      </c>
      <c r="S2549" s="7">
        <v>0</v>
      </c>
      <c r="T2549" s="7">
        <f>R2549-S2549</f>
        <v>0</v>
      </c>
      <c r="U2549" s="7">
        <f>T2549*O2549</f>
        <v>0</v>
      </c>
    </row>
    <row r="2550" spans="1:21">
      <c r="A2550" s="4" t="s">
        <v>3751</v>
      </c>
      <c r="B2550" s="4" t="s">
        <v>39</v>
      </c>
      <c r="C2550" s="5">
        <v>45957.21023148148</v>
      </c>
      <c r="D2550" s="5">
        <v>45957</v>
      </c>
      <c r="E2550" s="6">
        <f>IF(AND(C2550&lt;&gt;"",D2550&lt;&gt;""),D2550-C2550,"")</f>
        <v>0</v>
      </c>
      <c r="F2550" s="4" t="s">
        <v>3752</v>
      </c>
      <c r="G2550" s="4" t="s">
        <v>3753</v>
      </c>
      <c r="H2550" s="4" t="s">
        <v>32</v>
      </c>
      <c r="I2550" s="4" t="s">
        <v>33</v>
      </c>
      <c r="J2550" s="4">
        <v>0</v>
      </c>
      <c r="K2550" s="4">
        <v>2</v>
      </c>
      <c r="L2550" s="4">
        <f>J2550+K2550</f>
        <v>0</v>
      </c>
      <c r="M2550" s="4" t="s">
        <v>81</v>
      </c>
      <c r="N2550" s="4"/>
      <c r="O2550" s="4">
        <v>2</v>
      </c>
      <c r="P2550" s="4" t="s">
        <v>135</v>
      </c>
      <c r="Q2550" s="4"/>
      <c r="R2550" s="7">
        <v>495000</v>
      </c>
      <c r="S2550" s="7">
        <v>0</v>
      </c>
      <c r="T2550" s="7">
        <f>R2550-S2550</f>
        <v>0</v>
      </c>
      <c r="U2550" s="7">
        <f>T2550*O2550</f>
        <v>0</v>
      </c>
    </row>
    <row r="2551" spans="1:21">
      <c r="A2551" s="4" t="s">
        <v>3751</v>
      </c>
      <c r="B2551" s="4" t="s">
        <v>39</v>
      </c>
      <c r="C2551" s="5">
        <v>45957.21023148148</v>
      </c>
      <c r="D2551" s="5">
        <v>45957</v>
      </c>
      <c r="E2551" s="6">
        <f>IF(AND(C2551&lt;&gt;"",D2551&lt;&gt;""),D2551-C2551,"")</f>
        <v>0</v>
      </c>
      <c r="F2551" s="4" t="s">
        <v>3752</v>
      </c>
      <c r="G2551" s="4" t="s">
        <v>3753</v>
      </c>
      <c r="H2551" s="4" t="s">
        <v>32</v>
      </c>
      <c r="I2551" s="4" t="s">
        <v>33</v>
      </c>
      <c r="J2551" s="4">
        <v>0</v>
      </c>
      <c r="K2551" s="4">
        <v>2</v>
      </c>
      <c r="L2551" s="4">
        <f>J2551+K2551</f>
        <v>0</v>
      </c>
      <c r="M2551" s="4" t="s">
        <v>46</v>
      </c>
      <c r="N2551" s="4"/>
      <c r="O2551" s="4">
        <v>2</v>
      </c>
      <c r="P2551" s="4" t="s">
        <v>135</v>
      </c>
      <c r="Q2551" s="4"/>
      <c r="R2551" s="7">
        <v>325000</v>
      </c>
      <c r="S2551" s="7">
        <v>0</v>
      </c>
      <c r="T2551" s="7">
        <f>R2551-S2551</f>
        <v>0</v>
      </c>
      <c r="U2551" s="7">
        <f>T2551*O2551</f>
        <v>0</v>
      </c>
    </row>
    <row r="2552" spans="1:21">
      <c r="A2552" s="4" t="s">
        <v>3754</v>
      </c>
      <c r="B2552" s="4" t="s">
        <v>39</v>
      </c>
      <c r="C2552" s="5">
        <v>45957.2237037037</v>
      </c>
      <c r="D2552" s="5">
        <v>45957</v>
      </c>
      <c r="E2552" s="6">
        <f>IF(AND(C2552&lt;&gt;"",D2552&lt;&gt;""),D2552-C2552,"")</f>
        <v>0</v>
      </c>
      <c r="F2552" s="4" t="s">
        <v>3755</v>
      </c>
      <c r="G2552" s="4" t="s">
        <v>3756</v>
      </c>
      <c r="H2552" s="4" t="s">
        <v>32</v>
      </c>
      <c r="I2552" s="4" t="s">
        <v>33</v>
      </c>
      <c r="J2552" s="4">
        <v>1</v>
      </c>
      <c r="K2552" s="4">
        <v>0</v>
      </c>
      <c r="L2552" s="4">
        <f>J2552+K2552</f>
        <v>0</v>
      </c>
      <c r="M2552" s="4" t="s">
        <v>1645</v>
      </c>
      <c r="N2552" s="4"/>
      <c r="O2552" s="4">
        <v>1</v>
      </c>
      <c r="P2552" s="4" t="s">
        <v>135</v>
      </c>
      <c r="Q2552" s="4"/>
      <c r="R2552" s="7">
        <v>2100000</v>
      </c>
      <c r="S2552" s="7">
        <v>0</v>
      </c>
      <c r="T2552" s="7">
        <f>R2552-S2552</f>
        <v>0</v>
      </c>
      <c r="U2552" s="7">
        <f>T2552*O2552</f>
        <v>0</v>
      </c>
    </row>
    <row r="2553" spans="1:21">
      <c r="A2553" s="4" t="s">
        <v>3754</v>
      </c>
      <c r="B2553" s="4" t="s">
        <v>39</v>
      </c>
      <c r="C2553" s="5">
        <v>45957.2237037037</v>
      </c>
      <c r="D2553" s="5">
        <v>45957</v>
      </c>
      <c r="E2553" s="6">
        <f>IF(AND(C2553&lt;&gt;"",D2553&lt;&gt;""),D2553-C2553,"")</f>
        <v>0</v>
      </c>
      <c r="F2553" s="4" t="s">
        <v>3755</v>
      </c>
      <c r="G2553" s="4" t="s">
        <v>3756</v>
      </c>
      <c r="H2553" s="4" t="s">
        <v>32</v>
      </c>
      <c r="I2553" s="4" t="s">
        <v>33</v>
      </c>
      <c r="J2553" s="4">
        <v>0</v>
      </c>
      <c r="K2553" s="4">
        <v>0</v>
      </c>
      <c r="L2553" s="4">
        <f>J2553+K2553</f>
        <v>0</v>
      </c>
      <c r="M2553" s="4" t="s">
        <v>370</v>
      </c>
      <c r="N2553" s="4"/>
      <c r="O2553" s="4">
        <v>1</v>
      </c>
      <c r="P2553" s="4" t="s">
        <v>135</v>
      </c>
      <c r="Q2553" s="4"/>
      <c r="R2553" s="7">
        <v>10000000</v>
      </c>
      <c r="S2553" s="7">
        <v>0</v>
      </c>
      <c r="T2553" s="7">
        <f>R2553-S2553</f>
        <v>0</v>
      </c>
      <c r="U2553" s="7">
        <f>T2553*O2553</f>
        <v>0</v>
      </c>
    </row>
    <row r="2554" spans="1:21">
      <c r="A2554" s="4" t="s">
        <v>3757</v>
      </c>
      <c r="B2554" s="4" t="s">
        <v>39</v>
      </c>
      <c r="C2554" s="5">
        <v>45957.23744212963</v>
      </c>
      <c r="D2554" s="5">
        <v>45957</v>
      </c>
      <c r="E2554" s="6">
        <f>IF(AND(C2554&lt;&gt;"",D2554&lt;&gt;""),D2554-C2554,"")</f>
        <v>0</v>
      </c>
      <c r="F2554" s="4" t="s">
        <v>3758</v>
      </c>
      <c r="G2554" s="4" t="s">
        <v>3759</v>
      </c>
      <c r="H2554" s="4" t="s">
        <v>32</v>
      </c>
      <c r="I2554" s="4" t="s">
        <v>33</v>
      </c>
      <c r="J2554" s="4">
        <v>0</v>
      </c>
      <c r="K2554" s="4">
        <v>1</v>
      </c>
      <c r="L2554" s="4">
        <f>J2554+K2554</f>
        <v>0</v>
      </c>
      <c r="M2554" s="4" t="s">
        <v>81</v>
      </c>
      <c r="N2554" s="4"/>
      <c r="O2554" s="4">
        <v>1</v>
      </c>
      <c r="P2554" s="4" t="s">
        <v>135</v>
      </c>
      <c r="Q2554" s="4" t="s">
        <v>44</v>
      </c>
      <c r="R2554" s="7">
        <v>495000</v>
      </c>
      <c r="S2554" s="7">
        <v>0</v>
      </c>
      <c r="T2554" s="7">
        <f>R2554-S2554</f>
        <v>0</v>
      </c>
      <c r="U2554" s="7">
        <f>T2554*O2554</f>
        <v>0</v>
      </c>
    </row>
    <row r="2555" spans="1:21">
      <c r="A2555" s="4" t="s">
        <v>3757</v>
      </c>
      <c r="B2555" s="4" t="s">
        <v>39</v>
      </c>
      <c r="C2555" s="5">
        <v>45957.23744212963</v>
      </c>
      <c r="D2555" s="5">
        <v>45957</v>
      </c>
      <c r="E2555" s="6">
        <f>IF(AND(C2555&lt;&gt;"",D2555&lt;&gt;""),D2555-C2555,"")</f>
        <v>0</v>
      </c>
      <c r="F2555" s="4" t="s">
        <v>3758</v>
      </c>
      <c r="G2555" s="4" t="s">
        <v>3759</v>
      </c>
      <c r="H2555" s="4" t="s">
        <v>32</v>
      </c>
      <c r="I2555" s="4" t="s">
        <v>33</v>
      </c>
      <c r="J2555" s="4">
        <v>1</v>
      </c>
      <c r="K2555" s="4">
        <v>0</v>
      </c>
      <c r="L2555" s="4">
        <f>J2555+K2555</f>
        <v>0</v>
      </c>
      <c r="M2555" s="4" t="s">
        <v>80</v>
      </c>
      <c r="N2555" s="4"/>
      <c r="O2555" s="4">
        <v>1</v>
      </c>
      <c r="P2555" s="4" t="s">
        <v>135</v>
      </c>
      <c r="Q2555" s="4" t="s">
        <v>44</v>
      </c>
      <c r="R2555" s="7">
        <v>610000</v>
      </c>
      <c r="S2555" s="7">
        <v>0</v>
      </c>
      <c r="T2555" s="7">
        <f>R2555-S2555</f>
        <v>0</v>
      </c>
      <c r="U2555" s="7">
        <f>T2555*O2555</f>
        <v>0</v>
      </c>
    </row>
    <row r="2556" spans="1:21">
      <c r="A2556" s="4" t="s">
        <v>3757</v>
      </c>
      <c r="B2556" s="4" t="s">
        <v>39</v>
      </c>
      <c r="C2556" s="5">
        <v>45957.23744212963</v>
      </c>
      <c r="D2556" s="5">
        <v>45957</v>
      </c>
      <c r="E2556" s="6">
        <f>IF(AND(C2556&lt;&gt;"",D2556&lt;&gt;""),D2556-C2556,"")</f>
        <v>0</v>
      </c>
      <c r="F2556" s="4" t="s">
        <v>3758</v>
      </c>
      <c r="G2556" s="4" t="s">
        <v>3759</v>
      </c>
      <c r="H2556" s="4" t="s">
        <v>32</v>
      </c>
      <c r="I2556" s="4" t="s">
        <v>33</v>
      </c>
      <c r="J2556" s="4">
        <v>1</v>
      </c>
      <c r="K2556" s="4">
        <v>0</v>
      </c>
      <c r="L2556" s="4">
        <f>J2556+K2556</f>
        <v>0</v>
      </c>
      <c r="M2556" s="4" t="s">
        <v>42</v>
      </c>
      <c r="N2556" s="4"/>
      <c r="O2556" s="4">
        <v>1</v>
      </c>
      <c r="P2556" s="4" t="s">
        <v>135</v>
      </c>
      <c r="Q2556" s="4" t="s">
        <v>44</v>
      </c>
      <c r="R2556" s="7">
        <v>370000</v>
      </c>
      <c r="S2556" s="7">
        <v>0</v>
      </c>
      <c r="T2556" s="7">
        <f>R2556-S2556</f>
        <v>0</v>
      </c>
      <c r="U2556" s="7">
        <f>T2556*O2556</f>
        <v>0</v>
      </c>
    </row>
    <row r="2557" spans="1:21">
      <c r="A2557" s="4" t="s">
        <v>3757</v>
      </c>
      <c r="B2557" s="4" t="s">
        <v>39</v>
      </c>
      <c r="C2557" s="5">
        <v>45957.23744212963</v>
      </c>
      <c r="D2557" s="5">
        <v>45957</v>
      </c>
      <c r="E2557" s="6">
        <f>IF(AND(C2557&lt;&gt;"",D2557&lt;&gt;""),D2557-C2557,"")</f>
        <v>0</v>
      </c>
      <c r="F2557" s="4" t="s">
        <v>3758</v>
      </c>
      <c r="G2557" s="4" t="s">
        <v>3759</v>
      </c>
      <c r="H2557" s="4" t="s">
        <v>32</v>
      </c>
      <c r="I2557" s="4" t="s">
        <v>33</v>
      </c>
      <c r="J2557" s="4">
        <v>0</v>
      </c>
      <c r="K2557" s="4">
        <v>1</v>
      </c>
      <c r="L2557" s="4">
        <f>J2557+K2557</f>
        <v>0</v>
      </c>
      <c r="M2557" s="4" t="s">
        <v>46</v>
      </c>
      <c r="N2557" s="4"/>
      <c r="O2557" s="4">
        <v>1</v>
      </c>
      <c r="P2557" s="4" t="s">
        <v>135</v>
      </c>
      <c r="Q2557" s="4" t="s">
        <v>44</v>
      </c>
      <c r="R2557" s="7">
        <v>325000</v>
      </c>
      <c r="S2557" s="7">
        <v>0</v>
      </c>
      <c r="T2557" s="7">
        <f>R2557-S2557</f>
        <v>0</v>
      </c>
      <c r="U2557" s="7">
        <f>T2557*O2557</f>
        <v>0</v>
      </c>
    </row>
    <row r="2558" spans="1:21">
      <c r="A2558" s="4" t="s">
        <v>3760</v>
      </c>
      <c r="B2558" s="4" t="s">
        <v>39</v>
      </c>
      <c r="C2558" s="5">
        <v>45957.27525462963</v>
      </c>
      <c r="D2558" s="5">
        <v>45957</v>
      </c>
      <c r="E2558" s="6">
        <f>IF(AND(C2558&lt;&gt;"",D2558&lt;&gt;""),D2558-C2558,"")</f>
        <v>0</v>
      </c>
      <c r="F2558" s="4" t="s">
        <v>3761</v>
      </c>
      <c r="G2558" s="4" t="s">
        <v>3762</v>
      </c>
      <c r="H2558" s="4" t="s">
        <v>32</v>
      </c>
      <c r="I2558" s="4" t="s">
        <v>33</v>
      </c>
      <c r="J2558" s="4">
        <v>0</v>
      </c>
      <c r="K2558" s="4">
        <v>1</v>
      </c>
      <c r="L2558" s="4">
        <f>J2558+K2558</f>
        <v>0</v>
      </c>
      <c r="M2558" s="4" t="s">
        <v>81</v>
      </c>
      <c r="N2558" s="4"/>
      <c r="O2558" s="4">
        <v>1</v>
      </c>
      <c r="P2558" s="4" t="s">
        <v>135</v>
      </c>
      <c r="Q2558" s="4" t="s">
        <v>44</v>
      </c>
      <c r="R2558" s="7">
        <v>495000</v>
      </c>
      <c r="S2558" s="7">
        <v>0</v>
      </c>
      <c r="T2558" s="7">
        <f>R2558-S2558</f>
        <v>0</v>
      </c>
      <c r="U2558" s="7">
        <f>T2558*O2558</f>
        <v>0</v>
      </c>
    </row>
    <row r="2559" spans="1:21">
      <c r="A2559" s="4" t="s">
        <v>3760</v>
      </c>
      <c r="B2559" s="4" t="s">
        <v>39</v>
      </c>
      <c r="C2559" s="5">
        <v>45957.27525462963</v>
      </c>
      <c r="D2559" s="5">
        <v>45957</v>
      </c>
      <c r="E2559" s="6">
        <f>IF(AND(C2559&lt;&gt;"",D2559&lt;&gt;""),D2559-C2559,"")</f>
        <v>0</v>
      </c>
      <c r="F2559" s="4" t="s">
        <v>3761</v>
      </c>
      <c r="G2559" s="4" t="s">
        <v>3762</v>
      </c>
      <c r="H2559" s="4" t="s">
        <v>32</v>
      </c>
      <c r="I2559" s="4" t="s">
        <v>33</v>
      </c>
      <c r="J2559" s="4">
        <v>1</v>
      </c>
      <c r="K2559" s="4">
        <v>0</v>
      </c>
      <c r="L2559" s="4">
        <f>J2559+K2559</f>
        <v>0</v>
      </c>
      <c r="M2559" s="4" t="s">
        <v>80</v>
      </c>
      <c r="N2559" s="4"/>
      <c r="O2559" s="4">
        <v>1</v>
      </c>
      <c r="P2559" s="4" t="s">
        <v>135</v>
      </c>
      <c r="Q2559" s="4" t="s">
        <v>44</v>
      </c>
      <c r="R2559" s="7">
        <v>610000</v>
      </c>
      <c r="S2559" s="7">
        <v>0</v>
      </c>
      <c r="T2559" s="7">
        <f>R2559-S2559</f>
        <v>0</v>
      </c>
      <c r="U2559" s="7">
        <f>T2559*O2559</f>
        <v>0</v>
      </c>
    </row>
    <row r="2560" spans="1:21">
      <c r="A2560" s="4" t="s">
        <v>3760</v>
      </c>
      <c r="B2560" s="4" t="s">
        <v>39</v>
      </c>
      <c r="C2560" s="5">
        <v>45957.27525462963</v>
      </c>
      <c r="D2560" s="5">
        <v>45957</v>
      </c>
      <c r="E2560" s="6">
        <f>IF(AND(C2560&lt;&gt;"",D2560&lt;&gt;""),D2560-C2560,"")</f>
        <v>0</v>
      </c>
      <c r="F2560" s="4" t="s">
        <v>3761</v>
      </c>
      <c r="G2560" s="4" t="s">
        <v>3762</v>
      </c>
      <c r="H2560" s="4" t="s">
        <v>32</v>
      </c>
      <c r="I2560" s="4" t="s">
        <v>33</v>
      </c>
      <c r="J2560" s="4">
        <v>0</v>
      </c>
      <c r="K2560" s="4">
        <v>1</v>
      </c>
      <c r="L2560" s="4">
        <f>J2560+K2560</f>
        <v>0</v>
      </c>
      <c r="M2560" s="4" t="s">
        <v>46</v>
      </c>
      <c r="N2560" s="4"/>
      <c r="O2560" s="4">
        <v>1</v>
      </c>
      <c r="P2560" s="4" t="s">
        <v>135</v>
      </c>
      <c r="Q2560" s="4" t="s">
        <v>44</v>
      </c>
      <c r="R2560" s="7">
        <v>325000</v>
      </c>
      <c r="S2560" s="7">
        <v>0</v>
      </c>
      <c r="T2560" s="7">
        <f>R2560-S2560</f>
        <v>0</v>
      </c>
      <c r="U2560" s="7">
        <f>T2560*O2560</f>
        <v>0</v>
      </c>
    </row>
    <row r="2561" spans="1:21">
      <c r="A2561" s="4" t="s">
        <v>3760</v>
      </c>
      <c r="B2561" s="4" t="s">
        <v>39</v>
      </c>
      <c r="C2561" s="5">
        <v>45957.27525462963</v>
      </c>
      <c r="D2561" s="5">
        <v>45957</v>
      </c>
      <c r="E2561" s="6">
        <f>IF(AND(C2561&lt;&gt;"",D2561&lt;&gt;""),D2561-C2561,"")</f>
        <v>0</v>
      </c>
      <c r="F2561" s="4" t="s">
        <v>3761</v>
      </c>
      <c r="G2561" s="4" t="s">
        <v>3762</v>
      </c>
      <c r="H2561" s="4" t="s">
        <v>32</v>
      </c>
      <c r="I2561" s="4" t="s">
        <v>33</v>
      </c>
      <c r="J2561" s="4">
        <v>1</v>
      </c>
      <c r="K2561" s="4">
        <v>0</v>
      </c>
      <c r="L2561" s="4">
        <f>J2561+K2561</f>
        <v>0</v>
      </c>
      <c r="M2561" s="4" t="s">
        <v>42</v>
      </c>
      <c r="N2561" s="4"/>
      <c r="O2561" s="4">
        <v>1</v>
      </c>
      <c r="P2561" s="4" t="s">
        <v>135</v>
      </c>
      <c r="Q2561" s="4" t="s">
        <v>44</v>
      </c>
      <c r="R2561" s="7">
        <v>370000</v>
      </c>
      <c r="S2561" s="7">
        <v>0</v>
      </c>
      <c r="T2561" s="7">
        <f>R2561-S2561</f>
        <v>0</v>
      </c>
      <c r="U2561" s="7">
        <f>T2561*O2561</f>
        <v>0</v>
      </c>
    </row>
    <row r="2562" spans="1:21">
      <c r="A2562" s="4" t="s">
        <v>3763</v>
      </c>
      <c r="B2562" s="4" t="s">
        <v>39</v>
      </c>
      <c r="C2562" s="5">
        <v>45957.27674768519</v>
      </c>
      <c r="D2562" s="5">
        <v>45957</v>
      </c>
      <c r="E2562" s="6">
        <f>IF(AND(C2562&lt;&gt;"",D2562&lt;&gt;""),D2562-C2562,"")</f>
        <v>0</v>
      </c>
      <c r="F2562" s="4" t="s">
        <v>3764</v>
      </c>
      <c r="G2562" s="4" t="s">
        <v>3765</v>
      </c>
      <c r="H2562" s="4" t="s">
        <v>32</v>
      </c>
      <c r="I2562" s="4" t="s">
        <v>33</v>
      </c>
      <c r="J2562" s="4">
        <v>1</v>
      </c>
      <c r="K2562" s="4">
        <v>0</v>
      </c>
      <c r="L2562" s="4">
        <f>J2562+K2562</f>
        <v>0</v>
      </c>
      <c r="M2562" s="4" t="s">
        <v>80</v>
      </c>
      <c r="N2562" s="4"/>
      <c r="O2562" s="4">
        <v>1</v>
      </c>
      <c r="P2562" s="4" t="s">
        <v>135</v>
      </c>
      <c r="Q2562" s="4" t="s">
        <v>44</v>
      </c>
      <c r="R2562" s="7">
        <v>610000</v>
      </c>
      <c r="S2562" s="7">
        <v>0</v>
      </c>
      <c r="T2562" s="7">
        <f>R2562-S2562</f>
        <v>0</v>
      </c>
      <c r="U2562" s="7">
        <f>T2562*O2562</f>
        <v>0</v>
      </c>
    </row>
    <row r="2563" spans="1:21">
      <c r="A2563" s="4" t="s">
        <v>3763</v>
      </c>
      <c r="B2563" s="4" t="s">
        <v>39</v>
      </c>
      <c r="C2563" s="5">
        <v>45957.27674768519</v>
      </c>
      <c r="D2563" s="5">
        <v>45957</v>
      </c>
      <c r="E2563" s="6">
        <f>IF(AND(C2563&lt;&gt;"",D2563&lt;&gt;""),D2563-C2563,"")</f>
        <v>0</v>
      </c>
      <c r="F2563" s="4" t="s">
        <v>3764</v>
      </c>
      <c r="G2563" s="4" t="s">
        <v>3765</v>
      </c>
      <c r="H2563" s="4" t="s">
        <v>32</v>
      </c>
      <c r="I2563" s="4" t="s">
        <v>33</v>
      </c>
      <c r="J2563" s="4">
        <v>1</v>
      </c>
      <c r="K2563" s="4">
        <v>0</v>
      </c>
      <c r="L2563" s="4">
        <f>J2563+K2563</f>
        <v>0</v>
      </c>
      <c r="M2563" s="4" t="s">
        <v>42</v>
      </c>
      <c r="N2563" s="4"/>
      <c r="O2563" s="4">
        <v>1</v>
      </c>
      <c r="P2563" s="4" t="s">
        <v>135</v>
      </c>
      <c r="Q2563" s="4" t="s">
        <v>44</v>
      </c>
      <c r="R2563" s="7">
        <v>370000</v>
      </c>
      <c r="S2563" s="7">
        <v>0</v>
      </c>
      <c r="T2563" s="7">
        <f>R2563-S2563</f>
        <v>0</v>
      </c>
      <c r="U2563" s="7">
        <f>T2563*O2563</f>
        <v>0</v>
      </c>
    </row>
    <row r="2564" spans="1:21">
      <c r="A2564" s="4" t="s">
        <v>3763</v>
      </c>
      <c r="B2564" s="4" t="s">
        <v>39</v>
      </c>
      <c r="C2564" s="5">
        <v>45957.27674768519</v>
      </c>
      <c r="D2564" s="5">
        <v>45957</v>
      </c>
      <c r="E2564" s="6">
        <f>IF(AND(C2564&lt;&gt;"",D2564&lt;&gt;""),D2564-C2564,"")</f>
        <v>0</v>
      </c>
      <c r="F2564" s="4" t="s">
        <v>3764</v>
      </c>
      <c r="G2564" s="4" t="s">
        <v>3765</v>
      </c>
      <c r="H2564" s="4" t="s">
        <v>32</v>
      </c>
      <c r="I2564" s="4" t="s">
        <v>33</v>
      </c>
      <c r="J2564" s="4">
        <v>0</v>
      </c>
      <c r="K2564" s="4">
        <v>1</v>
      </c>
      <c r="L2564" s="4">
        <f>J2564+K2564</f>
        <v>0</v>
      </c>
      <c r="M2564" s="4" t="s">
        <v>81</v>
      </c>
      <c r="N2564" s="4"/>
      <c r="O2564" s="4">
        <v>1</v>
      </c>
      <c r="P2564" s="4" t="s">
        <v>135</v>
      </c>
      <c r="Q2564" s="4" t="s">
        <v>44</v>
      </c>
      <c r="R2564" s="7">
        <v>495000</v>
      </c>
      <c r="S2564" s="7">
        <v>0</v>
      </c>
      <c r="T2564" s="7">
        <f>R2564-S2564</f>
        <v>0</v>
      </c>
      <c r="U2564" s="7">
        <f>T2564*O2564</f>
        <v>0</v>
      </c>
    </row>
    <row r="2565" spans="1:21">
      <c r="A2565" s="4" t="s">
        <v>3763</v>
      </c>
      <c r="B2565" s="4" t="s">
        <v>39</v>
      </c>
      <c r="C2565" s="5">
        <v>45957.27674768519</v>
      </c>
      <c r="D2565" s="5">
        <v>45957</v>
      </c>
      <c r="E2565" s="6">
        <f>IF(AND(C2565&lt;&gt;"",D2565&lt;&gt;""),D2565-C2565,"")</f>
        <v>0</v>
      </c>
      <c r="F2565" s="4" t="s">
        <v>3764</v>
      </c>
      <c r="G2565" s="4" t="s">
        <v>3765</v>
      </c>
      <c r="H2565" s="4" t="s">
        <v>32</v>
      </c>
      <c r="I2565" s="4" t="s">
        <v>33</v>
      </c>
      <c r="J2565" s="4">
        <v>0</v>
      </c>
      <c r="K2565" s="4">
        <v>1</v>
      </c>
      <c r="L2565" s="4">
        <f>J2565+K2565</f>
        <v>0</v>
      </c>
      <c r="M2565" s="4" t="s">
        <v>46</v>
      </c>
      <c r="N2565" s="4"/>
      <c r="O2565" s="4">
        <v>1</v>
      </c>
      <c r="P2565" s="4" t="s">
        <v>135</v>
      </c>
      <c r="Q2565" s="4" t="s">
        <v>44</v>
      </c>
      <c r="R2565" s="7">
        <v>325000</v>
      </c>
      <c r="S2565" s="7">
        <v>0</v>
      </c>
      <c r="T2565" s="7">
        <f>R2565-S2565</f>
        <v>0</v>
      </c>
      <c r="U2565" s="7">
        <f>T2565*O2565</f>
        <v>0</v>
      </c>
    </row>
    <row r="2566" spans="1:21">
      <c r="A2566" s="4" t="s">
        <v>3766</v>
      </c>
      <c r="B2566" s="4" t="s">
        <v>48</v>
      </c>
      <c r="C2566" s="5">
        <v>45957.31208333333</v>
      </c>
      <c r="D2566" s="5">
        <v>45961</v>
      </c>
      <c r="E2566" s="6">
        <f>IF(AND(C2566&lt;&gt;"",D2566&lt;&gt;""),D2566-C2566,"")</f>
        <v>0</v>
      </c>
      <c r="F2566" s="4" t="s">
        <v>64</v>
      </c>
      <c r="G2566" s="4" t="s">
        <v>3767</v>
      </c>
      <c r="H2566" s="4" t="s">
        <v>32</v>
      </c>
      <c r="I2566" s="4" t="s">
        <v>33</v>
      </c>
      <c r="J2566" s="4">
        <v>3</v>
      </c>
      <c r="K2566" s="4">
        <v>2</v>
      </c>
      <c r="L2566" s="4">
        <f>J2566+K2566</f>
        <v>0</v>
      </c>
      <c r="M2566" s="4"/>
      <c r="N2566" s="4"/>
      <c r="O2566" s="4">
        <v>0</v>
      </c>
      <c r="P2566" s="4"/>
      <c r="Q2566" s="4"/>
      <c r="R2566" s="7">
        <v>0</v>
      </c>
      <c r="S2566" s="7">
        <v>0</v>
      </c>
      <c r="T2566" s="7">
        <f>R2566-S2566</f>
        <v>0</v>
      </c>
      <c r="U2566" s="7">
        <f>T2566*O2566</f>
        <v>0</v>
      </c>
    </row>
    <row r="2567" spans="1:21">
      <c r="A2567" s="4" t="s">
        <v>3768</v>
      </c>
      <c r="B2567" s="4" t="s">
        <v>39</v>
      </c>
      <c r="C2567" s="5">
        <v>45957.32166666666</v>
      </c>
      <c r="D2567" s="5">
        <v>45957</v>
      </c>
      <c r="E2567" s="6">
        <f>IF(AND(C2567&lt;&gt;"",D2567&lt;&gt;""),D2567-C2567,"")</f>
        <v>0</v>
      </c>
      <c r="F2567" s="4" t="s">
        <v>3769</v>
      </c>
      <c r="G2567" s="4" t="s">
        <v>3770</v>
      </c>
      <c r="H2567" s="4" t="s">
        <v>190</v>
      </c>
      <c r="I2567" s="4" t="s">
        <v>56</v>
      </c>
      <c r="J2567" s="4">
        <v>0</v>
      </c>
      <c r="K2567" s="4">
        <v>0</v>
      </c>
      <c r="L2567" s="4">
        <f>J2567+K2567</f>
        <v>0</v>
      </c>
      <c r="M2567" s="4" t="s">
        <v>370</v>
      </c>
      <c r="N2567" s="4"/>
      <c r="O2567" s="4">
        <v>1</v>
      </c>
      <c r="P2567" s="4" t="s">
        <v>135</v>
      </c>
      <c r="Q2567" s="4" t="s">
        <v>44</v>
      </c>
      <c r="R2567" s="7">
        <v>5000000</v>
      </c>
      <c r="S2567" s="7">
        <v>0</v>
      </c>
      <c r="T2567" s="7">
        <f>R2567-S2567</f>
        <v>0</v>
      </c>
      <c r="U2567" s="7">
        <f>T2567*O2567</f>
        <v>0</v>
      </c>
    </row>
    <row r="2568" spans="1:21">
      <c r="A2568" s="4" t="s">
        <v>3771</v>
      </c>
      <c r="B2568" s="4" t="s">
        <v>39</v>
      </c>
      <c r="C2568" s="5">
        <v>45957.32418981481</v>
      </c>
      <c r="D2568" s="5">
        <v>45957</v>
      </c>
      <c r="E2568" s="6">
        <f>IF(AND(C2568&lt;&gt;"",D2568&lt;&gt;""),D2568-C2568,"")</f>
        <v>0</v>
      </c>
      <c r="F2568" s="4" t="s">
        <v>3772</v>
      </c>
      <c r="G2568" s="4" t="s">
        <v>3773</v>
      </c>
      <c r="H2568" s="4" t="s">
        <v>32</v>
      </c>
      <c r="I2568" s="4" t="s">
        <v>33</v>
      </c>
      <c r="J2568" s="4">
        <v>0</v>
      </c>
      <c r="K2568" s="4">
        <v>0</v>
      </c>
      <c r="L2568" s="4">
        <f>J2568+K2568</f>
        <v>0</v>
      </c>
      <c r="M2568" s="4" t="s">
        <v>370</v>
      </c>
      <c r="N2568" s="4"/>
      <c r="O2568" s="4">
        <v>1</v>
      </c>
      <c r="P2568" s="4" t="s">
        <v>135</v>
      </c>
      <c r="Q2568" s="4" t="s">
        <v>44</v>
      </c>
      <c r="R2568" s="7">
        <v>1000000</v>
      </c>
      <c r="S2568" s="7">
        <v>0</v>
      </c>
      <c r="T2568" s="7">
        <f>R2568-S2568</f>
        <v>0</v>
      </c>
      <c r="U2568" s="7">
        <f>T2568*O2568</f>
        <v>0</v>
      </c>
    </row>
    <row r="2569" spans="1:21">
      <c r="A2569" s="4" t="s">
        <v>3774</v>
      </c>
      <c r="B2569" s="4" t="s">
        <v>39</v>
      </c>
      <c r="C2569" s="5">
        <v>45957.33081018519</v>
      </c>
      <c r="D2569" s="5">
        <v>45957</v>
      </c>
      <c r="E2569" s="6">
        <f>IF(AND(C2569&lt;&gt;"",D2569&lt;&gt;""),D2569-C2569,"")</f>
        <v>0</v>
      </c>
      <c r="F2569" s="4" t="s">
        <v>3775</v>
      </c>
      <c r="G2569" s="4" t="s">
        <v>3776</v>
      </c>
      <c r="H2569" s="4" t="s">
        <v>32</v>
      </c>
      <c r="I2569" s="4" t="s">
        <v>33</v>
      </c>
      <c r="J2569" s="4">
        <v>1</v>
      </c>
      <c r="K2569" s="4">
        <v>0</v>
      </c>
      <c r="L2569" s="4">
        <f>J2569+K2569</f>
        <v>0</v>
      </c>
      <c r="M2569" s="4" t="s">
        <v>1645</v>
      </c>
      <c r="N2569" s="4"/>
      <c r="O2569" s="4">
        <v>1</v>
      </c>
      <c r="P2569" s="4" t="s">
        <v>135</v>
      </c>
      <c r="Q2569" s="4" t="s">
        <v>44</v>
      </c>
      <c r="R2569" s="7">
        <v>2100000</v>
      </c>
      <c r="S2569" s="7">
        <v>0</v>
      </c>
      <c r="T2569" s="7">
        <f>R2569-S2569</f>
        <v>0</v>
      </c>
      <c r="U2569" s="7">
        <f>T2569*O2569</f>
        <v>0</v>
      </c>
    </row>
    <row r="2570" spans="1:21">
      <c r="A2570" s="4" t="s">
        <v>3777</v>
      </c>
      <c r="B2570" s="4" t="s">
        <v>39</v>
      </c>
      <c r="C2570" s="5">
        <v>45957.33099537037</v>
      </c>
      <c r="D2570" s="5">
        <v>45957</v>
      </c>
      <c r="E2570" s="6">
        <f>IF(AND(C2570&lt;&gt;"",D2570&lt;&gt;""),D2570-C2570,"")</f>
        <v>0</v>
      </c>
      <c r="F2570" s="4" t="s">
        <v>3778</v>
      </c>
      <c r="G2570" s="4" t="s">
        <v>3779</v>
      </c>
      <c r="H2570" s="4" t="s">
        <v>32</v>
      </c>
      <c r="I2570" s="4" t="s">
        <v>33</v>
      </c>
      <c r="J2570" s="4">
        <v>0</v>
      </c>
      <c r="K2570" s="4">
        <v>0</v>
      </c>
      <c r="L2570" s="4">
        <f>J2570+K2570</f>
        <v>0</v>
      </c>
      <c r="M2570" s="4" t="s">
        <v>370</v>
      </c>
      <c r="N2570" s="4"/>
      <c r="O2570" s="4">
        <v>1</v>
      </c>
      <c r="P2570" s="4" t="s">
        <v>135</v>
      </c>
      <c r="Q2570" s="4" t="s">
        <v>44</v>
      </c>
      <c r="R2570" s="7">
        <v>1000000</v>
      </c>
      <c r="S2570" s="7">
        <v>0</v>
      </c>
      <c r="T2570" s="7">
        <f>R2570-S2570</f>
        <v>0</v>
      </c>
      <c r="U2570" s="7">
        <f>T2570*O2570</f>
        <v>0</v>
      </c>
    </row>
    <row r="2571" spans="1:21">
      <c r="A2571" s="4" t="s">
        <v>3780</v>
      </c>
      <c r="B2571" s="4" t="s">
        <v>39</v>
      </c>
      <c r="C2571" s="5">
        <v>45957.33109953703</v>
      </c>
      <c r="D2571" s="5">
        <v>45957</v>
      </c>
      <c r="E2571" s="6">
        <f>IF(AND(C2571&lt;&gt;"",D2571&lt;&gt;""),D2571-C2571,"")</f>
        <v>0</v>
      </c>
      <c r="F2571" s="4" t="s">
        <v>3781</v>
      </c>
      <c r="G2571" s="4" t="s">
        <v>3782</v>
      </c>
      <c r="H2571" s="4" t="s">
        <v>190</v>
      </c>
      <c r="I2571" s="4" t="s">
        <v>56</v>
      </c>
      <c r="J2571" s="4">
        <v>0</v>
      </c>
      <c r="K2571" s="4">
        <v>0</v>
      </c>
      <c r="L2571" s="4">
        <f>J2571+K2571</f>
        <v>0</v>
      </c>
      <c r="M2571" s="4" t="s">
        <v>370</v>
      </c>
      <c r="N2571" s="4"/>
      <c r="O2571" s="4">
        <v>1</v>
      </c>
      <c r="P2571" s="4" t="s">
        <v>135</v>
      </c>
      <c r="Q2571" s="4" t="s">
        <v>44</v>
      </c>
      <c r="R2571" s="7">
        <v>1000000</v>
      </c>
      <c r="S2571" s="7">
        <v>0</v>
      </c>
      <c r="T2571" s="7">
        <f>R2571-S2571</f>
        <v>0</v>
      </c>
      <c r="U2571" s="7">
        <f>T2571*O2571</f>
        <v>0</v>
      </c>
    </row>
    <row r="2572" spans="1:21">
      <c r="A2572" s="4" t="s">
        <v>3783</v>
      </c>
      <c r="B2572" s="4" t="s">
        <v>39</v>
      </c>
      <c r="C2572" s="5">
        <v>45957.33230324074</v>
      </c>
      <c r="D2572" s="5">
        <v>45957</v>
      </c>
      <c r="E2572" s="6">
        <f>IF(AND(C2572&lt;&gt;"",D2572&lt;&gt;""),D2572-C2572,"")</f>
        <v>0</v>
      </c>
      <c r="F2572" s="4" t="s">
        <v>3775</v>
      </c>
      <c r="G2572" s="4" t="s">
        <v>3784</v>
      </c>
      <c r="H2572" s="4" t="s">
        <v>32</v>
      </c>
      <c r="I2572" s="4" t="s">
        <v>33</v>
      </c>
      <c r="J2572" s="4">
        <v>1</v>
      </c>
      <c r="K2572" s="4">
        <v>0</v>
      </c>
      <c r="L2572" s="4">
        <f>J2572+K2572</f>
        <v>0</v>
      </c>
      <c r="M2572" s="4" t="s">
        <v>1645</v>
      </c>
      <c r="N2572" s="4"/>
      <c r="O2572" s="4">
        <v>1</v>
      </c>
      <c r="P2572" s="4" t="s">
        <v>135</v>
      </c>
      <c r="Q2572" s="4" t="s">
        <v>44</v>
      </c>
      <c r="R2572" s="7">
        <v>2100000</v>
      </c>
      <c r="S2572" s="7">
        <v>0</v>
      </c>
      <c r="T2572" s="7">
        <f>R2572-S2572</f>
        <v>0</v>
      </c>
      <c r="U2572" s="7">
        <f>T2572*O2572</f>
        <v>0</v>
      </c>
    </row>
    <row r="2573" spans="1:21">
      <c r="A2573" s="4" t="s">
        <v>3785</v>
      </c>
      <c r="B2573" s="4" t="s">
        <v>39</v>
      </c>
      <c r="C2573" s="5">
        <v>45957.33335648148</v>
      </c>
      <c r="D2573" s="5">
        <v>45957</v>
      </c>
      <c r="E2573" s="6">
        <f>IF(AND(C2573&lt;&gt;"",D2573&lt;&gt;""),D2573-C2573,"")</f>
        <v>0</v>
      </c>
      <c r="F2573" s="4" t="s">
        <v>1410</v>
      </c>
      <c r="G2573" s="4" t="s">
        <v>3786</v>
      </c>
      <c r="H2573" s="4" t="s">
        <v>32</v>
      </c>
      <c r="I2573" s="4" t="s">
        <v>33</v>
      </c>
      <c r="J2573" s="4">
        <v>0</v>
      </c>
      <c r="K2573" s="4">
        <v>0</v>
      </c>
      <c r="L2573" s="4">
        <f>J2573+K2573</f>
        <v>0</v>
      </c>
      <c r="M2573" s="4" t="s">
        <v>370</v>
      </c>
      <c r="N2573" s="4"/>
      <c r="O2573" s="4">
        <v>1</v>
      </c>
      <c r="P2573" s="4" t="s">
        <v>135</v>
      </c>
      <c r="Q2573" s="4" t="s">
        <v>44</v>
      </c>
      <c r="R2573" s="7">
        <v>1000000</v>
      </c>
      <c r="S2573" s="7">
        <v>0</v>
      </c>
      <c r="T2573" s="7">
        <f>R2573-S2573</f>
        <v>0</v>
      </c>
      <c r="U2573" s="7">
        <f>T2573*O2573</f>
        <v>0</v>
      </c>
    </row>
    <row r="2574" spans="1:21">
      <c r="A2574" s="4" t="s">
        <v>3787</v>
      </c>
      <c r="B2574" s="4" t="s">
        <v>39</v>
      </c>
      <c r="C2574" s="5">
        <v>45957.33453703704</v>
      </c>
      <c r="D2574" s="5">
        <v>45961</v>
      </c>
      <c r="E2574" s="6">
        <f>IF(AND(C2574&lt;&gt;"",D2574&lt;&gt;""),D2574-C2574,"")</f>
        <v>0</v>
      </c>
      <c r="F2574" s="4" t="s">
        <v>30</v>
      </c>
      <c r="G2574" s="4" t="s">
        <v>31</v>
      </c>
      <c r="H2574" s="4" t="s">
        <v>32</v>
      </c>
      <c r="I2574" s="4" t="s">
        <v>33</v>
      </c>
      <c r="J2574" s="4">
        <v>3</v>
      </c>
      <c r="K2574" s="4">
        <v>2</v>
      </c>
      <c r="L2574" s="4">
        <f>J2574+K2574</f>
        <v>0</v>
      </c>
      <c r="M2574" s="4"/>
      <c r="N2574" s="4"/>
      <c r="O2574" s="4">
        <v>0</v>
      </c>
      <c r="P2574" s="4"/>
      <c r="Q2574" s="4"/>
      <c r="R2574" s="7">
        <v>0</v>
      </c>
      <c r="S2574" s="7">
        <v>0</v>
      </c>
      <c r="T2574" s="7">
        <f>R2574-S2574</f>
        <v>0</v>
      </c>
      <c r="U2574" s="7">
        <f>T2574*O2574</f>
        <v>0</v>
      </c>
    </row>
    <row r="2575" spans="1:21">
      <c r="A2575" s="4" t="s">
        <v>3788</v>
      </c>
      <c r="B2575" s="4" t="s">
        <v>39</v>
      </c>
      <c r="C2575" s="5">
        <v>45957.33459490741</v>
      </c>
      <c r="D2575" s="5">
        <v>45957</v>
      </c>
      <c r="E2575" s="6">
        <f>IF(AND(C2575&lt;&gt;"",D2575&lt;&gt;""),D2575-C2575,"")</f>
        <v>0</v>
      </c>
      <c r="F2575" s="4" t="s">
        <v>3789</v>
      </c>
      <c r="G2575" s="4" t="s">
        <v>3790</v>
      </c>
      <c r="H2575" s="4"/>
      <c r="I2575" s="4" t="s">
        <v>56</v>
      </c>
      <c r="J2575" s="4">
        <v>0</v>
      </c>
      <c r="K2575" s="4">
        <v>0</v>
      </c>
      <c r="L2575" s="4">
        <f>J2575+K2575</f>
        <v>0</v>
      </c>
      <c r="M2575" s="4" t="s">
        <v>370</v>
      </c>
      <c r="N2575" s="4"/>
      <c r="O2575" s="4">
        <v>1</v>
      </c>
      <c r="P2575" s="4" t="s">
        <v>135</v>
      </c>
      <c r="Q2575" s="4" t="s">
        <v>44</v>
      </c>
      <c r="R2575" s="7">
        <v>500000</v>
      </c>
      <c r="S2575" s="7">
        <v>0</v>
      </c>
      <c r="T2575" s="7">
        <f>R2575-S2575</f>
        <v>0</v>
      </c>
      <c r="U2575" s="7">
        <f>T2575*O2575</f>
        <v>0</v>
      </c>
    </row>
    <row r="2576" spans="1:21">
      <c r="A2576" s="4" t="s">
        <v>3791</v>
      </c>
      <c r="B2576" s="4" t="s">
        <v>39</v>
      </c>
      <c r="C2576" s="5">
        <v>45957.33775462963</v>
      </c>
      <c r="D2576" s="5">
        <v>45957</v>
      </c>
      <c r="E2576" s="6">
        <f>IF(AND(C2576&lt;&gt;"",D2576&lt;&gt;""),D2576-C2576,"")</f>
        <v>0</v>
      </c>
      <c r="F2576" s="4" t="s">
        <v>3792</v>
      </c>
      <c r="G2576" s="4" t="s">
        <v>3793</v>
      </c>
      <c r="H2576" s="4" t="s">
        <v>32</v>
      </c>
      <c r="I2576" s="4" t="s">
        <v>33</v>
      </c>
      <c r="J2576" s="4">
        <v>1</v>
      </c>
      <c r="K2576" s="4">
        <v>0</v>
      </c>
      <c r="L2576" s="4">
        <f>J2576+K2576</f>
        <v>0</v>
      </c>
      <c r="M2576" s="4" t="s">
        <v>1645</v>
      </c>
      <c r="N2576" s="4"/>
      <c r="O2576" s="4">
        <v>1</v>
      </c>
      <c r="P2576" s="4" t="s">
        <v>135</v>
      </c>
      <c r="Q2576" s="4" t="s">
        <v>44</v>
      </c>
      <c r="R2576" s="7">
        <v>2100000</v>
      </c>
      <c r="S2576" s="7">
        <v>0</v>
      </c>
      <c r="T2576" s="7">
        <f>R2576-S2576</f>
        <v>0</v>
      </c>
      <c r="U2576" s="7">
        <f>T2576*O2576</f>
        <v>0</v>
      </c>
    </row>
    <row r="2577" spans="1:21">
      <c r="A2577" s="4" t="s">
        <v>3794</v>
      </c>
      <c r="B2577" s="4" t="s">
        <v>39</v>
      </c>
      <c r="C2577" s="5">
        <v>45957.34112268518</v>
      </c>
      <c r="D2577" s="5">
        <v>45957</v>
      </c>
      <c r="E2577" s="6">
        <f>IF(AND(C2577&lt;&gt;"",D2577&lt;&gt;""),D2577-C2577,"")</f>
        <v>0</v>
      </c>
      <c r="F2577" s="4" t="s">
        <v>3795</v>
      </c>
      <c r="G2577" s="4" t="s">
        <v>3796</v>
      </c>
      <c r="H2577" s="4" t="s">
        <v>32</v>
      </c>
      <c r="I2577" s="4" t="s">
        <v>33</v>
      </c>
      <c r="J2577" s="4">
        <v>1</v>
      </c>
      <c r="K2577" s="4">
        <v>0</v>
      </c>
      <c r="L2577" s="4">
        <f>J2577+K2577</f>
        <v>0</v>
      </c>
      <c r="M2577" s="4" t="s">
        <v>1645</v>
      </c>
      <c r="N2577" s="4"/>
      <c r="O2577" s="4">
        <v>1</v>
      </c>
      <c r="P2577" s="4" t="s">
        <v>135</v>
      </c>
      <c r="Q2577" s="4" t="s">
        <v>44</v>
      </c>
      <c r="R2577" s="7">
        <v>2100000</v>
      </c>
      <c r="S2577" s="7">
        <v>0</v>
      </c>
      <c r="T2577" s="7">
        <f>R2577-S2577</f>
        <v>0</v>
      </c>
      <c r="U2577" s="7">
        <f>T2577*O2577</f>
        <v>0</v>
      </c>
    </row>
    <row r="2578" spans="1:21">
      <c r="A2578" s="4" t="s">
        <v>3797</v>
      </c>
      <c r="B2578" s="4" t="s">
        <v>39</v>
      </c>
      <c r="C2578" s="5">
        <v>45957.34292824074</v>
      </c>
      <c r="D2578" s="5">
        <v>45957</v>
      </c>
      <c r="E2578" s="6">
        <f>IF(AND(C2578&lt;&gt;"",D2578&lt;&gt;""),D2578-C2578,"")</f>
        <v>0</v>
      </c>
      <c r="F2578" s="4" t="s">
        <v>3798</v>
      </c>
      <c r="G2578" s="4" t="s">
        <v>3799</v>
      </c>
      <c r="H2578" s="4" t="s">
        <v>32</v>
      </c>
      <c r="I2578" s="4" t="s">
        <v>33</v>
      </c>
      <c r="J2578" s="4">
        <v>1</v>
      </c>
      <c r="K2578" s="4">
        <v>0</v>
      </c>
      <c r="L2578" s="4">
        <f>J2578+K2578</f>
        <v>0</v>
      </c>
      <c r="M2578" s="4" t="s">
        <v>1645</v>
      </c>
      <c r="N2578" s="4"/>
      <c r="O2578" s="4">
        <v>1</v>
      </c>
      <c r="P2578" s="4" t="s">
        <v>135</v>
      </c>
      <c r="Q2578" s="4"/>
      <c r="R2578" s="7">
        <v>2100000</v>
      </c>
      <c r="S2578" s="7">
        <v>0</v>
      </c>
      <c r="T2578" s="7">
        <f>R2578-S2578</f>
        <v>0</v>
      </c>
      <c r="U2578" s="7">
        <f>T2578*O2578</f>
        <v>0</v>
      </c>
    </row>
    <row r="2579" spans="1:21">
      <c r="A2579" s="4" t="s">
        <v>3800</v>
      </c>
      <c r="B2579" s="4" t="s">
        <v>39</v>
      </c>
      <c r="C2579" s="5">
        <v>45957.35179398148</v>
      </c>
      <c r="D2579" s="5">
        <v>45957</v>
      </c>
      <c r="E2579" s="6">
        <f>IF(AND(C2579&lt;&gt;"",D2579&lt;&gt;""),D2579-C2579,"")</f>
        <v>0</v>
      </c>
      <c r="F2579" s="4" t="s">
        <v>918</v>
      </c>
      <c r="G2579" s="4" t="s">
        <v>919</v>
      </c>
      <c r="H2579" s="4"/>
      <c r="I2579" s="4" t="s">
        <v>56</v>
      </c>
      <c r="J2579" s="4">
        <v>1</v>
      </c>
      <c r="K2579" s="4">
        <v>0</v>
      </c>
      <c r="L2579" s="4">
        <f>J2579+K2579</f>
        <v>0</v>
      </c>
      <c r="M2579" s="4" t="s">
        <v>976</v>
      </c>
      <c r="N2579" s="4"/>
      <c r="O2579" s="4">
        <v>1</v>
      </c>
      <c r="P2579" s="4" t="s">
        <v>135</v>
      </c>
      <c r="Q2579" s="4" t="s">
        <v>44</v>
      </c>
      <c r="R2579" s="7">
        <v>1500000</v>
      </c>
      <c r="S2579" s="7">
        <v>0</v>
      </c>
      <c r="T2579" s="7">
        <f>R2579-S2579</f>
        <v>0</v>
      </c>
      <c r="U2579" s="7">
        <f>T2579*O2579</f>
        <v>0</v>
      </c>
    </row>
    <row r="2580" spans="1:21">
      <c r="A2580" s="4" t="s">
        <v>3801</v>
      </c>
      <c r="B2580" s="4" t="s">
        <v>39</v>
      </c>
      <c r="C2580" s="5">
        <v>45957.36287037037</v>
      </c>
      <c r="D2580" s="5">
        <v>45957</v>
      </c>
      <c r="E2580" s="6">
        <f>IF(AND(C2580&lt;&gt;"",D2580&lt;&gt;""),D2580-C2580,"")</f>
        <v>0</v>
      </c>
      <c r="F2580" s="4" t="s">
        <v>459</v>
      </c>
      <c r="G2580" s="4" t="s">
        <v>3802</v>
      </c>
      <c r="H2580" s="4" t="s">
        <v>32</v>
      </c>
      <c r="I2580" s="4" t="s">
        <v>33</v>
      </c>
      <c r="J2580" s="4">
        <v>0</v>
      </c>
      <c r="K2580" s="4">
        <v>0</v>
      </c>
      <c r="L2580" s="4">
        <f>J2580+K2580</f>
        <v>0</v>
      </c>
      <c r="M2580" s="4" t="s">
        <v>3803</v>
      </c>
      <c r="N2580" s="4"/>
      <c r="O2580" s="4">
        <v>1</v>
      </c>
      <c r="P2580" s="4" t="s">
        <v>135</v>
      </c>
      <c r="Q2580" s="4"/>
      <c r="R2580" s="7">
        <v>114000</v>
      </c>
      <c r="S2580" s="7">
        <v>0</v>
      </c>
      <c r="T2580" s="7">
        <f>R2580-S2580</f>
        <v>0</v>
      </c>
      <c r="U2580" s="7">
        <f>T2580*O2580</f>
        <v>0</v>
      </c>
    </row>
    <row r="2581" spans="1:21">
      <c r="A2581" s="4" t="s">
        <v>3801</v>
      </c>
      <c r="B2581" s="4" t="s">
        <v>39</v>
      </c>
      <c r="C2581" s="5">
        <v>45957.36287037037</v>
      </c>
      <c r="D2581" s="5">
        <v>45957</v>
      </c>
      <c r="E2581" s="6">
        <f>IF(AND(C2581&lt;&gt;"",D2581&lt;&gt;""),D2581-C2581,"")</f>
        <v>0</v>
      </c>
      <c r="F2581" s="4" t="s">
        <v>459</v>
      </c>
      <c r="G2581" s="4" t="s">
        <v>3802</v>
      </c>
      <c r="H2581" s="4" t="s">
        <v>32</v>
      </c>
      <c r="I2581" s="4" t="s">
        <v>33</v>
      </c>
      <c r="J2581" s="4">
        <v>0</v>
      </c>
      <c r="K2581" s="4">
        <v>0</v>
      </c>
      <c r="L2581" s="4">
        <f>J2581+K2581</f>
        <v>0</v>
      </c>
      <c r="M2581" s="4" t="s">
        <v>1544</v>
      </c>
      <c r="N2581" s="4"/>
      <c r="O2581" s="4">
        <v>1</v>
      </c>
      <c r="P2581" s="4" t="s">
        <v>135</v>
      </c>
      <c r="Q2581" s="4"/>
      <c r="R2581" s="7">
        <v>112000</v>
      </c>
      <c r="S2581" s="7">
        <v>0</v>
      </c>
      <c r="T2581" s="7">
        <f>R2581-S2581</f>
        <v>0</v>
      </c>
      <c r="U2581" s="7">
        <f>T2581*O2581</f>
        <v>0</v>
      </c>
    </row>
    <row r="2582" spans="1:21">
      <c r="A2582" s="4" t="s">
        <v>3801</v>
      </c>
      <c r="B2582" s="4" t="s">
        <v>39</v>
      </c>
      <c r="C2582" s="5">
        <v>45957.36287037037</v>
      </c>
      <c r="D2582" s="5">
        <v>45957</v>
      </c>
      <c r="E2582" s="6">
        <f>IF(AND(C2582&lt;&gt;"",D2582&lt;&gt;""),D2582-C2582,"")</f>
        <v>0</v>
      </c>
      <c r="F2582" s="4" t="s">
        <v>459</v>
      </c>
      <c r="G2582" s="4" t="s">
        <v>3802</v>
      </c>
      <c r="H2582" s="4" t="s">
        <v>32</v>
      </c>
      <c r="I2582" s="4" t="s">
        <v>33</v>
      </c>
      <c r="J2582" s="4">
        <v>0</v>
      </c>
      <c r="K2582" s="4">
        <v>0</v>
      </c>
      <c r="L2582" s="4">
        <f>J2582+K2582</f>
        <v>0</v>
      </c>
      <c r="M2582" s="4" t="s">
        <v>915</v>
      </c>
      <c r="N2582" s="4"/>
      <c r="O2582" s="4">
        <v>1</v>
      </c>
      <c r="P2582" s="4" t="s">
        <v>135</v>
      </c>
      <c r="Q2582" s="4"/>
      <c r="R2582" s="7">
        <v>50000</v>
      </c>
      <c r="S2582" s="7">
        <v>0</v>
      </c>
      <c r="T2582" s="7">
        <f>R2582-S2582</f>
        <v>0</v>
      </c>
      <c r="U2582" s="7">
        <f>T2582*O2582</f>
        <v>0</v>
      </c>
    </row>
    <row r="2583" spans="1:21">
      <c r="A2583" s="4" t="s">
        <v>3801</v>
      </c>
      <c r="B2583" s="4" t="s">
        <v>39</v>
      </c>
      <c r="C2583" s="5">
        <v>45957.36287037037</v>
      </c>
      <c r="D2583" s="5">
        <v>45957</v>
      </c>
      <c r="E2583" s="6">
        <f>IF(AND(C2583&lt;&gt;"",D2583&lt;&gt;""),D2583-C2583,"")</f>
        <v>0</v>
      </c>
      <c r="F2583" s="4" t="s">
        <v>459</v>
      </c>
      <c r="G2583" s="4" t="s">
        <v>3802</v>
      </c>
      <c r="H2583" s="4" t="s">
        <v>32</v>
      </c>
      <c r="I2583" s="4" t="s">
        <v>33</v>
      </c>
      <c r="J2583" s="4">
        <v>0</v>
      </c>
      <c r="K2583" s="4">
        <v>0</v>
      </c>
      <c r="L2583" s="4">
        <f>J2583+K2583</f>
        <v>0</v>
      </c>
      <c r="M2583" s="4" t="s">
        <v>3804</v>
      </c>
      <c r="N2583" s="4"/>
      <c r="O2583" s="4">
        <v>1</v>
      </c>
      <c r="P2583" s="4" t="s">
        <v>135</v>
      </c>
      <c r="Q2583" s="4"/>
      <c r="R2583" s="7">
        <v>0</v>
      </c>
      <c r="S2583" s="7">
        <v>0</v>
      </c>
      <c r="T2583" s="7">
        <f>R2583-S2583</f>
        <v>0</v>
      </c>
      <c r="U2583" s="7">
        <f>T2583*O2583</f>
        <v>0</v>
      </c>
    </row>
    <row r="2584" spans="1:21">
      <c r="A2584" s="4" t="s">
        <v>3801</v>
      </c>
      <c r="B2584" s="4" t="s">
        <v>39</v>
      </c>
      <c r="C2584" s="5">
        <v>45957.36287037037</v>
      </c>
      <c r="D2584" s="5">
        <v>45957</v>
      </c>
      <c r="E2584" s="6">
        <f>IF(AND(C2584&lt;&gt;"",D2584&lt;&gt;""),D2584-C2584,"")</f>
        <v>0</v>
      </c>
      <c r="F2584" s="4" t="s">
        <v>459</v>
      </c>
      <c r="G2584" s="4" t="s">
        <v>3802</v>
      </c>
      <c r="H2584" s="4" t="s">
        <v>32</v>
      </c>
      <c r="I2584" s="4" t="s">
        <v>33</v>
      </c>
      <c r="J2584" s="4">
        <v>0</v>
      </c>
      <c r="K2584" s="4">
        <v>0</v>
      </c>
      <c r="L2584" s="4">
        <f>J2584+K2584</f>
        <v>0</v>
      </c>
      <c r="M2584" s="4" t="s">
        <v>1840</v>
      </c>
      <c r="N2584" s="4"/>
      <c r="O2584" s="4">
        <v>1</v>
      </c>
      <c r="P2584" s="4" t="s">
        <v>135</v>
      </c>
      <c r="Q2584" s="4"/>
      <c r="R2584" s="7">
        <v>153000</v>
      </c>
      <c r="S2584" s="7">
        <v>0</v>
      </c>
      <c r="T2584" s="7">
        <f>R2584-S2584</f>
        <v>0</v>
      </c>
      <c r="U2584" s="7">
        <f>T2584*O2584</f>
        <v>0</v>
      </c>
    </row>
    <row r="2585" spans="1:21">
      <c r="A2585" s="4" t="s">
        <v>3805</v>
      </c>
      <c r="B2585" s="4" t="s">
        <v>39</v>
      </c>
      <c r="C2585" s="5">
        <v>45957.36386574074</v>
      </c>
      <c r="D2585" s="5">
        <v>45957</v>
      </c>
      <c r="E2585" s="6">
        <f>IF(AND(C2585&lt;&gt;"",D2585&lt;&gt;""),D2585-C2585,"")</f>
        <v>0</v>
      </c>
      <c r="F2585" s="4" t="s">
        <v>3806</v>
      </c>
      <c r="G2585" s="4" t="s">
        <v>3807</v>
      </c>
      <c r="H2585" s="4" t="s">
        <v>32</v>
      </c>
      <c r="I2585" s="4" t="s">
        <v>33</v>
      </c>
      <c r="J2585" s="4">
        <v>0</v>
      </c>
      <c r="K2585" s="4">
        <v>0</v>
      </c>
      <c r="L2585" s="4">
        <f>J2585+K2585</f>
        <v>0</v>
      </c>
      <c r="M2585" s="4" t="s">
        <v>1544</v>
      </c>
      <c r="N2585" s="4"/>
      <c r="O2585" s="4">
        <v>1</v>
      </c>
      <c r="P2585" s="4" t="s">
        <v>135</v>
      </c>
      <c r="Q2585" s="4"/>
      <c r="R2585" s="7">
        <v>112000</v>
      </c>
      <c r="S2585" s="7">
        <v>0</v>
      </c>
      <c r="T2585" s="7">
        <f>R2585-S2585</f>
        <v>0</v>
      </c>
      <c r="U2585" s="7">
        <f>T2585*O2585</f>
        <v>0</v>
      </c>
    </row>
    <row r="2586" spans="1:21">
      <c r="A2586" s="4" t="s">
        <v>3805</v>
      </c>
      <c r="B2586" s="4" t="s">
        <v>39</v>
      </c>
      <c r="C2586" s="5">
        <v>45957.36386574074</v>
      </c>
      <c r="D2586" s="5">
        <v>45957</v>
      </c>
      <c r="E2586" s="6">
        <f>IF(AND(C2586&lt;&gt;"",D2586&lt;&gt;""),D2586-C2586,"")</f>
        <v>0</v>
      </c>
      <c r="F2586" s="4" t="s">
        <v>3806</v>
      </c>
      <c r="G2586" s="4" t="s">
        <v>3807</v>
      </c>
      <c r="H2586" s="4" t="s">
        <v>32</v>
      </c>
      <c r="I2586" s="4" t="s">
        <v>33</v>
      </c>
      <c r="J2586" s="4">
        <v>0</v>
      </c>
      <c r="K2586" s="4">
        <v>0</v>
      </c>
      <c r="L2586" s="4">
        <f>J2586+K2586</f>
        <v>0</v>
      </c>
      <c r="M2586" s="4" t="s">
        <v>1774</v>
      </c>
      <c r="N2586" s="4"/>
      <c r="O2586" s="4">
        <v>1</v>
      </c>
      <c r="P2586" s="4" t="s">
        <v>135</v>
      </c>
      <c r="Q2586" s="4"/>
      <c r="R2586" s="7">
        <v>163000</v>
      </c>
      <c r="S2586" s="7">
        <v>0</v>
      </c>
      <c r="T2586" s="7">
        <f>R2586-S2586</f>
        <v>0</v>
      </c>
      <c r="U2586" s="7">
        <f>T2586*O2586</f>
        <v>0</v>
      </c>
    </row>
    <row r="2587" spans="1:21">
      <c r="A2587" s="4" t="s">
        <v>3805</v>
      </c>
      <c r="B2587" s="4" t="s">
        <v>39</v>
      </c>
      <c r="C2587" s="5">
        <v>45957.36386574074</v>
      </c>
      <c r="D2587" s="5">
        <v>45957</v>
      </c>
      <c r="E2587" s="6">
        <f>IF(AND(C2587&lt;&gt;"",D2587&lt;&gt;""),D2587-C2587,"")</f>
        <v>0</v>
      </c>
      <c r="F2587" s="4" t="s">
        <v>3806</v>
      </c>
      <c r="G2587" s="4" t="s">
        <v>3807</v>
      </c>
      <c r="H2587" s="4" t="s">
        <v>32</v>
      </c>
      <c r="I2587" s="4" t="s">
        <v>33</v>
      </c>
      <c r="J2587" s="4">
        <v>0</v>
      </c>
      <c r="K2587" s="4">
        <v>0</v>
      </c>
      <c r="L2587" s="4">
        <f>J2587+K2587</f>
        <v>0</v>
      </c>
      <c r="M2587" s="4" t="s">
        <v>1774</v>
      </c>
      <c r="N2587" s="4"/>
      <c r="O2587" s="4">
        <v>11</v>
      </c>
      <c r="P2587" s="4" t="s">
        <v>135</v>
      </c>
      <c r="Q2587" s="4"/>
      <c r="R2587" s="7">
        <v>163000</v>
      </c>
      <c r="S2587" s="7">
        <v>0</v>
      </c>
      <c r="T2587" s="7">
        <f>R2587-S2587</f>
        <v>0</v>
      </c>
      <c r="U2587" s="7">
        <f>T2587*O2587</f>
        <v>0</v>
      </c>
    </row>
    <row r="2588" spans="1:21">
      <c r="A2588" s="4" t="s">
        <v>3805</v>
      </c>
      <c r="B2588" s="4" t="s">
        <v>39</v>
      </c>
      <c r="C2588" s="5">
        <v>45957.36386574074</v>
      </c>
      <c r="D2588" s="5">
        <v>45957</v>
      </c>
      <c r="E2588" s="6">
        <f>IF(AND(C2588&lt;&gt;"",D2588&lt;&gt;""),D2588-C2588,"")</f>
        <v>0</v>
      </c>
      <c r="F2588" s="4" t="s">
        <v>3806</v>
      </c>
      <c r="G2588" s="4" t="s">
        <v>3807</v>
      </c>
      <c r="H2588" s="4" t="s">
        <v>32</v>
      </c>
      <c r="I2588" s="4" t="s">
        <v>33</v>
      </c>
      <c r="J2588" s="4">
        <v>0</v>
      </c>
      <c r="K2588" s="4">
        <v>0</v>
      </c>
      <c r="L2588" s="4">
        <f>J2588+K2588</f>
        <v>0</v>
      </c>
      <c r="M2588" s="4" t="s">
        <v>915</v>
      </c>
      <c r="N2588" s="4"/>
      <c r="O2588" s="4">
        <v>1</v>
      </c>
      <c r="P2588" s="4" t="s">
        <v>135</v>
      </c>
      <c r="Q2588" s="4"/>
      <c r="R2588" s="7">
        <v>50000</v>
      </c>
      <c r="S2588" s="7">
        <v>0</v>
      </c>
      <c r="T2588" s="7">
        <f>R2588-S2588</f>
        <v>0</v>
      </c>
      <c r="U2588" s="7">
        <f>T2588*O2588</f>
        <v>0</v>
      </c>
    </row>
    <row r="2589" spans="1:21">
      <c r="A2589" s="4" t="s">
        <v>3808</v>
      </c>
      <c r="B2589" s="4" t="s">
        <v>39</v>
      </c>
      <c r="C2589" s="5">
        <v>45957.36543981481</v>
      </c>
      <c r="D2589" s="5">
        <v>45957</v>
      </c>
      <c r="E2589" s="6">
        <f>IF(AND(C2589&lt;&gt;"",D2589&lt;&gt;""),D2589-C2589,"")</f>
        <v>0</v>
      </c>
      <c r="F2589" s="4" t="s">
        <v>3809</v>
      </c>
      <c r="G2589" s="4" t="s">
        <v>3810</v>
      </c>
      <c r="H2589" s="4" t="s">
        <v>32</v>
      </c>
      <c r="I2589" s="4" t="s">
        <v>33</v>
      </c>
      <c r="J2589" s="4">
        <v>1</v>
      </c>
      <c r="K2589" s="4">
        <v>0</v>
      </c>
      <c r="L2589" s="4">
        <f>J2589+K2589</f>
        <v>0</v>
      </c>
      <c r="M2589" s="4" t="s">
        <v>1645</v>
      </c>
      <c r="N2589" s="4"/>
      <c r="O2589" s="4">
        <v>1</v>
      </c>
      <c r="P2589" s="4" t="s">
        <v>135</v>
      </c>
      <c r="Q2589" s="4"/>
      <c r="R2589" s="7">
        <v>2100000</v>
      </c>
      <c r="S2589" s="7">
        <v>0</v>
      </c>
      <c r="T2589" s="7">
        <f>R2589-S2589</f>
        <v>0</v>
      </c>
      <c r="U2589" s="7">
        <f>T2589*O2589</f>
        <v>0</v>
      </c>
    </row>
    <row r="2590" spans="1:21">
      <c r="A2590" s="4" t="s">
        <v>3811</v>
      </c>
      <c r="B2590" s="4" t="s">
        <v>39</v>
      </c>
      <c r="C2590" s="5">
        <v>45957.36599537037</v>
      </c>
      <c r="D2590" s="5">
        <v>45957</v>
      </c>
      <c r="E2590" s="6">
        <f>IF(AND(C2590&lt;&gt;"",D2590&lt;&gt;""),D2590-C2590,"")</f>
        <v>0</v>
      </c>
      <c r="F2590" s="4" t="s">
        <v>3812</v>
      </c>
      <c r="G2590" s="4" t="s">
        <v>3813</v>
      </c>
      <c r="H2590" s="4" t="s">
        <v>32</v>
      </c>
      <c r="I2590" s="4" t="s">
        <v>33</v>
      </c>
      <c r="J2590" s="4">
        <v>1</v>
      </c>
      <c r="K2590" s="4">
        <v>0</v>
      </c>
      <c r="L2590" s="4">
        <f>J2590+K2590</f>
        <v>0</v>
      </c>
      <c r="M2590" s="4" t="s">
        <v>1645</v>
      </c>
      <c r="N2590" s="4"/>
      <c r="O2590" s="4">
        <v>1</v>
      </c>
      <c r="P2590" s="4" t="s">
        <v>135</v>
      </c>
      <c r="Q2590" s="4"/>
      <c r="R2590" s="7">
        <v>2100000</v>
      </c>
      <c r="S2590" s="7">
        <v>0</v>
      </c>
      <c r="T2590" s="7">
        <f>R2590-S2590</f>
        <v>0</v>
      </c>
      <c r="U2590" s="7">
        <f>T2590*O2590</f>
        <v>0</v>
      </c>
    </row>
    <row r="2591" spans="1:21">
      <c r="A2591" s="4" t="s">
        <v>3811</v>
      </c>
      <c r="B2591" s="4" t="s">
        <v>39</v>
      </c>
      <c r="C2591" s="5">
        <v>45957.36599537037</v>
      </c>
      <c r="D2591" s="5">
        <v>45957</v>
      </c>
      <c r="E2591" s="6">
        <f>IF(AND(C2591&lt;&gt;"",D2591&lt;&gt;""),D2591-C2591,"")</f>
        <v>0</v>
      </c>
      <c r="F2591" s="4" t="s">
        <v>3812</v>
      </c>
      <c r="G2591" s="4" t="s">
        <v>3813</v>
      </c>
      <c r="H2591" s="4" t="s">
        <v>32</v>
      </c>
      <c r="I2591" s="4" t="s">
        <v>33</v>
      </c>
      <c r="J2591" s="4">
        <v>3</v>
      </c>
      <c r="K2591" s="4">
        <v>0</v>
      </c>
      <c r="L2591" s="4">
        <f>J2591+K2591</f>
        <v>0</v>
      </c>
      <c r="M2591" s="4" t="s">
        <v>42</v>
      </c>
      <c r="N2591" s="4"/>
      <c r="O2591" s="4">
        <v>3</v>
      </c>
      <c r="P2591" s="4" t="s">
        <v>135</v>
      </c>
      <c r="Q2591" s="4"/>
      <c r="R2591" s="7">
        <v>370000</v>
      </c>
      <c r="S2591" s="7">
        <v>0</v>
      </c>
      <c r="T2591" s="7">
        <f>R2591-S2591</f>
        <v>0</v>
      </c>
      <c r="U2591" s="7">
        <f>T2591*O2591</f>
        <v>0</v>
      </c>
    </row>
    <row r="2592" spans="1:21">
      <c r="A2592" s="4" t="s">
        <v>3811</v>
      </c>
      <c r="B2592" s="4" t="s">
        <v>39</v>
      </c>
      <c r="C2592" s="5">
        <v>45957.36599537037</v>
      </c>
      <c r="D2592" s="5">
        <v>45957</v>
      </c>
      <c r="E2592" s="6">
        <f>IF(AND(C2592&lt;&gt;"",D2592&lt;&gt;""),D2592-C2592,"")</f>
        <v>0</v>
      </c>
      <c r="F2592" s="4" t="s">
        <v>3812</v>
      </c>
      <c r="G2592" s="4" t="s">
        <v>3813</v>
      </c>
      <c r="H2592" s="4" t="s">
        <v>32</v>
      </c>
      <c r="I2592" s="4" t="s">
        <v>33</v>
      </c>
      <c r="J2592" s="4">
        <v>2</v>
      </c>
      <c r="K2592" s="4">
        <v>0</v>
      </c>
      <c r="L2592" s="4">
        <f>J2592+K2592</f>
        <v>0</v>
      </c>
      <c r="M2592" s="4" t="s">
        <v>80</v>
      </c>
      <c r="N2592" s="4"/>
      <c r="O2592" s="4">
        <v>2</v>
      </c>
      <c r="P2592" s="4" t="s">
        <v>135</v>
      </c>
      <c r="Q2592" s="4"/>
      <c r="R2592" s="7">
        <v>610000</v>
      </c>
      <c r="S2592" s="7">
        <v>0</v>
      </c>
      <c r="T2592" s="7">
        <f>R2592-S2592</f>
        <v>0</v>
      </c>
      <c r="U2592" s="7">
        <f>T2592*O2592</f>
        <v>0</v>
      </c>
    </row>
    <row r="2593" spans="1:21">
      <c r="A2593" s="4" t="s">
        <v>3811</v>
      </c>
      <c r="B2593" s="4" t="s">
        <v>39</v>
      </c>
      <c r="C2593" s="5">
        <v>45957.36599537037</v>
      </c>
      <c r="D2593" s="5">
        <v>45957</v>
      </c>
      <c r="E2593" s="6">
        <f>IF(AND(C2593&lt;&gt;"",D2593&lt;&gt;""),D2593-C2593,"")</f>
        <v>0</v>
      </c>
      <c r="F2593" s="4" t="s">
        <v>3812</v>
      </c>
      <c r="G2593" s="4" t="s">
        <v>3813</v>
      </c>
      <c r="H2593" s="4" t="s">
        <v>32</v>
      </c>
      <c r="I2593" s="4" t="s">
        <v>33</v>
      </c>
      <c r="J2593" s="4">
        <v>0</v>
      </c>
      <c r="K2593" s="4">
        <v>2</v>
      </c>
      <c r="L2593" s="4">
        <f>J2593+K2593</f>
        <v>0</v>
      </c>
      <c r="M2593" s="4" t="s">
        <v>81</v>
      </c>
      <c r="N2593" s="4"/>
      <c r="O2593" s="4">
        <v>2</v>
      </c>
      <c r="P2593" s="4" t="s">
        <v>135</v>
      </c>
      <c r="Q2593" s="4"/>
      <c r="R2593" s="7">
        <v>495000</v>
      </c>
      <c r="S2593" s="7">
        <v>0</v>
      </c>
      <c r="T2593" s="7">
        <f>R2593-S2593</f>
        <v>0</v>
      </c>
      <c r="U2593" s="7">
        <f>T2593*O2593</f>
        <v>0</v>
      </c>
    </row>
    <row r="2594" spans="1:21">
      <c r="A2594" s="4" t="s">
        <v>3811</v>
      </c>
      <c r="B2594" s="4" t="s">
        <v>39</v>
      </c>
      <c r="C2594" s="5">
        <v>45957.36599537037</v>
      </c>
      <c r="D2594" s="5">
        <v>45957</v>
      </c>
      <c r="E2594" s="6">
        <f>IF(AND(C2594&lt;&gt;"",D2594&lt;&gt;""),D2594-C2594,"")</f>
        <v>0</v>
      </c>
      <c r="F2594" s="4" t="s">
        <v>3812</v>
      </c>
      <c r="G2594" s="4" t="s">
        <v>3813</v>
      </c>
      <c r="H2594" s="4" t="s">
        <v>32</v>
      </c>
      <c r="I2594" s="4" t="s">
        <v>33</v>
      </c>
      <c r="J2594" s="4">
        <v>0</v>
      </c>
      <c r="K2594" s="4">
        <v>3</v>
      </c>
      <c r="L2594" s="4">
        <f>J2594+K2594</f>
        <v>0</v>
      </c>
      <c r="M2594" s="4" t="s">
        <v>46</v>
      </c>
      <c r="N2594" s="4"/>
      <c r="O2594" s="4">
        <v>3</v>
      </c>
      <c r="P2594" s="4" t="s">
        <v>135</v>
      </c>
      <c r="Q2594" s="4"/>
      <c r="R2594" s="7">
        <v>325000</v>
      </c>
      <c r="S2594" s="7">
        <v>0</v>
      </c>
      <c r="T2594" s="7">
        <f>R2594-S2594</f>
        <v>0</v>
      </c>
      <c r="U2594" s="7">
        <f>T2594*O2594</f>
        <v>0</v>
      </c>
    </row>
    <row r="2595" spans="1:21">
      <c r="A2595" s="4" t="s">
        <v>3814</v>
      </c>
      <c r="B2595" s="4" t="s">
        <v>39</v>
      </c>
      <c r="C2595" s="5">
        <v>45957.36689814815</v>
      </c>
      <c r="D2595" s="5">
        <v>45957</v>
      </c>
      <c r="E2595" s="6">
        <f>IF(AND(C2595&lt;&gt;"",D2595&lt;&gt;""),D2595-C2595,"")</f>
        <v>0</v>
      </c>
      <c r="F2595" s="4" t="s">
        <v>3815</v>
      </c>
      <c r="G2595" s="4" t="s">
        <v>3816</v>
      </c>
      <c r="H2595" s="4" t="s">
        <v>190</v>
      </c>
      <c r="I2595" s="4" t="s">
        <v>56</v>
      </c>
      <c r="J2595" s="4">
        <v>0</v>
      </c>
      <c r="K2595" s="4">
        <v>0</v>
      </c>
      <c r="L2595" s="4">
        <f>J2595+K2595</f>
        <v>0</v>
      </c>
      <c r="M2595" s="4" t="s">
        <v>370</v>
      </c>
      <c r="N2595" s="4"/>
      <c r="O2595" s="4">
        <v>1</v>
      </c>
      <c r="P2595" s="4" t="s">
        <v>135</v>
      </c>
      <c r="Q2595" s="4" t="s">
        <v>44</v>
      </c>
      <c r="R2595" s="7">
        <v>500000</v>
      </c>
      <c r="S2595" s="7">
        <v>0</v>
      </c>
      <c r="T2595" s="7">
        <f>R2595-S2595</f>
        <v>0</v>
      </c>
      <c r="U2595" s="7">
        <f>T2595*O2595</f>
        <v>0</v>
      </c>
    </row>
    <row r="2596" spans="1:21">
      <c r="A2596" s="4" t="s">
        <v>3814</v>
      </c>
      <c r="B2596" s="4" t="s">
        <v>39</v>
      </c>
      <c r="C2596" s="5">
        <v>45957.36689814815</v>
      </c>
      <c r="D2596" s="5">
        <v>45957</v>
      </c>
      <c r="E2596" s="6">
        <f>IF(AND(C2596&lt;&gt;"",D2596&lt;&gt;""),D2596-C2596,"")</f>
        <v>0</v>
      </c>
      <c r="F2596" s="4" t="s">
        <v>3815</v>
      </c>
      <c r="G2596" s="4" t="s">
        <v>3816</v>
      </c>
      <c r="H2596" s="4" t="s">
        <v>190</v>
      </c>
      <c r="I2596" s="4" t="s">
        <v>56</v>
      </c>
      <c r="J2596" s="4">
        <v>1</v>
      </c>
      <c r="K2596" s="4">
        <v>0</v>
      </c>
      <c r="L2596" s="4">
        <f>J2596+K2596</f>
        <v>0</v>
      </c>
      <c r="M2596" s="4" t="s">
        <v>1645</v>
      </c>
      <c r="N2596" s="4"/>
      <c r="O2596" s="4">
        <v>1</v>
      </c>
      <c r="P2596" s="4" t="s">
        <v>135</v>
      </c>
      <c r="Q2596" s="4" t="s">
        <v>44</v>
      </c>
      <c r="R2596" s="7">
        <v>2100000</v>
      </c>
      <c r="S2596" s="7">
        <v>0</v>
      </c>
      <c r="T2596" s="7">
        <f>R2596-S2596</f>
        <v>0</v>
      </c>
      <c r="U2596" s="7">
        <f>T2596*O2596</f>
        <v>0</v>
      </c>
    </row>
    <row r="2597" spans="1:21">
      <c r="A2597" s="4" t="s">
        <v>3817</v>
      </c>
      <c r="B2597" s="4" t="s">
        <v>39</v>
      </c>
      <c r="C2597" s="5">
        <v>45957.3725462963</v>
      </c>
      <c r="D2597" s="5">
        <v>45957</v>
      </c>
      <c r="E2597" s="6">
        <f>IF(AND(C2597&lt;&gt;"",D2597&lt;&gt;""),D2597-C2597,"")</f>
        <v>0</v>
      </c>
      <c r="F2597" s="4" t="s">
        <v>3818</v>
      </c>
      <c r="G2597" s="4" t="s">
        <v>3819</v>
      </c>
      <c r="H2597" s="4" t="s">
        <v>32</v>
      </c>
      <c r="I2597" s="4" t="s">
        <v>33</v>
      </c>
      <c r="J2597" s="4">
        <v>2</v>
      </c>
      <c r="K2597" s="4">
        <v>0</v>
      </c>
      <c r="L2597" s="4">
        <f>J2597+K2597</f>
        <v>0</v>
      </c>
      <c r="M2597" s="4" t="s">
        <v>42</v>
      </c>
      <c r="N2597" s="4"/>
      <c r="O2597" s="4">
        <v>2</v>
      </c>
      <c r="P2597" s="4" t="s">
        <v>43</v>
      </c>
      <c r="Q2597" s="4" t="s">
        <v>44</v>
      </c>
      <c r="R2597" s="7">
        <v>370000</v>
      </c>
      <c r="S2597" s="7">
        <v>370000</v>
      </c>
      <c r="T2597" s="7">
        <f>R2597-S2597</f>
        <v>0</v>
      </c>
      <c r="U2597" s="7">
        <f>T2597*O2597</f>
        <v>0</v>
      </c>
    </row>
    <row r="2598" spans="1:21">
      <c r="A2598" s="4" t="s">
        <v>3820</v>
      </c>
      <c r="B2598" s="4" t="s">
        <v>48</v>
      </c>
      <c r="C2598" s="5">
        <v>45957.37520833333</v>
      </c>
      <c r="D2598" s="5">
        <v>45961</v>
      </c>
      <c r="E2598" s="6">
        <f>IF(AND(C2598&lt;&gt;"",D2598&lt;&gt;""),D2598-C2598,"")</f>
        <v>0</v>
      </c>
      <c r="F2598" s="4" t="s">
        <v>1317</v>
      </c>
      <c r="G2598" s="4" t="s">
        <v>235</v>
      </c>
      <c r="H2598" s="4" t="s">
        <v>1318</v>
      </c>
      <c r="I2598" s="4" t="s">
        <v>56</v>
      </c>
      <c r="J2598" s="4">
        <v>7</v>
      </c>
      <c r="K2598" s="4">
        <v>3</v>
      </c>
      <c r="L2598" s="4">
        <f>J2598+K2598</f>
        <v>0</v>
      </c>
      <c r="M2598" s="4"/>
      <c r="N2598" s="4"/>
      <c r="O2598" s="4">
        <v>0</v>
      </c>
      <c r="P2598" s="4"/>
      <c r="Q2598" s="4"/>
      <c r="R2598" s="7">
        <v>0</v>
      </c>
      <c r="S2598" s="7">
        <v>0</v>
      </c>
      <c r="T2598" s="7">
        <f>R2598-S2598</f>
        <v>0</v>
      </c>
      <c r="U2598" s="7">
        <f>T2598*O2598</f>
        <v>0</v>
      </c>
    </row>
    <row r="2599" spans="1:21">
      <c r="A2599" s="4" t="s">
        <v>3821</v>
      </c>
      <c r="B2599" s="4" t="s">
        <v>39</v>
      </c>
      <c r="C2599" s="5">
        <v>45957.37572916667</v>
      </c>
      <c r="D2599" s="5">
        <v>45957</v>
      </c>
      <c r="E2599" s="6">
        <f>IF(AND(C2599&lt;&gt;"",D2599&lt;&gt;""),D2599-C2599,"")</f>
        <v>0</v>
      </c>
      <c r="F2599" s="4" t="s">
        <v>162</v>
      </c>
      <c r="G2599" s="4" t="s">
        <v>163</v>
      </c>
      <c r="H2599" s="4" t="s">
        <v>32</v>
      </c>
      <c r="I2599" s="4" t="s">
        <v>33</v>
      </c>
      <c r="J2599" s="4">
        <v>1</v>
      </c>
      <c r="K2599" s="4">
        <v>0</v>
      </c>
      <c r="L2599" s="4">
        <f>J2599+K2599</f>
        <v>0</v>
      </c>
      <c r="M2599" s="4" t="s">
        <v>42</v>
      </c>
      <c r="N2599" s="4"/>
      <c r="O2599" s="4">
        <v>1</v>
      </c>
      <c r="P2599" s="4" t="s">
        <v>135</v>
      </c>
      <c r="Q2599" s="4" t="s">
        <v>44</v>
      </c>
      <c r="R2599" s="7">
        <v>370000</v>
      </c>
      <c r="S2599" s="7">
        <v>0</v>
      </c>
      <c r="T2599" s="7">
        <f>R2599-S2599</f>
        <v>0</v>
      </c>
      <c r="U2599" s="7">
        <f>T2599*O2599</f>
        <v>0</v>
      </c>
    </row>
    <row r="2600" spans="1:21">
      <c r="A2600" s="4" t="s">
        <v>3822</v>
      </c>
      <c r="B2600" s="4" t="s">
        <v>39</v>
      </c>
      <c r="C2600" s="5">
        <v>45957.37572916667</v>
      </c>
      <c r="D2600" s="5">
        <v>45957</v>
      </c>
      <c r="E2600" s="6">
        <f>IF(AND(C2600&lt;&gt;"",D2600&lt;&gt;""),D2600-C2600,"")</f>
        <v>0</v>
      </c>
      <c r="F2600" s="4" t="s">
        <v>162</v>
      </c>
      <c r="G2600" s="4" t="s">
        <v>163</v>
      </c>
      <c r="H2600" s="4" t="s">
        <v>32</v>
      </c>
      <c r="I2600" s="4" t="s">
        <v>33</v>
      </c>
      <c r="J2600" s="4">
        <v>1</v>
      </c>
      <c r="K2600" s="4">
        <v>0</v>
      </c>
      <c r="L2600" s="4">
        <f>J2600+K2600</f>
        <v>0</v>
      </c>
      <c r="M2600" s="4" t="s">
        <v>42</v>
      </c>
      <c r="N2600" s="4"/>
      <c r="O2600" s="4">
        <v>1</v>
      </c>
      <c r="P2600" s="4" t="s">
        <v>135</v>
      </c>
      <c r="Q2600" s="4" t="s">
        <v>44</v>
      </c>
      <c r="R2600" s="7">
        <v>370000</v>
      </c>
      <c r="S2600" s="7">
        <v>0</v>
      </c>
      <c r="T2600" s="7">
        <f>R2600-S2600</f>
        <v>0</v>
      </c>
      <c r="U2600" s="7">
        <f>T2600*O2600</f>
        <v>0</v>
      </c>
    </row>
    <row r="2601" spans="1:21">
      <c r="A2601" s="4" t="s">
        <v>3823</v>
      </c>
      <c r="B2601" s="4" t="s">
        <v>39</v>
      </c>
      <c r="C2601" s="5">
        <v>45957.37572916667</v>
      </c>
      <c r="D2601" s="5">
        <v>45957</v>
      </c>
      <c r="E2601" s="6">
        <f>IF(AND(C2601&lt;&gt;"",D2601&lt;&gt;""),D2601-C2601,"")</f>
        <v>0</v>
      </c>
      <c r="F2601" s="4" t="s">
        <v>162</v>
      </c>
      <c r="G2601" s="4" t="s">
        <v>163</v>
      </c>
      <c r="H2601" s="4" t="s">
        <v>32</v>
      </c>
      <c r="I2601" s="4" t="s">
        <v>33</v>
      </c>
      <c r="J2601" s="4">
        <v>1</v>
      </c>
      <c r="K2601" s="4">
        <v>0</v>
      </c>
      <c r="L2601" s="4">
        <f>J2601+K2601</f>
        <v>0</v>
      </c>
      <c r="M2601" s="4" t="s">
        <v>42</v>
      </c>
      <c r="N2601" s="4"/>
      <c r="O2601" s="4">
        <v>1</v>
      </c>
      <c r="P2601" s="4" t="s">
        <v>135</v>
      </c>
      <c r="Q2601" s="4" t="s">
        <v>44</v>
      </c>
      <c r="R2601" s="7">
        <v>370000</v>
      </c>
      <c r="S2601" s="7">
        <v>0</v>
      </c>
      <c r="T2601" s="7">
        <f>R2601-S2601</f>
        <v>0</v>
      </c>
      <c r="U2601" s="7">
        <f>T2601*O2601</f>
        <v>0</v>
      </c>
    </row>
    <row r="2602" spans="1:21">
      <c r="A2602" s="4" t="s">
        <v>3824</v>
      </c>
      <c r="B2602" s="4" t="s">
        <v>48</v>
      </c>
      <c r="C2602" s="5">
        <v>45957.37699074074</v>
      </c>
      <c r="D2602" s="5">
        <v>45961</v>
      </c>
      <c r="E2602" s="6">
        <f>IF(AND(C2602&lt;&gt;"",D2602&lt;&gt;""),D2602-C2602,"")</f>
        <v>0</v>
      </c>
      <c r="F2602" s="4" t="s">
        <v>64</v>
      </c>
      <c r="G2602" s="4" t="s">
        <v>65</v>
      </c>
      <c r="H2602" s="4" t="s">
        <v>32</v>
      </c>
      <c r="I2602" s="4" t="s">
        <v>33</v>
      </c>
      <c r="J2602" s="4">
        <v>3</v>
      </c>
      <c r="K2602" s="4">
        <v>2</v>
      </c>
      <c r="L2602" s="4">
        <f>J2602+K2602</f>
        <v>0</v>
      </c>
      <c r="M2602" s="4"/>
      <c r="N2602" s="4"/>
      <c r="O2602" s="4">
        <v>0</v>
      </c>
      <c r="P2602" s="4"/>
      <c r="Q2602" s="4"/>
      <c r="R2602" s="7">
        <v>0</v>
      </c>
      <c r="S2602" s="7">
        <v>0</v>
      </c>
      <c r="T2602" s="7">
        <f>R2602-S2602</f>
        <v>0</v>
      </c>
      <c r="U2602" s="7">
        <f>T2602*O2602</f>
        <v>0</v>
      </c>
    </row>
    <row r="2603" spans="1:21">
      <c r="A2603" s="4" t="s">
        <v>3825</v>
      </c>
      <c r="B2603" s="4" t="s">
        <v>48</v>
      </c>
      <c r="C2603" s="5">
        <v>45957.40966435185</v>
      </c>
      <c r="D2603" s="5">
        <v>45961</v>
      </c>
      <c r="E2603" s="6">
        <f>IF(AND(C2603&lt;&gt;"",D2603&lt;&gt;""),D2603-C2603,"")</f>
        <v>0</v>
      </c>
      <c r="F2603" s="4" t="s">
        <v>2447</v>
      </c>
      <c r="G2603" s="4" t="s">
        <v>287</v>
      </c>
      <c r="H2603" s="4" t="s">
        <v>1318</v>
      </c>
      <c r="I2603" s="4" t="s">
        <v>56</v>
      </c>
      <c r="J2603" s="4">
        <v>7</v>
      </c>
      <c r="K2603" s="4">
        <v>3</v>
      </c>
      <c r="L2603" s="4">
        <f>J2603+K2603</f>
        <v>0</v>
      </c>
      <c r="M2603" s="4"/>
      <c r="N2603" s="4"/>
      <c r="O2603" s="4">
        <v>0</v>
      </c>
      <c r="P2603" s="4"/>
      <c r="Q2603" s="4"/>
      <c r="R2603" s="7">
        <v>0</v>
      </c>
      <c r="S2603" s="7">
        <v>0</v>
      </c>
      <c r="T2603" s="7">
        <f>R2603-S2603</f>
        <v>0</v>
      </c>
      <c r="U2603" s="7">
        <f>T2603*O2603</f>
        <v>0</v>
      </c>
    </row>
    <row r="2604" spans="1:21">
      <c r="A2604" s="4" t="s">
        <v>3826</v>
      </c>
      <c r="B2604" s="4" t="s">
        <v>48</v>
      </c>
      <c r="C2604" s="5">
        <v>45957.41087962963</v>
      </c>
      <c r="D2604" s="5">
        <v>45961</v>
      </c>
      <c r="E2604" s="6">
        <f>IF(AND(C2604&lt;&gt;"",D2604&lt;&gt;""),D2604-C2604,"")</f>
        <v>0</v>
      </c>
      <c r="F2604" s="4" t="s">
        <v>1399</v>
      </c>
      <c r="G2604" s="4" t="s">
        <v>202</v>
      </c>
      <c r="H2604" s="4" t="s">
        <v>32</v>
      </c>
      <c r="I2604" s="4" t="s">
        <v>33</v>
      </c>
      <c r="J2604" s="4">
        <v>12</v>
      </c>
      <c r="K2604" s="4">
        <v>3</v>
      </c>
      <c r="L2604" s="4">
        <f>J2604+K2604</f>
        <v>0</v>
      </c>
      <c r="M2604" s="4"/>
      <c r="N2604" s="4"/>
      <c r="O2604" s="4">
        <v>0</v>
      </c>
      <c r="P2604" s="4"/>
      <c r="Q2604" s="4"/>
      <c r="R2604" s="7">
        <v>0</v>
      </c>
      <c r="S2604" s="7">
        <v>0</v>
      </c>
      <c r="T2604" s="7">
        <f>R2604-S2604</f>
        <v>0</v>
      </c>
      <c r="U2604" s="7">
        <f>T2604*O2604</f>
        <v>0</v>
      </c>
    </row>
    <row r="2605" spans="1:21">
      <c r="A2605" s="4" t="s">
        <v>3827</v>
      </c>
      <c r="B2605" s="4" t="s">
        <v>48</v>
      </c>
      <c r="C2605" s="5">
        <v>45957.41133101852</v>
      </c>
      <c r="D2605" s="5">
        <v>45961</v>
      </c>
      <c r="E2605" s="6">
        <f>IF(AND(C2605&lt;&gt;"",D2605&lt;&gt;""),D2605-C2605,"")</f>
        <v>0</v>
      </c>
      <c r="F2605" s="4" t="s">
        <v>1399</v>
      </c>
      <c r="G2605" s="4" t="s">
        <v>202</v>
      </c>
      <c r="H2605" s="4" t="s">
        <v>32</v>
      </c>
      <c r="I2605" s="4" t="s">
        <v>33</v>
      </c>
      <c r="J2605" s="4">
        <v>13</v>
      </c>
      <c r="K2605" s="4">
        <v>3</v>
      </c>
      <c r="L2605" s="4">
        <f>J2605+K2605</f>
        <v>0</v>
      </c>
      <c r="M2605" s="4"/>
      <c r="N2605" s="4"/>
      <c r="O2605" s="4">
        <v>0</v>
      </c>
      <c r="P2605" s="4"/>
      <c r="Q2605" s="4"/>
      <c r="R2605" s="7">
        <v>0</v>
      </c>
      <c r="S2605" s="7">
        <v>0</v>
      </c>
      <c r="T2605" s="7">
        <f>R2605-S2605</f>
        <v>0</v>
      </c>
      <c r="U2605" s="7">
        <f>T2605*O2605</f>
        <v>0</v>
      </c>
    </row>
    <row r="2606" spans="1:21">
      <c r="A2606" s="4" t="s">
        <v>3828</v>
      </c>
      <c r="B2606" s="4" t="s">
        <v>48</v>
      </c>
      <c r="C2606" s="5">
        <v>45957.4137962963</v>
      </c>
      <c r="D2606" s="5">
        <v>45961</v>
      </c>
      <c r="E2606" s="6">
        <f>IF(AND(C2606&lt;&gt;"",D2606&lt;&gt;""),D2606-C2606,"")</f>
        <v>0</v>
      </c>
      <c r="F2606" s="4" t="s">
        <v>64</v>
      </c>
      <c r="G2606" s="4" t="s">
        <v>65</v>
      </c>
      <c r="H2606" s="4" t="s">
        <v>32</v>
      </c>
      <c r="I2606" s="4" t="s">
        <v>33</v>
      </c>
      <c r="J2606" s="4">
        <v>13</v>
      </c>
      <c r="K2606" s="4">
        <v>3</v>
      </c>
      <c r="L2606" s="4">
        <f>J2606+K2606</f>
        <v>0</v>
      </c>
      <c r="M2606" s="4"/>
      <c r="N2606" s="4"/>
      <c r="O2606" s="4">
        <v>0</v>
      </c>
      <c r="P2606" s="4"/>
      <c r="Q2606" s="4"/>
      <c r="R2606" s="7">
        <v>0</v>
      </c>
      <c r="S2606" s="7">
        <v>0</v>
      </c>
      <c r="T2606" s="7">
        <f>R2606-S2606</f>
        <v>0</v>
      </c>
      <c r="U2606" s="7">
        <f>T2606*O2606</f>
        <v>0</v>
      </c>
    </row>
    <row r="2607" spans="1:21">
      <c r="A2607" s="4" t="s">
        <v>3829</v>
      </c>
      <c r="B2607" s="4" t="s">
        <v>48</v>
      </c>
      <c r="C2607" s="5">
        <v>45957.44800925926</v>
      </c>
      <c r="D2607" s="5">
        <v>45961</v>
      </c>
      <c r="E2607" s="6">
        <f>IF(AND(C2607&lt;&gt;"",D2607&lt;&gt;""),D2607-C2607,"")</f>
        <v>0</v>
      </c>
      <c r="F2607" s="4" t="s">
        <v>1317</v>
      </c>
      <c r="G2607" s="4" t="s">
        <v>235</v>
      </c>
      <c r="H2607" s="4" t="s">
        <v>1318</v>
      </c>
      <c r="I2607" s="4" t="s">
        <v>56</v>
      </c>
      <c r="J2607" s="4">
        <v>7</v>
      </c>
      <c r="K2607" s="4">
        <v>3</v>
      </c>
      <c r="L2607" s="4">
        <f>J2607+K2607</f>
        <v>0</v>
      </c>
      <c r="M2607" s="4"/>
      <c r="N2607" s="4"/>
      <c r="O2607" s="4">
        <v>0</v>
      </c>
      <c r="P2607" s="4"/>
      <c r="Q2607" s="4"/>
      <c r="R2607" s="7">
        <v>0</v>
      </c>
      <c r="S2607" s="7">
        <v>0</v>
      </c>
      <c r="T2607" s="7">
        <f>R2607-S2607</f>
        <v>0</v>
      </c>
      <c r="U2607" s="7">
        <f>T2607*O2607</f>
        <v>0</v>
      </c>
    </row>
    <row r="2608" spans="1:21">
      <c r="A2608" s="4" t="s">
        <v>3830</v>
      </c>
      <c r="B2608" s="4" t="s">
        <v>48</v>
      </c>
      <c r="C2608" s="5">
        <v>45957.45467592592</v>
      </c>
      <c r="D2608" s="5">
        <v>45961</v>
      </c>
      <c r="E2608" s="6">
        <f>IF(AND(C2608&lt;&gt;"",D2608&lt;&gt;""),D2608-C2608,"")</f>
        <v>0</v>
      </c>
      <c r="F2608" s="4" t="s">
        <v>64</v>
      </c>
      <c r="G2608" s="4" t="s">
        <v>65</v>
      </c>
      <c r="H2608" s="4" t="s">
        <v>32</v>
      </c>
      <c r="I2608" s="4" t="s">
        <v>33</v>
      </c>
      <c r="J2608" s="4">
        <v>12</v>
      </c>
      <c r="K2608" s="4">
        <v>3</v>
      </c>
      <c r="L2608" s="4">
        <f>J2608+K2608</f>
        <v>0</v>
      </c>
      <c r="M2608" s="4"/>
      <c r="N2608" s="4"/>
      <c r="O2608" s="4">
        <v>0</v>
      </c>
      <c r="P2608" s="4"/>
      <c r="Q2608" s="4"/>
      <c r="R2608" s="7">
        <v>0</v>
      </c>
      <c r="S2608" s="7">
        <v>0</v>
      </c>
      <c r="T2608" s="7">
        <f>R2608-S2608</f>
        <v>0</v>
      </c>
      <c r="U2608" s="7">
        <f>T2608*O2608</f>
        <v>0</v>
      </c>
    </row>
    <row r="2609" spans="1:21">
      <c r="A2609" s="4" t="s">
        <v>3831</v>
      </c>
      <c r="B2609" s="4" t="s">
        <v>48</v>
      </c>
      <c r="C2609" s="5">
        <v>45957.53091435185</v>
      </c>
      <c r="D2609" s="5">
        <v>45961</v>
      </c>
      <c r="E2609" s="6">
        <f>IF(AND(C2609&lt;&gt;"",D2609&lt;&gt;""),D2609-C2609,"")</f>
        <v>0</v>
      </c>
      <c r="F2609" s="4" t="s">
        <v>64</v>
      </c>
      <c r="G2609" s="4" t="s">
        <v>65</v>
      </c>
      <c r="H2609" s="4" t="s">
        <v>32</v>
      </c>
      <c r="I2609" s="4" t="s">
        <v>33</v>
      </c>
      <c r="J2609" s="4">
        <v>12</v>
      </c>
      <c r="K2609" s="4">
        <v>3</v>
      </c>
      <c r="L2609" s="4">
        <f>J2609+K2609</f>
        <v>0</v>
      </c>
      <c r="M2609" s="4"/>
      <c r="N2609" s="4"/>
      <c r="O2609" s="4">
        <v>0</v>
      </c>
      <c r="P2609" s="4"/>
      <c r="Q2609" s="4"/>
      <c r="R2609" s="7">
        <v>0</v>
      </c>
      <c r="S2609" s="7">
        <v>0</v>
      </c>
      <c r="T2609" s="7">
        <f>R2609-S2609</f>
        <v>0</v>
      </c>
      <c r="U2609" s="7">
        <f>T2609*O2609</f>
        <v>0</v>
      </c>
    </row>
    <row r="2610" spans="1:21">
      <c r="A2610" s="4" t="s">
        <v>3832</v>
      </c>
      <c r="B2610" s="4" t="s">
        <v>48</v>
      </c>
      <c r="C2610" s="5">
        <v>45957.53427083333</v>
      </c>
      <c r="D2610" s="5">
        <v>45961</v>
      </c>
      <c r="E2610" s="6">
        <f>IF(AND(C2610&lt;&gt;"",D2610&lt;&gt;""),D2610-C2610,"")</f>
        <v>0</v>
      </c>
      <c r="F2610" s="4" t="s">
        <v>64</v>
      </c>
      <c r="G2610" s="4" t="s">
        <v>65</v>
      </c>
      <c r="H2610" s="4" t="s">
        <v>32</v>
      </c>
      <c r="I2610" s="4" t="s">
        <v>33</v>
      </c>
      <c r="J2610" s="4">
        <v>13</v>
      </c>
      <c r="K2610" s="4">
        <v>3</v>
      </c>
      <c r="L2610" s="4">
        <f>J2610+K2610</f>
        <v>0</v>
      </c>
      <c r="M2610" s="4"/>
      <c r="N2610" s="4"/>
      <c r="O2610" s="4">
        <v>0</v>
      </c>
      <c r="P2610" s="4"/>
      <c r="Q2610" s="4"/>
      <c r="R2610" s="7">
        <v>0</v>
      </c>
      <c r="S2610" s="7">
        <v>0</v>
      </c>
      <c r="T2610" s="7">
        <f>R2610-S2610</f>
        <v>0</v>
      </c>
      <c r="U2610" s="7">
        <f>T2610*O2610</f>
        <v>0</v>
      </c>
    </row>
    <row r="2611" spans="1:21">
      <c r="A2611" s="4" t="s">
        <v>3833</v>
      </c>
      <c r="B2611" s="4" t="s">
        <v>29</v>
      </c>
      <c r="C2611" s="5">
        <v>45957.54953703703</v>
      </c>
      <c r="D2611" s="5">
        <v>45961</v>
      </c>
      <c r="E2611" s="6">
        <f>IF(AND(C2611&lt;&gt;"",D2611&lt;&gt;""),D2611-C2611,"")</f>
        <v>0</v>
      </c>
      <c r="F2611" s="4" t="s">
        <v>307</v>
      </c>
      <c r="G2611" s="4" t="s">
        <v>308</v>
      </c>
      <c r="H2611" s="4" t="s">
        <v>190</v>
      </c>
      <c r="I2611" s="4" t="s">
        <v>56</v>
      </c>
      <c r="J2611" s="4">
        <v>1</v>
      </c>
      <c r="K2611" s="4">
        <v>0</v>
      </c>
      <c r="L2611" s="4">
        <f>J2611+K2611</f>
        <v>0</v>
      </c>
      <c r="M2611" s="4"/>
      <c r="N2611" s="4"/>
      <c r="O2611" s="4">
        <v>0</v>
      </c>
      <c r="P2611" s="4"/>
      <c r="Q2611" s="4"/>
      <c r="R2611" s="7">
        <v>0</v>
      </c>
      <c r="S2611" s="7">
        <v>0</v>
      </c>
      <c r="T2611" s="7">
        <f>R2611-S2611</f>
        <v>0</v>
      </c>
      <c r="U2611" s="7">
        <f>T2611*O2611</f>
        <v>0</v>
      </c>
    </row>
    <row r="2612" spans="1:21">
      <c r="A2612" s="4" t="s">
        <v>3834</v>
      </c>
      <c r="B2612" s="4" t="s">
        <v>29</v>
      </c>
      <c r="C2612" s="5">
        <v>45957.54953703703</v>
      </c>
      <c r="D2612" s="5">
        <v>45961</v>
      </c>
      <c r="E2612" s="6">
        <f>IF(AND(C2612&lt;&gt;"",D2612&lt;&gt;""),D2612-C2612,"")</f>
        <v>0</v>
      </c>
      <c r="F2612" s="4" t="s">
        <v>307</v>
      </c>
      <c r="G2612" s="4" t="s">
        <v>308</v>
      </c>
      <c r="H2612" s="4" t="s">
        <v>190</v>
      </c>
      <c r="I2612" s="4" t="s">
        <v>56</v>
      </c>
      <c r="J2612" s="4">
        <v>1</v>
      </c>
      <c r="K2612" s="4">
        <v>0</v>
      </c>
      <c r="L2612" s="4">
        <f>J2612+K2612</f>
        <v>0</v>
      </c>
      <c r="M2612" s="4"/>
      <c r="N2612" s="4"/>
      <c r="O2612" s="4">
        <v>0</v>
      </c>
      <c r="P2612" s="4"/>
      <c r="Q2612" s="4"/>
      <c r="R2612" s="7">
        <v>0</v>
      </c>
      <c r="S2612" s="7">
        <v>0</v>
      </c>
      <c r="T2612" s="7">
        <f>R2612-S2612</f>
        <v>0</v>
      </c>
      <c r="U2612" s="7">
        <f>T2612*O2612</f>
        <v>0</v>
      </c>
    </row>
    <row r="2613" spans="1:21">
      <c r="A2613" s="4" t="s">
        <v>3835</v>
      </c>
      <c r="B2613" s="4" t="s">
        <v>48</v>
      </c>
      <c r="C2613" s="5">
        <v>45957.59047453704</v>
      </c>
      <c r="D2613" s="5">
        <v>45961</v>
      </c>
      <c r="E2613" s="6">
        <f>IF(AND(C2613&lt;&gt;"",D2613&lt;&gt;""),D2613-C2613,"")</f>
        <v>0</v>
      </c>
      <c r="F2613" s="4" t="s">
        <v>64</v>
      </c>
      <c r="G2613" s="4" t="s">
        <v>65</v>
      </c>
      <c r="H2613" s="4" t="s">
        <v>32</v>
      </c>
      <c r="I2613" s="4" t="s">
        <v>33</v>
      </c>
      <c r="J2613" s="4">
        <v>13</v>
      </c>
      <c r="K2613" s="4">
        <v>3</v>
      </c>
      <c r="L2613" s="4">
        <f>J2613+K2613</f>
        <v>0</v>
      </c>
      <c r="M2613" s="4"/>
      <c r="N2613" s="4"/>
      <c r="O2613" s="4">
        <v>0</v>
      </c>
      <c r="P2613" s="4"/>
      <c r="Q2613" s="4"/>
      <c r="R2613" s="7">
        <v>0</v>
      </c>
      <c r="S2613" s="7">
        <v>0</v>
      </c>
      <c r="T2613" s="7">
        <f>R2613-S2613</f>
        <v>0</v>
      </c>
      <c r="U2613" s="7">
        <f>T2613*O2613</f>
        <v>0</v>
      </c>
    </row>
    <row r="2614" spans="1:21">
      <c r="A2614" s="4" t="s">
        <v>3836</v>
      </c>
      <c r="B2614" s="4" t="s">
        <v>39</v>
      </c>
      <c r="C2614" s="5">
        <v>45957.76339120371</v>
      </c>
      <c r="D2614" s="5">
        <v>45957</v>
      </c>
      <c r="E2614" s="6">
        <f>IF(AND(C2614&lt;&gt;"",D2614&lt;&gt;""),D2614-C2614,"")</f>
        <v>0</v>
      </c>
      <c r="F2614" s="4" t="s">
        <v>3837</v>
      </c>
      <c r="G2614" s="4" t="s">
        <v>3838</v>
      </c>
      <c r="H2614" s="4" t="s">
        <v>32</v>
      </c>
      <c r="I2614" s="4" t="s">
        <v>33</v>
      </c>
      <c r="J2614" s="4">
        <v>0</v>
      </c>
      <c r="K2614" s="4">
        <v>0</v>
      </c>
      <c r="L2614" s="4">
        <f>J2614+K2614</f>
        <v>0</v>
      </c>
      <c r="M2614" s="4" t="s">
        <v>1533</v>
      </c>
      <c r="N2614" s="4"/>
      <c r="O2614" s="4">
        <v>1</v>
      </c>
      <c r="P2614" s="4" t="s">
        <v>135</v>
      </c>
      <c r="Q2614" s="4"/>
      <c r="R2614" s="7">
        <v>108000</v>
      </c>
      <c r="S2614" s="7">
        <v>0</v>
      </c>
      <c r="T2614" s="7">
        <f>R2614-S2614</f>
        <v>0</v>
      </c>
      <c r="U2614" s="7">
        <f>T2614*O2614</f>
        <v>0</v>
      </c>
    </row>
    <row r="2615" spans="1:21">
      <c r="A2615" s="4" t="s">
        <v>3836</v>
      </c>
      <c r="B2615" s="4" t="s">
        <v>39</v>
      </c>
      <c r="C2615" s="5">
        <v>45957.76339120371</v>
      </c>
      <c r="D2615" s="5">
        <v>45957</v>
      </c>
      <c r="E2615" s="6">
        <f>IF(AND(C2615&lt;&gt;"",D2615&lt;&gt;""),D2615-C2615,"")</f>
        <v>0</v>
      </c>
      <c r="F2615" s="4" t="s">
        <v>3837</v>
      </c>
      <c r="G2615" s="4" t="s">
        <v>3838</v>
      </c>
      <c r="H2615" s="4" t="s">
        <v>32</v>
      </c>
      <c r="I2615" s="4" t="s">
        <v>33</v>
      </c>
      <c r="J2615" s="4">
        <v>0</v>
      </c>
      <c r="K2615" s="4">
        <v>0</v>
      </c>
      <c r="L2615" s="4">
        <f>J2615+K2615</f>
        <v>0</v>
      </c>
      <c r="M2615" s="4" t="s">
        <v>915</v>
      </c>
      <c r="N2615" s="4"/>
      <c r="O2615" s="4">
        <v>1</v>
      </c>
      <c r="P2615" s="4" t="s">
        <v>135</v>
      </c>
      <c r="Q2615" s="4"/>
      <c r="R2615" s="7">
        <v>50000</v>
      </c>
      <c r="S2615" s="7">
        <v>0</v>
      </c>
      <c r="T2615" s="7">
        <f>R2615-S2615</f>
        <v>0</v>
      </c>
      <c r="U2615" s="7">
        <f>T2615*O2615</f>
        <v>0</v>
      </c>
    </row>
    <row r="2616" spans="1:21">
      <c r="A2616" s="4" t="s">
        <v>3836</v>
      </c>
      <c r="B2616" s="4" t="s">
        <v>39</v>
      </c>
      <c r="C2616" s="5">
        <v>45957.76339120371</v>
      </c>
      <c r="D2616" s="5">
        <v>45957</v>
      </c>
      <c r="E2616" s="6">
        <f>IF(AND(C2616&lt;&gt;"",D2616&lt;&gt;""),D2616-C2616,"")</f>
        <v>0</v>
      </c>
      <c r="F2616" s="4" t="s">
        <v>3837</v>
      </c>
      <c r="G2616" s="4" t="s">
        <v>3838</v>
      </c>
      <c r="H2616" s="4" t="s">
        <v>32</v>
      </c>
      <c r="I2616" s="4" t="s">
        <v>33</v>
      </c>
      <c r="J2616" s="4">
        <v>0</v>
      </c>
      <c r="K2616" s="4">
        <v>0</v>
      </c>
      <c r="L2616" s="4">
        <f>J2616+K2616</f>
        <v>0</v>
      </c>
      <c r="M2616" s="4" t="s">
        <v>1777</v>
      </c>
      <c r="N2616" s="4"/>
      <c r="O2616" s="4">
        <v>1</v>
      </c>
      <c r="P2616" s="4" t="s">
        <v>135</v>
      </c>
      <c r="Q2616" s="4"/>
      <c r="R2616" s="7">
        <v>122000</v>
      </c>
      <c r="S2616" s="7">
        <v>0</v>
      </c>
      <c r="T2616" s="7">
        <f>R2616-S2616</f>
        <v>0</v>
      </c>
      <c r="U2616" s="7">
        <f>T2616*O2616</f>
        <v>0</v>
      </c>
    </row>
    <row r="2617" spans="1:21">
      <c r="A2617" s="4" t="s">
        <v>3836</v>
      </c>
      <c r="B2617" s="4" t="s">
        <v>39</v>
      </c>
      <c r="C2617" s="5">
        <v>45957.76339120371</v>
      </c>
      <c r="D2617" s="5">
        <v>45957</v>
      </c>
      <c r="E2617" s="6">
        <f>IF(AND(C2617&lt;&gt;"",D2617&lt;&gt;""),D2617-C2617,"")</f>
        <v>0</v>
      </c>
      <c r="F2617" s="4" t="s">
        <v>3837</v>
      </c>
      <c r="G2617" s="4" t="s">
        <v>3838</v>
      </c>
      <c r="H2617" s="4" t="s">
        <v>32</v>
      </c>
      <c r="I2617" s="4" t="s">
        <v>33</v>
      </c>
      <c r="J2617" s="4">
        <v>0</v>
      </c>
      <c r="K2617" s="4">
        <v>0</v>
      </c>
      <c r="L2617" s="4">
        <f>J2617+K2617</f>
        <v>0</v>
      </c>
      <c r="M2617" s="4" t="s">
        <v>1726</v>
      </c>
      <c r="N2617" s="4"/>
      <c r="O2617" s="4">
        <v>1</v>
      </c>
      <c r="P2617" s="4" t="s">
        <v>135</v>
      </c>
      <c r="Q2617" s="4"/>
      <c r="R2617" s="7">
        <v>64000</v>
      </c>
      <c r="S2617" s="7">
        <v>0</v>
      </c>
      <c r="T2617" s="7">
        <f>R2617-S2617</f>
        <v>0</v>
      </c>
      <c r="U2617" s="7">
        <f>T2617*O2617</f>
        <v>0</v>
      </c>
    </row>
    <row r="2618" spans="1:21">
      <c r="A2618" s="4" t="s">
        <v>3836</v>
      </c>
      <c r="B2618" s="4" t="s">
        <v>39</v>
      </c>
      <c r="C2618" s="5">
        <v>45957.76339120371</v>
      </c>
      <c r="D2618" s="5">
        <v>45957</v>
      </c>
      <c r="E2618" s="6">
        <f>IF(AND(C2618&lt;&gt;"",D2618&lt;&gt;""),D2618-C2618,"")</f>
        <v>0</v>
      </c>
      <c r="F2618" s="4" t="s">
        <v>3837</v>
      </c>
      <c r="G2618" s="4" t="s">
        <v>3838</v>
      </c>
      <c r="H2618" s="4" t="s">
        <v>32</v>
      </c>
      <c r="I2618" s="4" t="s">
        <v>33</v>
      </c>
      <c r="J2618" s="4">
        <v>0</v>
      </c>
      <c r="K2618" s="4">
        <v>0</v>
      </c>
      <c r="L2618" s="4">
        <f>J2618+K2618</f>
        <v>0</v>
      </c>
      <c r="M2618" s="4" t="s">
        <v>1840</v>
      </c>
      <c r="N2618" s="4"/>
      <c r="O2618" s="4">
        <v>1</v>
      </c>
      <c r="P2618" s="4" t="s">
        <v>135</v>
      </c>
      <c r="Q2618" s="4"/>
      <c r="R2618" s="7">
        <v>153000</v>
      </c>
      <c r="S2618" s="7">
        <v>0</v>
      </c>
      <c r="T2618" s="7">
        <f>R2618-S2618</f>
        <v>0</v>
      </c>
      <c r="U2618" s="7">
        <f>T2618*O2618</f>
        <v>0</v>
      </c>
    </row>
    <row r="2619" spans="1:21">
      <c r="A2619" s="4" t="s">
        <v>3836</v>
      </c>
      <c r="B2619" s="4" t="s">
        <v>39</v>
      </c>
      <c r="C2619" s="5">
        <v>45957.76339120371</v>
      </c>
      <c r="D2619" s="5">
        <v>45957</v>
      </c>
      <c r="E2619" s="6">
        <f>IF(AND(C2619&lt;&gt;"",D2619&lt;&gt;""),D2619-C2619,"")</f>
        <v>0</v>
      </c>
      <c r="F2619" s="4" t="s">
        <v>3837</v>
      </c>
      <c r="G2619" s="4" t="s">
        <v>3838</v>
      </c>
      <c r="H2619" s="4" t="s">
        <v>32</v>
      </c>
      <c r="I2619" s="4" t="s">
        <v>33</v>
      </c>
      <c r="J2619" s="4">
        <v>0</v>
      </c>
      <c r="K2619" s="4">
        <v>0</v>
      </c>
      <c r="L2619" s="4">
        <f>J2619+K2619</f>
        <v>0</v>
      </c>
      <c r="M2619" s="4" t="s">
        <v>1335</v>
      </c>
      <c r="N2619" s="4"/>
      <c r="O2619" s="4">
        <v>1</v>
      </c>
      <c r="P2619" s="4" t="s">
        <v>135</v>
      </c>
      <c r="Q2619" s="4"/>
      <c r="R2619" s="7">
        <v>45000</v>
      </c>
      <c r="S2619" s="7">
        <v>0</v>
      </c>
      <c r="T2619" s="7">
        <f>R2619-S2619</f>
        <v>0</v>
      </c>
      <c r="U2619" s="7">
        <f>T2619*O2619</f>
        <v>0</v>
      </c>
    </row>
    <row r="2620" spans="1:21">
      <c r="A2620" s="4" t="s">
        <v>3836</v>
      </c>
      <c r="B2620" s="4" t="s">
        <v>39</v>
      </c>
      <c r="C2620" s="5">
        <v>45957.76339120371</v>
      </c>
      <c r="D2620" s="5">
        <v>45957</v>
      </c>
      <c r="E2620" s="6">
        <f>IF(AND(C2620&lt;&gt;"",D2620&lt;&gt;""),D2620-C2620,"")</f>
        <v>0</v>
      </c>
      <c r="F2620" s="4" t="s">
        <v>3837</v>
      </c>
      <c r="G2620" s="4" t="s">
        <v>3838</v>
      </c>
      <c r="H2620" s="4" t="s">
        <v>32</v>
      </c>
      <c r="I2620" s="4" t="s">
        <v>33</v>
      </c>
      <c r="J2620" s="4">
        <v>0</v>
      </c>
      <c r="K2620" s="4">
        <v>0</v>
      </c>
      <c r="L2620" s="4">
        <f>J2620+K2620</f>
        <v>0</v>
      </c>
      <c r="M2620" s="4" t="s">
        <v>1419</v>
      </c>
      <c r="N2620" s="4"/>
      <c r="O2620" s="4">
        <v>1</v>
      </c>
      <c r="P2620" s="4" t="s">
        <v>135</v>
      </c>
      <c r="Q2620" s="4"/>
      <c r="R2620" s="7">
        <v>160000</v>
      </c>
      <c r="S2620" s="7">
        <v>0</v>
      </c>
      <c r="T2620" s="7">
        <f>R2620-S2620</f>
        <v>0</v>
      </c>
      <c r="U2620" s="7">
        <f>T2620*O2620</f>
        <v>0</v>
      </c>
    </row>
    <row r="2621" spans="1:21">
      <c r="A2621" s="4" t="s">
        <v>3836</v>
      </c>
      <c r="B2621" s="4" t="s">
        <v>39</v>
      </c>
      <c r="C2621" s="5">
        <v>45957.76339120371</v>
      </c>
      <c r="D2621" s="5">
        <v>45957</v>
      </c>
      <c r="E2621" s="6">
        <f>IF(AND(C2621&lt;&gt;"",D2621&lt;&gt;""),D2621-C2621,"")</f>
        <v>0</v>
      </c>
      <c r="F2621" s="4" t="s">
        <v>3837</v>
      </c>
      <c r="G2621" s="4" t="s">
        <v>3838</v>
      </c>
      <c r="H2621" s="4" t="s">
        <v>32</v>
      </c>
      <c r="I2621" s="4" t="s">
        <v>33</v>
      </c>
      <c r="J2621" s="4">
        <v>0</v>
      </c>
      <c r="K2621" s="4">
        <v>0</v>
      </c>
      <c r="L2621" s="4">
        <f>J2621+K2621</f>
        <v>0</v>
      </c>
      <c r="M2621" s="4" t="s">
        <v>3839</v>
      </c>
      <c r="N2621" s="4"/>
      <c r="O2621" s="4">
        <v>1</v>
      </c>
      <c r="P2621" s="4" t="s">
        <v>135</v>
      </c>
      <c r="Q2621" s="4"/>
      <c r="R2621" s="7">
        <v>102000</v>
      </c>
      <c r="S2621" s="7">
        <v>0</v>
      </c>
      <c r="T2621" s="7">
        <f>R2621-S2621</f>
        <v>0</v>
      </c>
      <c r="U2621" s="7">
        <f>T2621*O2621</f>
        <v>0</v>
      </c>
    </row>
    <row r="2622" spans="1:21">
      <c r="A2622" s="4" t="s">
        <v>3836</v>
      </c>
      <c r="B2622" s="4" t="s">
        <v>39</v>
      </c>
      <c r="C2622" s="5">
        <v>45957.76339120371</v>
      </c>
      <c r="D2622" s="5">
        <v>45957</v>
      </c>
      <c r="E2622" s="6">
        <f>IF(AND(C2622&lt;&gt;"",D2622&lt;&gt;""),D2622-C2622,"")</f>
        <v>0</v>
      </c>
      <c r="F2622" s="4" t="s">
        <v>3837</v>
      </c>
      <c r="G2622" s="4" t="s">
        <v>3838</v>
      </c>
      <c r="H2622" s="4" t="s">
        <v>32</v>
      </c>
      <c r="I2622" s="4" t="s">
        <v>33</v>
      </c>
      <c r="J2622" s="4">
        <v>0</v>
      </c>
      <c r="K2622" s="4">
        <v>0</v>
      </c>
      <c r="L2622" s="4">
        <f>J2622+K2622</f>
        <v>0</v>
      </c>
      <c r="M2622" s="4" t="s">
        <v>3840</v>
      </c>
      <c r="N2622" s="4"/>
      <c r="O2622" s="4">
        <v>1</v>
      </c>
      <c r="P2622" s="4" t="s">
        <v>135</v>
      </c>
      <c r="Q2622" s="4"/>
      <c r="R2622" s="7">
        <v>65000</v>
      </c>
      <c r="S2622" s="7">
        <v>0</v>
      </c>
      <c r="T2622" s="7">
        <f>R2622-S2622</f>
        <v>0</v>
      </c>
      <c r="U2622" s="7">
        <f>T2622*O2622</f>
        <v>0</v>
      </c>
    </row>
    <row r="2623" spans="1:21">
      <c r="A2623" s="4" t="s">
        <v>3841</v>
      </c>
      <c r="B2623" s="4" t="s">
        <v>39</v>
      </c>
      <c r="C2623" s="5">
        <v>45957.76663194445</v>
      </c>
      <c r="D2623" s="5">
        <v>45957</v>
      </c>
      <c r="E2623" s="6">
        <f>IF(AND(C2623&lt;&gt;"",D2623&lt;&gt;""),D2623-C2623,"")</f>
        <v>0</v>
      </c>
      <c r="F2623" s="4" t="s">
        <v>3842</v>
      </c>
      <c r="G2623" s="4" t="s">
        <v>3843</v>
      </c>
      <c r="H2623" s="4" t="s">
        <v>32</v>
      </c>
      <c r="I2623" s="4" t="s">
        <v>33</v>
      </c>
      <c r="J2623" s="4">
        <v>0</v>
      </c>
      <c r="K2623" s="4">
        <v>0</v>
      </c>
      <c r="L2623" s="4">
        <f>J2623+K2623</f>
        <v>0</v>
      </c>
      <c r="M2623" s="4" t="s">
        <v>1335</v>
      </c>
      <c r="N2623" s="4"/>
      <c r="O2623" s="4">
        <v>1</v>
      </c>
      <c r="P2623" s="4" t="s">
        <v>135</v>
      </c>
      <c r="Q2623" s="4"/>
      <c r="R2623" s="7">
        <v>45000</v>
      </c>
      <c r="S2623" s="7">
        <v>0</v>
      </c>
      <c r="T2623" s="7">
        <f>R2623-S2623</f>
        <v>0</v>
      </c>
      <c r="U2623" s="7">
        <f>T2623*O2623</f>
        <v>0</v>
      </c>
    </row>
    <row r="2624" spans="1:21">
      <c r="A2624" s="4" t="s">
        <v>3841</v>
      </c>
      <c r="B2624" s="4" t="s">
        <v>39</v>
      </c>
      <c r="C2624" s="5">
        <v>45957.76663194445</v>
      </c>
      <c r="D2624" s="5">
        <v>45957</v>
      </c>
      <c r="E2624" s="6">
        <f>IF(AND(C2624&lt;&gt;"",D2624&lt;&gt;""),D2624-C2624,"")</f>
        <v>0</v>
      </c>
      <c r="F2624" s="4" t="s">
        <v>3842</v>
      </c>
      <c r="G2624" s="4" t="s">
        <v>3843</v>
      </c>
      <c r="H2624" s="4" t="s">
        <v>32</v>
      </c>
      <c r="I2624" s="4" t="s">
        <v>33</v>
      </c>
      <c r="J2624" s="4">
        <v>0</v>
      </c>
      <c r="K2624" s="4">
        <v>0</v>
      </c>
      <c r="L2624" s="4">
        <f>J2624+K2624</f>
        <v>0</v>
      </c>
      <c r="M2624" s="4" t="s">
        <v>3844</v>
      </c>
      <c r="N2624" s="4"/>
      <c r="O2624" s="4">
        <v>1</v>
      </c>
      <c r="P2624" s="4" t="s">
        <v>135</v>
      </c>
      <c r="Q2624" s="4"/>
      <c r="R2624" s="7">
        <v>68000</v>
      </c>
      <c r="S2624" s="7">
        <v>0</v>
      </c>
      <c r="T2624" s="7">
        <f>R2624-S2624</f>
        <v>0</v>
      </c>
      <c r="U2624" s="7">
        <f>T2624*O2624</f>
        <v>0</v>
      </c>
    </row>
    <row r="2625" spans="1:21">
      <c r="A2625" s="4" t="s">
        <v>3841</v>
      </c>
      <c r="B2625" s="4" t="s">
        <v>39</v>
      </c>
      <c r="C2625" s="5">
        <v>45957.76663194445</v>
      </c>
      <c r="D2625" s="5">
        <v>45957</v>
      </c>
      <c r="E2625" s="6">
        <f>IF(AND(C2625&lt;&gt;"",D2625&lt;&gt;""),D2625-C2625,"")</f>
        <v>0</v>
      </c>
      <c r="F2625" s="4" t="s">
        <v>3842</v>
      </c>
      <c r="G2625" s="4" t="s">
        <v>3843</v>
      </c>
      <c r="H2625" s="4" t="s">
        <v>32</v>
      </c>
      <c r="I2625" s="4" t="s">
        <v>33</v>
      </c>
      <c r="J2625" s="4">
        <v>0</v>
      </c>
      <c r="K2625" s="4">
        <v>0</v>
      </c>
      <c r="L2625" s="4">
        <f>J2625+K2625</f>
        <v>0</v>
      </c>
      <c r="M2625" s="4" t="s">
        <v>1838</v>
      </c>
      <c r="N2625" s="4"/>
      <c r="O2625" s="4">
        <v>1</v>
      </c>
      <c r="P2625" s="4" t="s">
        <v>135</v>
      </c>
      <c r="Q2625" s="4"/>
      <c r="R2625" s="7">
        <v>173000</v>
      </c>
      <c r="S2625" s="7">
        <v>0</v>
      </c>
      <c r="T2625" s="7">
        <f>R2625-S2625</f>
        <v>0</v>
      </c>
      <c r="U2625" s="7">
        <f>T2625*O2625</f>
        <v>0</v>
      </c>
    </row>
    <row r="2626" spans="1:21">
      <c r="A2626" s="4" t="s">
        <v>3841</v>
      </c>
      <c r="B2626" s="4" t="s">
        <v>39</v>
      </c>
      <c r="C2626" s="5">
        <v>45957.76663194445</v>
      </c>
      <c r="D2626" s="5">
        <v>45957</v>
      </c>
      <c r="E2626" s="6">
        <f>IF(AND(C2626&lt;&gt;"",D2626&lt;&gt;""),D2626-C2626,"")</f>
        <v>0</v>
      </c>
      <c r="F2626" s="4" t="s">
        <v>3842</v>
      </c>
      <c r="G2626" s="4" t="s">
        <v>3843</v>
      </c>
      <c r="H2626" s="4" t="s">
        <v>32</v>
      </c>
      <c r="I2626" s="4" t="s">
        <v>33</v>
      </c>
      <c r="J2626" s="4">
        <v>0</v>
      </c>
      <c r="K2626" s="4">
        <v>0</v>
      </c>
      <c r="L2626" s="4">
        <f>J2626+K2626</f>
        <v>0</v>
      </c>
      <c r="M2626" s="4" t="s">
        <v>915</v>
      </c>
      <c r="N2626" s="4"/>
      <c r="O2626" s="4">
        <v>1</v>
      </c>
      <c r="P2626" s="4" t="s">
        <v>135</v>
      </c>
      <c r="Q2626" s="4"/>
      <c r="R2626" s="7">
        <v>50000</v>
      </c>
      <c r="S2626" s="7">
        <v>0</v>
      </c>
      <c r="T2626" s="7">
        <f>R2626-S2626</f>
        <v>0</v>
      </c>
      <c r="U2626" s="7">
        <f>T2626*O2626</f>
        <v>0</v>
      </c>
    </row>
    <row r="2627" spans="1:21">
      <c r="A2627" s="4" t="s">
        <v>3841</v>
      </c>
      <c r="B2627" s="4" t="s">
        <v>39</v>
      </c>
      <c r="C2627" s="5">
        <v>45957.76663194445</v>
      </c>
      <c r="D2627" s="5">
        <v>45957</v>
      </c>
      <c r="E2627" s="6">
        <f>IF(AND(C2627&lt;&gt;"",D2627&lt;&gt;""),D2627-C2627,"")</f>
        <v>0</v>
      </c>
      <c r="F2627" s="4" t="s">
        <v>3842</v>
      </c>
      <c r="G2627" s="4" t="s">
        <v>3843</v>
      </c>
      <c r="H2627" s="4" t="s">
        <v>32</v>
      </c>
      <c r="I2627" s="4" t="s">
        <v>33</v>
      </c>
      <c r="J2627" s="4">
        <v>0</v>
      </c>
      <c r="K2627" s="4">
        <v>0</v>
      </c>
      <c r="L2627" s="4">
        <f>J2627+K2627</f>
        <v>0</v>
      </c>
      <c r="M2627" s="4" t="s">
        <v>3839</v>
      </c>
      <c r="N2627" s="4"/>
      <c r="O2627" s="4">
        <v>1</v>
      </c>
      <c r="P2627" s="4" t="s">
        <v>135</v>
      </c>
      <c r="Q2627" s="4"/>
      <c r="R2627" s="7">
        <v>102000</v>
      </c>
      <c r="S2627" s="7">
        <v>0</v>
      </c>
      <c r="T2627" s="7">
        <f>R2627-S2627</f>
        <v>0</v>
      </c>
      <c r="U2627" s="7">
        <f>T2627*O2627</f>
        <v>0</v>
      </c>
    </row>
    <row r="2628" spans="1:21">
      <c r="A2628" s="4" t="s">
        <v>3841</v>
      </c>
      <c r="B2628" s="4" t="s">
        <v>39</v>
      </c>
      <c r="C2628" s="5">
        <v>45957.76663194445</v>
      </c>
      <c r="D2628" s="5">
        <v>45957</v>
      </c>
      <c r="E2628" s="6">
        <f>IF(AND(C2628&lt;&gt;"",D2628&lt;&gt;""),D2628-C2628,"")</f>
        <v>0</v>
      </c>
      <c r="F2628" s="4" t="s">
        <v>3842</v>
      </c>
      <c r="G2628" s="4" t="s">
        <v>3843</v>
      </c>
      <c r="H2628" s="4" t="s">
        <v>32</v>
      </c>
      <c r="I2628" s="4" t="s">
        <v>33</v>
      </c>
      <c r="J2628" s="4">
        <v>0</v>
      </c>
      <c r="K2628" s="4">
        <v>0</v>
      </c>
      <c r="L2628" s="4">
        <f>J2628+K2628</f>
        <v>0</v>
      </c>
      <c r="M2628" s="4" t="s">
        <v>1544</v>
      </c>
      <c r="N2628" s="4"/>
      <c r="O2628" s="4">
        <v>1</v>
      </c>
      <c r="P2628" s="4" t="s">
        <v>135</v>
      </c>
      <c r="Q2628" s="4"/>
      <c r="R2628" s="7">
        <v>112000</v>
      </c>
      <c r="S2628" s="7">
        <v>0</v>
      </c>
      <c r="T2628" s="7">
        <f>R2628-S2628</f>
        <v>0</v>
      </c>
      <c r="U2628" s="7">
        <f>T2628*O2628</f>
        <v>0</v>
      </c>
    </row>
    <row r="2629" spans="1:21">
      <c r="A2629" s="4" t="s">
        <v>3841</v>
      </c>
      <c r="B2629" s="4" t="s">
        <v>39</v>
      </c>
      <c r="C2629" s="5">
        <v>45957.76663194445</v>
      </c>
      <c r="D2629" s="5">
        <v>45957</v>
      </c>
      <c r="E2629" s="6">
        <f>IF(AND(C2629&lt;&gt;"",D2629&lt;&gt;""),D2629-C2629,"")</f>
        <v>0</v>
      </c>
      <c r="F2629" s="4" t="s">
        <v>3842</v>
      </c>
      <c r="G2629" s="4" t="s">
        <v>3843</v>
      </c>
      <c r="H2629" s="4" t="s">
        <v>32</v>
      </c>
      <c r="I2629" s="4" t="s">
        <v>33</v>
      </c>
      <c r="J2629" s="4">
        <v>0</v>
      </c>
      <c r="K2629" s="4">
        <v>0</v>
      </c>
      <c r="L2629" s="4">
        <f>J2629+K2629</f>
        <v>0</v>
      </c>
      <c r="M2629" s="4" t="s">
        <v>1533</v>
      </c>
      <c r="N2629" s="4"/>
      <c r="O2629" s="4">
        <v>1</v>
      </c>
      <c r="P2629" s="4" t="s">
        <v>135</v>
      </c>
      <c r="Q2629" s="4"/>
      <c r="R2629" s="7">
        <v>108000</v>
      </c>
      <c r="S2629" s="7">
        <v>0</v>
      </c>
      <c r="T2629" s="7">
        <f>R2629-S2629</f>
        <v>0</v>
      </c>
      <c r="U2629" s="7">
        <f>T2629*O2629</f>
        <v>0</v>
      </c>
    </row>
    <row r="2630" spans="1:21">
      <c r="A2630" s="4" t="s">
        <v>3841</v>
      </c>
      <c r="B2630" s="4" t="s">
        <v>39</v>
      </c>
      <c r="C2630" s="5">
        <v>45957.76663194445</v>
      </c>
      <c r="D2630" s="5">
        <v>45957</v>
      </c>
      <c r="E2630" s="6">
        <f>IF(AND(C2630&lt;&gt;"",D2630&lt;&gt;""),D2630-C2630,"")</f>
        <v>0</v>
      </c>
      <c r="F2630" s="4" t="s">
        <v>3842</v>
      </c>
      <c r="G2630" s="4" t="s">
        <v>3843</v>
      </c>
      <c r="H2630" s="4" t="s">
        <v>32</v>
      </c>
      <c r="I2630" s="4" t="s">
        <v>33</v>
      </c>
      <c r="J2630" s="4">
        <v>0</v>
      </c>
      <c r="K2630" s="4">
        <v>0</v>
      </c>
      <c r="L2630" s="4">
        <f>J2630+K2630</f>
        <v>0</v>
      </c>
      <c r="M2630" s="4" t="s">
        <v>1727</v>
      </c>
      <c r="N2630" s="4"/>
      <c r="O2630" s="4">
        <v>1</v>
      </c>
      <c r="P2630" s="4" t="s">
        <v>135</v>
      </c>
      <c r="Q2630" s="4"/>
      <c r="R2630" s="7">
        <v>64000</v>
      </c>
      <c r="S2630" s="7">
        <v>0</v>
      </c>
      <c r="T2630" s="7">
        <f>R2630-S2630</f>
        <v>0</v>
      </c>
      <c r="U2630" s="7">
        <f>T2630*O2630</f>
        <v>0</v>
      </c>
    </row>
    <row r="2631" spans="1:21">
      <c r="A2631" s="4" t="s">
        <v>3841</v>
      </c>
      <c r="B2631" s="4" t="s">
        <v>39</v>
      </c>
      <c r="C2631" s="5">
        <v>45957.76663194445</v>
      </c>
      <c r="D2631" s="5">
        <v>45957</v>
      </c>
      <c r="E2631" s="6">
        <f>IF(AND(C2631&lt;&gt;"",D2631&lt;&gt;""),D2631-C2631,"")</f>
        <v>0</v>
      </c>
      <c r="F2631" s="4" t="s">
        <v>3842</v>
      </c>
      <c r="G2631" s="4" t="s">
        <v>3843</v>
      </c>
      <c r="H2631" s="4" t="s">
        <v>32</v>
      </c>
      <c r="I2631" s="4" t="s">
        <v>33</v>
      </c>
      <c r="J2631" s="4">
        <v>0</v>
      </c>
      <c r="K2631" s="4">
        <v>0</v>
      </c>
      <c r="L2631" s="4">
        <f>J2631+K2631</f>
        <v>0</v>
      </c>
      <c r="M2631" s="4" t="s">
        <v>3845</v>
      </c>
      <c r="N2631" s="4"/>
      <c r="O2631" s="4">
        <v>1</v>
      </c>
      <c r="P2631" s="4" t="s">
        <v>135</v>
      </c>
      <c r="Q2631" s="4"/>
      <c r="R2631" s="7">
        <v>122000</v>
      </c>
      <c r="S2631" s="7">
        <v>0</v>
      </c>
      <c r="T2631" s="7">
        <f>R2631-S2631</f>
        <v>0</v>
      </c>
      <c r="U2631" s="7">
        <f>T2631*O2631</f>
        <v>0</v>
      </c>
    </row>
    <row r="2632" spans="1:21">
      <c r="A2632" s="4" t="s">
        <v>3841</v>
      </c>
      <c r="B2632" s="4" t="s">
        <v>39</v>
      </c>
      <c r="C2632" s="5">
        <v>45957.76663194445</v>
      </c>
      <c r="D2632" s="5">
        <v>45957</v>
      </c>
      <c r="E2632" s="6">
        <f>IF(AND(C2632&lt;&gt;"",D2632&lt;&gt;""),D2632-C2632,"")</f>
        <v>0</v>
      </c>
      <c r="F2632" s="4" t="s">
        <v>3842</v>
      </c>
      <c r="G2632" s="4" t="s">
        <v>3843</v>
      </c>
      <c r="H2632" s="4" t="s">
        <v>32</v>
      </c>
      <c r="I2632" s="4" t="s">
        <v>33</v>
      </c>
      <c r="J2632" s="4">
        <v>0</v>
      </c>
      <c r="K2632" s="4">
        <v>0</v>
      </c>
      <c r="L2632" s="4">
        <f>J2632+K2632</f>
        <v>0</v>
      </c>
      <c r="M2632" s="4" t="s">
        <v>1419</v>
      </c>
      <c r="N2632" s="4"/>
      <c r="O2632" s="4">
        <v>1</v>
      </c>
      <c r="P2632" s="4" t="s">
        <v>135</v>
      </c>
      <c r="Q2632" s="4"/>
      <c r="R2632" s="7">
        <v>160000</v>
      </c>
      <c r="S2632" s="7">
        <v>0</v>
      </c>
      <c r="T2632" s="7">
        <f>R2632-S2632</f>
        <v>0</v>
      </c>
      <c r="U2632" s="7">
        <f>T2632*O2632</f>
        <v>0</v>
      </c>
    </row>
    <row r="2633" spans="1:21">
      <c r="A2633" s="4" t="s">
        <v>3841</v>
      </c>
      <c r="B2633" s="4" t="s">
        <v>39</v>
      </c>
      <c r="C2633" s="5">
        <v>45957.76663194445</v>
      </c>
      <c r="D2633" s="5">
        <v>45957</v>
      </c>
      <c r="E2633" s="6">
        <f>IF(AND(C2633&lt;&gt;"",D2633&lt;&gt;""),D2633-C2633,"")</f>
        <v>0</v>
      </c>
      <c r="F2633" s="4" t="s">
        <v>3842</v>
      </c>
      <c r="G2633" s="4" t="s">
        <v>3843</v>
      </c>
      <c r="H2633" s="4" t="s">
        <v>32</v>
      </c>
      <c r="I2633" s="4" t="s">
        <v>33</v>
      </c>
      <c r="J2633" s="4">
        <v>0</v>
      </c>
      <c r="K2633" s="4">
        <v>0</v>
      </c>
      <c r="L2633" s="4">
        <f>J2633+K2633</f>
        <v>0</v>
      </c>
      <c r="M2633" s="4" t="s">
        <v>1726</v>
      </c>
      <c r="N2633" s="4"/>
      <c r="O2633" s="4">
        <v>1</v>
      </c>
      <c r="P2633" s="4" t="s">
        <v>135</v>
      </c>
      <c r="Q2633" s="4"/>
      <c r="R2633" s="7">
        <v>64000</v>
      </c>
      <c r="S2633" s="7">
        <v>0</v>
      </c>
      <c r="T2633" s="7">
        <f>R2633-S2633</f>
        <v>0</v>
      </c>
      <c r="U2633" s="7">
        <f>T2633*O2633</f>
        <v>0</v>
      </c>
    </row>
    <row r="2634" spans="1:21">
      <c r="A2634" s="4" t="s">
        <v>3841</v>
      </c>
      <c r="B2634" s="4" t="s">
        <v>39</v>
      </c>
      <c r="C2634" s="5">
        <v>45957.76663194445</v>
      </c>
      <c r="D2634" s="5">
        <v>45957</v>
      </c>
      <c r="E2634" s="6">
        <f>IF(AND(C2634&lt;&gt;"",D2634&lt;&gt;""),D2634-C2634,"")</f>
        <v>0</v>
      </c>
      <c r="F2634" s="4" t="s">
        <v>3842</v>
      </c>
      <c r="G2634" s="4" t="s">
        <v>3843</v>
      </c>
      <c r="H2634" s="4" t="s">
        <v>32</v>
      </c>
      <c r="I2634" s="4" t="s">
        <v>33</v>
      </c>
      <c r="J2634" s="4">
        <v>0</v>
      </c>
      <c r="K2634" s="4">
        <v>0</v>
      </c>
      <c r="L2634" s="4">
        <f>J2634+K2634</f>
        <v>0</v>
      </c>
      <c r="M2634" s="4" t="s">
        <v>1828</v>
      </c>
      <c r="N2634" s="4"/>
      <c r="O2634" s="4">
        <v>1</v>
      </c>
      <c r="P2634" s="4" t="s">
        <v>135</v>
      </c>
      <c r="Q2634" s="4"/>
      <c r="R2634" s="7">
        <v>121000</v>
      </c>
      <c r="S2634" s="7">
        <v>0</v>
      </c>
      <c r="T2634" s="7">
        <f>R2634-S2634</f>
        <v>0</v>
      </c>
      <c r="U2634" s="7">
        <f>T2634*O2634</f>
        <v>0</v>
      </c>
    </row>
    <row r="2635" spans="1:21">
      <c r="A2635" s="4" t="s">
        <v>3846</v>
      </c>
      <c r="B2635" s="4" t="s">
        <v>39</v>
      </c>
      <c r="C2635" s="5">
        <v>45958.09267361111</v>
      </c>
      <c r="D2635" s="5">
        <v>45958</v>
      </c>
      <c r="E2635" s="6">
        <f>IF(AND(C2635&lt;&gt;"",D2635&lt;&gt;""),D2635-C2635,"")</f>
        <v>0</v>
      </c>
      <c r="F2635" s="4" t="s">
        <v>3847</v>
      </c>
      <c r="G2635" s="4" t="s">
        <v>3848</v>
      </c>
      <c r="H2635" s="4" t="s">
        <v>32</v>
      </c>
      <c r="I2635" s="4" t="s">
        <v>33</v>
      </c>
      <c r="J2635" s="4">
        <v>0</v>
      </c>
      <c r="K2635" s="4">
        <v>0</v>
      </c>
      <c r="L2635" s="4">
        <f>J2635+K2635</f>
        <v>0</v>
      </c>
      <c r="M2635" s="4" t="s">
        <v>3630</v>
      </c>
      <c r="N2635" s="4"/>
      <c r="O2635" s="4">
        <v>1</v>
      </c>
      <c r="P2635" s="4" t="s">
        <v>135</v>
      </c>
      <c r="Q2635" s="4" t="s">
        <v>44</v>
      </c>
      <c r="R2635" s="7">
        <v>15000</v>
      </c>
      <c r="S2635" s="7">
        <v>0</v>
      </c>
      <c r="T2635" s="7">
        <f>R2635-S2635</f>
        <v>0</v>
      </c>
      <c r="U2635" s="7">
        <f>T2635*O2635</f>
        <v>0</v>
      </c>
    </row>
    <row r="2636" spans="1:21">
      <c r="A2636" s="4" t="s">
        <v>3846</v>
      </c>
      <c r="B2636" s="4" t="s">
        <v>39</v>
      </c>
      <c r="C2636" s="5">
        <v>45958.09267361111</v>
      </c>
      <c r="D2636" s="5">
        <v>45958</v>
      </c>
      <c r="E2636" s="6">
        <f>IF(AND(C2636&lt;&gt;"",D2636&lt;&gt;""),D2636-C2636,"")</f>
        <v>0</v>
      </c>
      <c r="F2636" s="4" t="s">
        <v>3847</v>
      </c>
      <c r="G2636" s="4" t="s">
        <v>3848</v>
      </c>
      <c r="H2636" s="4" t="s">
        <v>32</v>
      </c>
      <c r="I2636" s="4" t="s">
        <v>33</v>
      </c>
      <c r="J2636" s="4">
        <v>0</v>
      </c>
      <c r="K2636" s="4">
        <v>0</v>
      </c>
      <c r="L2636" s="4">
        <f>J2636+K2636</f>
        <v>0</v>
      </c>
      <c r="M2636" s="4" t="s">
        <v>3630</v>
      </c>
      <c r="N2636" s="4"/>
      <c r="O2636" s="4">
        <v>1</v>
      </c>
      <c r="P2636" s="4" t="s">
        <v>135</v>
      </c>
      <c r="Q2636" s="4" t="s">
        <v>44</v>
      </c>
      <c r="R2636" s="7">
        <v>15000</v>
      </c>
      <c r="S2636" s="7">
        <v>0</v>
      </c>
      <c r="T2636" s="7">
        <f>R2636-S2636</f>
        <v>0</v>
      </c>
      <c r="U2636" s="7">
        <f>T2636*O2636</f>
        <v>0</v>
      </c>
    </row>
    <row r="2637" spans="1:21">
      <c r="A2637" s="4" t="s">
        <v>3846</v>
      </c>
      <c r="B2637" s="4" t="s">
        <v>39</v>
      </c>
      <c r="C2637" s="5">
        <v>45958.09267361111</v>
      </c>
      <c r="D2637" s="5">
        <v>45958</v>
      </c>
      <c r="E2637" s="6">
        <f>IF(AND(C2637&lt;&gt;"",D2637&lt;&gt;""),D2637-C2637,"")</f>
        <v>0</v>
      </c>
      <c r="F2637" s="4" t="s">
        <v>3847</v>
      </c>
      <c r="G2637" s="4" t="s">
        <v>3848</v>
      </c>
      <c r="H2637" s="4" t="s">
        <v>32</v>
      </c>
      <c r="I2637" s="4" t="s">
        <v>33</v>
      </c>
      <c r="J2637" s="4">
        <v>0</v>
      </c>
      <c r="K2637" s="4">
        <v>0</v>
      </c>
      <c r="L2637" s="4">
        <f>J2637+K2637</f>
        <v>0</v>
      </c>
      <c r="M2637" s="4" t="s">
        <v>3630</v>
      </c>
      <c r="N2637" s="4"/>
      <c r="O2637" s="4">
        <v>1</v>
      </c>
      <c r="P2637" s="4" t="s">
        <v>135</v>
      </c>
      <c r="Q2637" s="4" t="s">
        <v>44</v>
      </c>
      <c r="R2637" s="7">
        <v>15000</v>
      </c>
      <c r="S2637" s="7">
        <v>0</v>
      </c>
      <c r="T2637" s="7">
        <f>R2637-S2637</f>
        <v>0</v>
      </c>
      <c r="U2637" s="7">
        <f>T2637*O2637</f>
        <v>0</v>
      </c>
    </row>
    <row r="2638" spans="1:21">
      <c r="A2638" s="4" t="s">
        <v>3846</v>
      </c>
      <c r="B2638" s="4" t="s">
        <v>39</v>
      </c>
      <c r="C2638" s="5">
        <v>45958.09267361111</v>
      </c>
      <c r="D2638" s="5">
        <v>45958</v>
      </c>
      <c r="E2638" s="6">
        <f>IF(AND(C2638&lt;&gt;"",D2638&lt;&gt;""),D2638-C2638,"")</f>
        <v>0</v>
      </c>
      <c r="F2638" s="4" t="s">
        <v>3847</v>
      </c>
      <c r="G2638" s="4" t="s">
        <v>3848</v>
      </c>
      <c r="H2638" s="4" t="s">
        <v>32</v>
      </c>
      <c r="I2638" s="4" t="s">
        <v>33</v>
      </c>
      <c r="J2638" s="4">
        <v>0</v>
      </c>
      <c r="K2638" s="4">
        <v>0</v>
      </c>
      <c r="L2638" s="4">
        <f>J2638+K2638</f>
        <v>0</v>
      </c>
      <c r="M2638" s="4" t="s">
        <v>3630</v>
      </c>
      <c r="N2638" s="4"/>
      <c r="O2638" s="4">
        <v>1</v>
      </c>
      <c r="P2638" s="4" t="s">
        <v>135</v>
      </c>
      <c r="Q2638" s="4" t="s">
        <v>44</v>
      </c>
      <c r="R2638" s="7">
        <v>15000</v>
      </c>
      <c r="S2638" s="7">
        <v>0</v>
      </c>
      <c r="T2638" s="7">
        <f>R2638-S2638</f>
        <v>0</v>
      </c>
      <c r="U2638" s="7">
        <f>T2638*O2638</f>
        <v>0</v>
      </c>
    </row>
    <row r="2639" spans="1:21">
      <c r="A2639" s="4" t="s">
        <v>3846</v>
      </c>
      <c r="B2639" s="4" t="s">
        <v>39</v>
      </c>
      <c r="C2639" s="5">
        <v>45958.09267361111</v>
      </c>
      <c r="D2639" s="5">
        <v>45958</v>
      </c>
      <c r="E2639" s="6">
        <f>IF(AND(C2639&lt;&gt;"",D2639&lt;&gt;""),D2639-C2639,"")</f>
        <v>0</v>
      </c>
      <c r="F2639" s="4" t="s">
        <v>3847</v>
      </c>
      <c r="G2639" s="4" t="s">
        <v>3848</v>
      </c>
      <c r="H2639" s="4" t="s">
        <v>32</v>
      </c>
      <c r="I2639" s="4" t="s">
        <v>33</v>
      </c>
      <c r="J2639" s="4">
        <v>0</v>
      </c>
      <c r="K2639" s="4">
        <v>0</v>
      </c>
      <c r="L2639" s="4">
        <f>J2639+K2639</f>
        <v>0</v>
      </c>
      <c r="M2639" s="4" t="s">
        <v>3630</v>
      </c>
      <c r="N2639" s="4"/>
      <c r="O2639" s="4">
        <v>1</v>
      </c>
      <c r="P2639" s="4" t="s">
        <v>135</v>
      </c>
      <c r="Q2639" s="4" t="s">
        <v>44</v>
      </c>
      <c r="R2639" s="7">
        <v>15000</v>
      </c>
      <c r="S2639" s="7">
        <v>0</v>
      </c>
      <c r="T2639" s="7">
        <f>R2639-S2639</f>
        <v>0</v>
      </c>
      <c r="U2639" s="7">
        <f>T2639*O2639</f>
        <v>0</v>
      </c>
    </row>
    <row r="2640" spans="1:21">
      <c r="A2640" s="4" t="s">
        <v>3846</v>
      </c>
      <c r="B2640" s="4" t="s">
        <v>39</v>
      </c>
      <c r="C2640" s="5">
        <v>45958.09267361111</v>
      </c>
      <c r="D2640" s="5">
        <v>45958</v>
      </c>
      <c r="E2640" s="6">
        <f>IF(AND(C2640&lt;&gt;"",D2640&lt;&gt;""),D2640-C2640,"")</f>
        <v>0</v>
      </c>
      <c r="F2640" s="4" t="s">
        <v>3847</v>
      </c>
      <c r="G2640" s="4" t="s">
        <v>3848</v>
      </c>
      <c r="H2640" s="4" t="s">
        <v>32</v>
      </c>
      <c r="I2640" s="4" t="s">
        <v>33</v>
      </c>
      <c r="J2640" s="4">
        <v>0</v>
      </c>
      <c r="K2640" s="4">
        <v>0</v>
      </c>
      <c r="L2640" s="4">
        <f>J2640+K2640</f>
        <v>0</v>
      </c>
      <c r="M2640" s="4" t="s">
        <v>3630</v>
      </c>
      <c r="N2640" s="4"/>
      <c r="O2640" s="4">
        <v>1</v>
      </c>
      <c r="P2640" s="4" t="s">
        <v>135</v>
      </c>
      <c r="Q2640" s="4" t="s">
        <v>44</v>
      </c>
      <c r="R2640" s="7">
        <v>15000</v>
      </c>
      <c r="S2640" s="7">
        <v>0</v>
      </c>
      <c r="T2640" s="7">
        <f>R2640-S2640</f>
        <v>0</v>
      </c>
      <c r="U2640" s="7">
        <f>T2640*O2640</f>
        <v>0</v>
      </c>
    </row>
    <row r="2641" spans="1:21">
      <c r="A2641" s="4" t="s">
        <v>3846</v>
      </c>
      <c r="B2641" s="4" t="s">
        <v>39</v>
      </c>
      <c r="C2641" s="5">
        <v>45958.09267361111</v>
      </c>
      <c r="D2641" s="5">
        <v>45958</v>
      </c>
      <c r="E2641" s="6">
        <f>IF(AND(C2641&lt;&gt;"",D2641&lt;&gt;""),D2641-C2641,"")</f>
        <v>0</v>
      </c>
      <c r="F2641" s="4" t="s">
        <v>3847</v>
      </c>
      <c r="G2641" s="4" t="s">
        <v>3848</v>
      </c>
      <c r="H2641" s="4" t="s">
        <v>32</v>
      </c>
      <c r="I2641" s="4" t="s">
        <v>33</v>
      </c>
      <c r="J2641" s="4">
        <v>0</v>
      </c>
      <c r="K2641" s="4">
        <v>0</v>
      </c>
      <c r="L2641" s="4">
        <f>J2641+K2641</f>
        <v>0</v>
      </c>
      <c r="M2641" s="4" t="s">
        <v>3630</v>
      </c>
      <c r="N2641" s="4"/>
      <c r="O2641" s="4">
        <v>1</v>
      </c>
      <c r="P2641" s="4" t="s">
        <v>135</v>
      </c>
      <c r="Q2641" s="4" t="s">
        <v>44</v>
      </c>
      <c r="R2641" s="7">
        <v>15000</v>
      </c>
      <c r="S2641" s="7">
        <v>0</v>
      </c>
      <c r="T2641" s="7">
        <f>R2641-S2641</f>
        <v>0</v>
      </c>
      <c r="U2641" s="7">
        <f>T2641*O2641</f>
        <v>0</v>
      </c>
    </row>
    <row r="2642" spans="1:21">
      <c r="A2642" s="4" t="s">
        <v>3846</v>
      </c>
      <c r="B2642" s="4" t="s">
        <v>39</v>
      </c>
      <c r="C2642" s="5">
        <v>45958.09267361111</v>
      </c>
      <c r="D2642" s="5">
        <v>45958</v>
      </c>
      <c r="E2642" s="6">
        <f>IF(AND(C2642&lt;&gt;"",D2642&lt;&gt;""),D2642-C2642,"")</f>
        <v>0</v>
      </c>
      <c r="F2642" s="4" t="s">
        <v>3847</v>
      </c>
      <c r="G2642" s="4" t="s">
        <v>3848</v>
      </c>
      <c r="H2642" s="4" t="s">
        <v>32</v>
      </c>
      <c r="I2642" s="4" t="s">
        <v>33</v>
      </c>
      <c r="J2642" s="4">
        <v>0</v>
      </c>
      <c r="K2642" s="4">
        <v>0</v>
      </c>
      <c r="L2642" s="4">
        <f>J2642+K2642</f>
        <v>0</v>
      </c>
      <c r="M2642" s="4" t="s">
        <v>3630</v>
      </c>
      <c r="N2642" s="4"/>
      <c r="O2642" s="4">
        <v>1</v>
      </c>
      <c r="P2642" s="4" t="s">
        <v>135</v>
      </c>
      <c r="Q2642" s="4" t="s">
        <v>44</v>
      </c>
      <c r="R2642" s="7">
        <v>15000</v>
      </c>
      <c r="S2642" s="7">
        <v>0</v>
      </c>
      <c r="T2642" s="7">
        <f>R2642-S2642</f>
        <v>0</v>
      </c>
      <c r="U2642" s="7">
        <f>T2642*O2642</f>
        <v>0</v>
      </c>
    </row>
    <row r="2643" spans="1:21">
      <c r="A2643" s="4" t="s">
        <v>3846</v>
      </c>
      <c r="B2643" s="4" t="s">
        <v>39</v>
      </c>
      <c r="C2643" s="5">
        <v>45958.09267361111</v>
      </c>
      <c r="D2643" s="5">
        <v>45958</v>
      </c>
      <c r="E2643" s="6">
        <f>IF(AND(C2643&lt;&gt;"",D2643&lt;&gt;""),D2643-C2643,"")</f>
        <v>0</v>
      </c>
      <c r="F2643" s="4" t="s">
        <v>3847</v>
      </c>
      <c r="G2643" s="4" t="s">
        <v>3848</v>
      </c>
      <c r="H2643" s="4" t="s">
        <v>32</v>
      </c>
      <c r="I2643" s="4" t="s">
        <v>33</v>
      </c>
      <c r="J2643" s="4">
        <v>0</v>
      </c>
      <c r="K2643" s="4">
        <v>0</v>
      </c>
      <c r="L2643" s="4">
        <f>J2643+K2643</f>
        <v>0</v>
      </c>
      <c r="M2643" s="4" t="s">
        <v>3630</v>
      </c>
      <c r="N2643" s="4"/>
      <c r="O2643" s="4">
        <v>1</v>
      </c>
      <c r="P2643" s="4" t="s">
        <v>135</v>
      </c>
      <c r="Q2643" s="4" t="s">
        <v>44</v>
      </c>
      <c r="R2643" s="7">
        <v>15000</v>
      </c>
      <c r="S2643" s="7">
        <v>0</v>
      </c>
      <c r="T2643" s="7">
        <f>R2643-S2643</f>
        <v>0</v>
      </c>
      <c r="U2643" s="7">
        <f>T2643*O2643</f>
        <v>0</v>
      </c>
    </row>
    <row r="2644" spans="1:21">
      <c r="A2644" s="4" t="s">
        <v>3846</v>
      </c>
      <c r="B2644" s="4" t="s">
        <v>39</v>
      </c>
      <c r="C2644" s="5">
        <v>45958.09267361111</v>
      </c>
      <c r="D2644" s="5">
        <v>45958</v>
      </c>
      <c r="E2644" s="6">
        <f>IF(AND(C2644&lt;&gt;"",D2644&lt;&gt;""),D2644-C2644,"")</f>
        <v>0</v>
      </c>
      <c r="F2644" s="4" t="s">
        <v>3847</v>
      </c>
      <c r="G2644" s="4" t="s">
        <v>3848</v>
      </c>
      <c r="H2644" s="4" t="s">
        <v>32</v>
      </c>
      <c r="I2644" s="4" t="s">
        <v>33</v>
      </c>
      <c r="J2644" s="4">
        <v>0</v>
      </c>
      <c r="K2644" s="4">
        <v>0</v>
      </c>
      <c r="L2644" s="4">
        <f>J2644+K2644</f>
        <v>0</v>
      </c>
      <c r="M2644" s="4" t="s">
        <v>3630</v>
      </c>
      <c r="N2644" s="4"/>
      <c r="O2644" s="4">
        <v>1</v>
      </c>
      <c r="P2644" s="4" t="s">
        <v>135</v>
      </c>
      <c r="Q2644" s="4" t="s">
        <v>44</v>
      </c>
      <c r="R2644" s="7">
        <v>15000</v>
      </c>
      <c r="S2644" s="7">
        <v>0</v>
      </c>
      <c r="T2644" s="7">
        <f>R2644-S2644</f>
        <v>0</v>
      </c>
      <c r="U2644" s="7">
        <f>T2644*O2644</f>
        <v>0</v>
      </c>
    </row>
    <row r="2645" spans="1:21">
      <c r="A2645" s="4" t="s">
        <v>3849</v>
      </c>
      <c r="B2645" s="4" t="s">
        <v>39</v>
      </c>
      <c r="C2645" s="5">
        <v>45958.09349537037</v>
      </c>
      <c r="D2645" s="5">
        <v>45958</v>
      </c>
      <c r="E2645" s="6">
        <f>IF(AND(C2645&lt;&gt;"",D2645&lt;&gt;""),D2645-C2645,"")</f>
        <v>0</v>
      </c>
      <c r="F2645" s="4" t="s">
        <v>3850</v>
      </c>
      <c r="G2645" s="4" t="s">
        <v>3851</v>
      </c>
      <c r="H2645" s="4" t="s">
        <v>32</v>
      </c>
      <c r="I2645" s="4" t="s">
        <v>33</v>
      </c>
      <c r="J2645" s="4">
        <v>0</v>
      </c>
      <c r="K2645" s="4">
        <v>0</v>
      </c>
      <c r="L2645" s="4">
        <f>J2645+K2645</f>
        <v>0</v>
      </c>
      <c r="M2645" s="4" t="s">
        <v>3630</v>
      </c>
      <c r="N2645" s="4"/>
      <c r="O2645" s="4">
        <v>1</v>
      </c>
      <c r="P2645" s="4" t="s">
        <v>135</v>
      </c>
      <c r="Q2645" s="4" t="s">
        <v>44</v>
      </c>
      <c r="R2645" s="7">
        <v>15000</v>
      </c>
      <c r="S2645" s="7">
        <v>0</v>
      </c>
      <c r="T2645" s="7">
        <f>R2645-S2645</f>
        <v>0</v>
      </c>
      <c r="U2645" s="7">
        <f>T2645*O2645</f>
        <v>0</v>
      </c>
    </row>
    <row r="2646" spans="1:21">
      <c r="A2646" s="4" t="s">
        <v>3849</v>
      </c>
      <c r="B2646" s="4" t="s">
        <v>39</v>
      </c>
      <c r="C2646" s="5">
        <v>45958.09349537037</v>
      </c>
      <c r="D2646" s="5">
        <v>45958</v>
      </c>
      <c r="E2646" s="6">
        <f>IF(AND(C2646&lt;&gt;"",D2646&lt;&gt;""),D2646-C2646,"")</f>
        <v>0</v>
      </c>
      <c r="F2646" s="4" t="s">
        <v>3850</v>
      </c>
      <c r="G2646" s="4" t="s">
        <v>3851</v>
      </c>
      <c r="H2646" s="4" t="s">
        <v>32</v>
      </c>
      <c r="I2646" s="4" t="s">
        <v>33</v>
      </c>
      <c r="J2646" s="4">
        <v>0</v>
      </c>
      <c r="K2646" s="4">
        <v>0</v>
      </c>
      <c r="L2646" s="4">
        <f>J2646+K2646</f>
        <v>0</v>
      </c>
      <c r="M2646" s="4" t="s">
        <v>3630</v>
      </c>
      <c r="N2646" s="4"/>
      <c r="O2646" s="4">
        <v>1</v>
      </c>
      <c r="P2646" s="4" t="s">
        <v>135</v>
      </c>
      <c r="Q2646" s="4" t="s">
        <v>44</v>
      </c>
      <c r="R2646" s="7">
        <v>15000</v>
      </c>
      <c r="S2646" s="7">
        <v>0</v>
      </c>
      <c r="T2646" s="7">
        <f>R2646-S2646</f>
        <v>0</v>
      </c>
      <c r="U2646" s="7">
        <f>T2646*O2646</f>
        <v>0</v>
      </c>
    </row>
    <row r="2647" spans="1:21">
      <c r="A2647" s="4" t="s">
        <v>3849</v>
      </c>
      <c r="B2647" s="4" t="s">
        <v>39</v>
      </c>
      <c r="C2647" s="5">
        <v>45958.09349537037</v>
      </c>
      <c r="D2647" s="5">
        <v>45958</v>
      </c>
      <c r="E2647" s="6">
        <f>IF(AND(C2647&lt;&gt;"",D2647&lt;&gt;""),D2647-C2647,"")</f>
        <v>0</v>
      </c>
      <c r="F2647" s="4" t="s">
        <v>3850</v>
      </c>
      <c r="G2647" s="4" t="s">
        <v>3851</v>
      </c>
      <c r="H2647" s="4" t="s">
        <v>32</v>
      </c>
      <c r="I2647" s="4" t="s">
        <v>33</v>
      </c>
      <c r="J2647" s="4">
        <v>0</v>
      </c>
      <c r="K2647" s="4">
        <v>0</v>
      </c>
      <c r="L2647" s="4">
        <f>J2647+K2647</f>
        <v>0</v>
      </c>
      <c r="M2647" s="4" t="s">
        <v>3630</v>
      </c>
      <c r="N2647" s="4"/>
      <c r="O2647" s="4">
        <v>1</v>
      </c>
      <c r="P2647" s="4" t="s">
        <v>135</v>
      </c>
      <c r="Q2647" s="4" t="s">
        <v>44</v>
      </c>
      <c r="R2647" s="7">
        <v>15000</v>
      </c>
      <c r="S2647" s="7">
        <v>0</v>
      </c>
      <c r="T2647" s="7">
        <f>R2647-S2647</f>
        <v>0</v>
      </c>
      <c r="U2647" s="7">
        <f>T2647*O2647</f>
        <v>0</v>
      </c>
    </row>
    <row r="2648" spans="1:21">
      <c r="A2648" s="4" t="s">
        <v>3849</v>
      </c>
      <c r="B2648" s="4" t="s">
        <v>39</v>
      </c>
      <c r="C2648" s="5">
        <v>45958.09349537037</v>
      </c>
      <c r="D2648" s="5">
        <v>45958</v>
      </c>
      <c r="E2648" s="6">
        <f>IF(AND(C2648&lt;&gt;"",D2648&lt;&gt;""),D2648-C2648,"")</f>
        <v>0</v>
      </c>
      <c r="F2648" s="4" t="s">
        <v>3850</v>
      </c>
      <c r="G2648" s="4" t="s">
        <v>3851</v>
      </c>
      <c r="H2648" s="4" t="s">
        <v>32</v>
      </c>
      <c r="I2648" s="4" t="s">
        <v>33</v>
      </c>
      <c r="J2648" s="4">
        <v>0</v>
      </c>
      <c r="K2648" s="4">
        <v>0</v>
      </c>
      <c r="L2648" s="4">
        <f>J2648+K2648</f>
        <v>0</v>
      </c>
      <c r="M2648" s="4" t="s">
        <v>3630</v>
      </c>
      <c r="N2648" s="4"/>
      <c r="O2648" s="4">
        <v>1</v>
      </c>
      <c r="P2648" s="4" t="s">
        <v>135</v>
      </c>
      <c r="Q2648" s="4" t="s">
        <v>44</v>
      </c>
      <c r="R2648" s="7">
        <v>15000</v>
      </c>
      <c r="S2648" s="7">
        <v>0</v>
      </c>
      <c r="T2648" s="7">
        <f>R2648-S2648</f>
        <v>0</v>
      </c>
      <c r="U2648" s="7">
        <f>T2648*O2648</f>
        <v>0</v>
      </c>
    </row>
    <row r="2649" spans="1:21">
      <c r="A2649" s="4" t="s">
        <v>3849</v>
      </c>
      <c r="B2649" s="4" t="s">
        <v>39</v>
      </c>
      <c r="C2649" s="5">
        <v>45958.09349537037</v>
      </c>
      <c r="D2649" s="5">
        <v>45958</v>
      </c>
      <c r="E2649" s="6">
        <f>IF(AND(C2649&lt;&gt;"",D2649&lt;&gt;""),D2649-C2649,"")</f>
        <v>0</v>
      </c>
      <c r="F2649" s="4" t="s">
        <v>3850</v>
      </c>
      <c r="G2649" s="4" t="s">
        <v>3851</v>
      </c>
      <c r="H2649" s="4" t="s">
        <v>32</v>
      </c>
      <c r="I2649" s="4" t="s">
        <v>33</v>
      </c>
      <c r="J2649" s="4">
        <v>0</v>
      </c>
      <c r="K2649" s="4">
        <v>0</v>
      </c>
      <c r="L2649" s="4">
        <f>J2649+K2649</f>
        <v>0</v>
      </c>
      <c r="M2649" s="4" t="s">
        <v>3630</v>
      </c>
      <c r="N2649" s="4"/>
      <c r="O2649" s="4">
        <v>1</v>
      </c>
      <c r="P2649" s="4" t="s">
        <v>135</v>
      </c>
      <c r="Q2649" s="4" t="s">
        <v>44</v>
      </c>
      <c r="R2649" s="7">
        <v>15000</v>
      </c>
      <c r="S2649" s="7">
        <v>0</v>
      </c>
      <c r="T2649" s="7">
        <f>R2649-S2649</f>
        <v>0</v>
      </c>
      <c r="U2649" s="7">
        <f>T2649*O2649</f>
        <v>0</v>
      </c>
    </row>
    <row r="2650" spans="1:21">
      <c r="A2650" s="4" t="s">
        <v>3849</v>
      </c>
      <c r="B2650" s="4" t="s">
        <v>39</v>
      </c>
      <c r="C2650" s="5">
        <v>45958.09349537037</v>
      </c>
      <c r="D2650" s="5">
        <v>45958</v>
      </c>
      <c r="E2650" s="6">
        <f>IF(AND(C2650&lt;&gt;"",D2650&lt;&gt;""),D2650-C2650,"")</f>
        <v>0</v>
      </c>
      <c r="F2650" s="4" t="s">
        <v>3850</v>
      </c>
      <c r="G2650" s="4" t="s">
        <v>3851</v>
      </c>
      <c r="H2650" s="4" t="s">
        <v>32</v>
      </c>
      <c r="I2650" s="4" t="s">
        <v>33</v>
      </c>
      <c r="J2650" s="4">
        <v>0</v>
      </c>
      <c r="K2650" s="4">
        <v>0</v>
      </c>
      <c r="L2650" s="4">
        <f>J2650+K2650</f>
        <v>0</v>
      </c>
      <c r="M2650" s="4" t="s">
        <v>3630</v>
      </c>
      <c r="N2650" s="4"/>
      <c r="O2650" s="4">
        <v>1</v>
      </c>
      <c r="P2650" s="4" t="s">
        <v>135</v>
      </c>
      <c r="Q2650" s="4" t="s">
        <v>44</v>
      </c>
      <c r="R2650" s="7">
        <v>15000</v>
      </c>
      <c r="S2650" s="7">
        <v>0</v>
      </c>
      <c r="T2650" s="7">
        <f>R2650-S2650</f>
        <v>0</v>
      </c>
      <c r="U2650" s="7">
        <f>T2650*O2650</f>
        <v>0</v>
      </c>
    </row>
    <row r="2651" spans="1:21">
      <c r="A2651" s="4" t="s">
        <v>3849</v>
      </c>
      <c r="B2651" s="4" t="s">
        <v>39</v>
      </c>
      <c r="C2651" s="5">
        <v>45958.09349537037</v>
      </c>
      <c r="D2651" s="5">
        <v>45958</v>
      </c>
      <c r="E2651" s="6">
        <f>IF(AND(C2651&lt;&gt;"",D2651&lt;&gt;""),D2651-C2651,"")</f>
        <v>0</v>
      </c>
      <c r="F2651" s="4" t="s">
        <v>3850</v>
      </c>
      <c r="G2651" s="4" t="s">
        <v>3851</v>
      </c>
      <c r="H2651" s="4" t="s">
        <v>32</v>
      </c>
      <c r="I2651" s="4" t="s">
        <v>33</v>
      </c>
      <c r="J2651" s="4">
        <v>0</v>
      </c>
      <c r="K2651" s="4">
        <v>0</v>
      </c>
      <c r="L2651" s="4">
        <f>J2651+K2651</f>
        <v>0</v>
      </c>
      <c r="M2651" s="4" t="s">
        <v>3630</v>
      </c>
      <c r="N2651" s="4"/>
      <c r="O2651" s="4">
        <v>1</v>
      </c>
      <c r="P2651" s="4" t="s">
        <v>135</v>
      </c>
      <c r="Q2651" s="4" t="s">
        <v>44</v>
      </c>
      <c r="R2651" s="7">
        <v>15000</v>
      </c>
      <c r="S2651" s="7">
        <v>0</v>
      </c>
      <c r="T2651" s="7">
        <f>R2651-S2651</f>
        <v>0</v>
      </c>
      <c r="U2651" s="7">
        <f>T2651*O2651</f>
        <v>0</v>
      </c>
    </row>
    <row r="2652" spans="1:21">
      <c r="A2652" s="4" t="s">
        <v>3849</v>
      </c>
      <c r="B2652" s="4" t="s">
        <v>39</v>
      </c>
      <c r="C2652" s="5">
        <v>45958.09349537037</v>
      </c>
      <c r="D2652" s="5">
        <v>45958</v>
      </c>
      <c r="E2652" s="6">
        <f>IF(AND(C2652&lt;&gt;"",D2652&lt;&gt;""),D2652-C2652,"")</f>
        <v>0</v>
      </c>
      <c r="F2652" s="4" t="s">
        <v>3850</v>
      </c>
      <c r="G2652" s="4" t="s">
        <v>3851</v>
      </c>
      <c r="H2652" s="4" t="s">
        <v>32</v>
      </c>
      <c r="I2652" s="4" t="s">
        <v>33</v>
      </c>
      <c r="J2652" s="4">
        <v>0</v>
      </c>
      <c r="K2652" s="4">
        <v>0</v>
      </c>
      <c r="L2652" s="4">
        <f>J2652+K2652</f>
        <v>0</v>
      </c>
      <c r="M2652" s="4" t="s">
        <v>3630</v>
      </c>
      <c r="N2652" s="4"/>
      <c r="O2652" s="4">
        <v>1</v>
      </c>
      <c r="P2652" s="4" t="s">
        <v>135</v>
      </c>
      <c r="Q2652" s="4" t="s">
        <v>44</v>
      </c>
      <c r="R2652" s="7">
        <v>15000</v>
      </c>
      <c r="S2652" s="7">
        <v>0</v>
      </c>
      <c r="T2652" s="7">
        <f>R2652-S2652</f>
        <v>0</v>
      </c>
      <c r="U2652" s="7">
        <f>T2652*O2652</f>
        <v>0</v>
      </c>
    </row>
    <row r="2653" spans="1:21">
      <c r="A2653" s="4" t="s">
        <v>3849</v>
      </c>
      <c r="B2653" s="4" t="s">
        <v>39</v>
      </c>
      <c r="C2653" s="5">
        <v>45958.09349537037</v>
      </c>
      <c r="D2653" s="5">
        <v>45958</v>
      </c>
      <c r="E2653" s="6">
        <f>IF(AND(C2653&lt;&gt;"",D2653&lt;&gt;""),D2653-C2653,"")</f>
        <v>0</v>
      </c>
      <c r="F2653" s="4" t="s">
        <v>3850</v>
      </c>
      <c r="G2653" s="4" t="s">
        <v>3851</v>
      </c>
      <c r="H2653" s="4" t="s">
        <v>32</v>
      </c>
      <c r="I2653" s="4" t="s">
        <v>33</v>
      </c>
      <c r="J2653" s="4">
        <v>0</v>
      </c>
      <c r="K2653" s="4">
        <v>0</v>
      </c>
      <c r="L2653" s="4">
        <f>J2653+K2653</f>
        <v>0</v>
      </c>
      <c r="M2653" s="4" t="s">
        <v>3630</v>
      </c>
      <c r="N2653" s="4"/>
      <c r="O2653" s="4">
        <v>1</v>
      </c>
      <c r="P2653" s="4" t="s">
        <v>135</v>
      </c>
      <c r="Q2653" s="4" t="s">
        <v>44</v>
      </c>
      <c r="R2653" s="7">
        <v>15000</v>
      </c>
      <c r="S2653" s="7">
        <v>0</v>
      </c>
      <c r="T2653" s="7">
        <f>R2653-S2653</f>
        <v>0</v>
      </c>
      <c r="U2653" s="7">
        <f>T2653*O2653</f>
        <v>0</v>
      </c>
    </row>
    <row r="2654" spans="1:21">
      <c r="A2654" s="4" t="s">
        <v>3849</v>
      </c>
      <c r="B2654" s="4" t="s">
        <v>39</v>
      </c>
      <c r="C2654" s="5">
        <v>45958.09349537037</v>
      </c>
      <c r="D2654" s="5">
        <v>45958</v>
      </c>
      <c r="E2654" s="6">
        <f>IF(AND(C2654&lt;&gt;"",D2654&lt;&gt;""),D2654-C2654,"")</f>
        <v>0</v>
      </c>
      <c r="F2654" s="4" t="s">
        <v>3850</v>
      </c>
      <c r="G2654" s="4" t="s">
        <v>3851</v>
      </c>
      <c r="H2654" s="4" t="s">
        <v>32</v>
      </c>
      <c r="I2654" s="4" t="s">
        <v>33</v>
      </c>
      <c r="J2654" s="4">
        <v>0</v>
      </c>
      <c r="K2654" s="4">
        <v>0</v>
      </c>
      <c r="L2654" s="4">
        <f>J2654+K2654</f>
        <v>0</v>
      </c>
      <c r="M2654" s="4" t="s">
        <v>3630</v>
      </c>
      <c r="N2654" s="4"/>
      <c r="O2654" s="4">
        <v>1</v>
      </c>
      <c r="P2654" s="4" t="s">
        <v>135</v>
      </c>
      <c r="Q2654" s="4" t="s">
        <v>44</v>
      </c>
      <c r="R2654" s="7">
        <v>15000</v>
      </c>
      <c r="S2654" s="7">
        <v>0</v>
      </c>
      <c r="T2654" s="7">
        <f>R2654-S2654</f>
        <v>0</v>
      </c>
      <c r="U2654" s="7">
        <f>T2654*O2654</f>
        <v>0</v>
      </c>
    </row>
    <row r="2655" spans="1:21">
      <c r="A2655" s="4" t="s">
        <v>3849</v>
      </c>
      <c r="B2655" s="4" t="s">
        <v>39</v>
      </c>
      <c r="C2655" s="5">
        <v>45958.09349537037</v>
      </c>
      <c r="D2655" s="5">
        <v>45958</v>
      </c>
      <c r="E2655" s="6">
        <f>IF(AND(C2655&lt;&gt;"",D2655&lt;&gt;""),D2655-C2655,"")</f>
        <v>0</v>
      </c>
      <c r="F2655" s="4" t="s">
        <v>3850</v>
      </c>
      <c r="G2655" s="4" t="s">
        <v>3851</v>
      </c>
      <c r="H2655" s="4" t="s">
        <v>32</v>
      </c>
      <c r="I2655" s="4" t="s">
        <v>33</v>
      </c>
      <c r="J2655" s="4">
        <v>0</v>
      </c>
      <c r="K2655" s="4">
        <v>0</v>
      </c>
      <c r="L2655" s="4">
        <f>J2655+K2655</f>
        <v>0</v>
      </c>
      <c r="M2655" s="4" t="s">
        <v>3630</v>
      </c>
      <c r="N2655" s="4"/>
      <c r="O2655" s="4">
        <v>1</v>
      </c>
      <c r="P2655" s="4" t="s">
        <v>135</v>
      </c>
      <c r="Q2655" s="4" t="s">
        <v>44</v>
      </c>
      <c r="R2655" s="7">
        <v>15000</v>
      </c>
      <c r="S2655" s="7">
        <v>0</v>
      </c>
      <c r="T2655" s="7">
        <f>R2655-S2655</f>
        <v>0</v>
      </c>
      <c r="U2655" s="7">
        <f>T2655*O2655</f>
        <v>0</v>
      </c>
    </row>
    <row r="2656" spans="1:21">
      <c r="A2656" s="4" t="s">
        <v>3849</v>
      </c>
      <c r="B2656" s="4" t="s">
        <v>39</v>
      </c>
      <c r="C2656" s="5">
        <v>45958.09349537037</v>
      </c>
      <c r="D2656" s="5">
        <v>45958</v>
      </c>
      <c r="E2656" s="6">
        <f>IF(AND(C2656&lt;&gt;"",D2656&lt;&gt;""),D2656-C2656,"")</f>
        <v>0</v>
      </c>
      <c r="F2656" s="4" t="s">
        <v>3850</v>
      </c>
      <c r="G2656" s="4" t="s">
        <v>3851</v>
      </c>
      <c r="H2656" s="4" t="s">
        <v>32</v>
      </c>
      <c r="I2656" s="4" t="s">
        <v>33</v>
      </c>
      <c r="J2656" s="4">
        <v>0</v>
      </c>
      <c r="K2656" s="4">
        <v>0</v>
      </c>
      <c r="L2656" s="4">
        <f>J2656+K2656</f>
        <v>0</v>
      </c>
      <c r="M2656" s="4" t="s">
        <v>3630</v>
      </c>
      <c r="N2656" s="4"/>
      <c r="O2656" s="4">
        <v>1</v>
      </c>
      <c r="P2656" s="4" t="s">
        <v>135</v>
      </c>
      <c r="Q2656" s="4" t="s">
        <v>44</v>
      </c>
      <c r="R2656" s="7">
        <v>15000</v>
      </c>
      <c r="S2656" s="7">
        <v>0</v>
      </c>
      <c r="T2656" s="7">
        <f>R2656-S2656</f>
        <v>0</v>
      </c>
      <c r="U2656" s="7">
        <f>T2656*O2656</f>
        <v>0</v>
      </c>
    </row>
    <row r="2657" spans="1:21">
      <c r="A2657" s="4" t="s">
        <v>3849</v>
      </c>
      <c r="B2657" s="4" t="s">
        <v>39</v>
      </c>
      <c r="C2657" s="5">
        <v>45958.09349537037</v>
      </c>
      <c r="D2657" s="5">
        <v>45958</v>
      </c>
      <c r="E2657" s="6">
        <f>IF(AND(C2657&lt;&gt;"",D2657&lt;&gt;""),D2657-C2657,"")</f>
        <v>0</v>
      </c>
      <c r="F2657" s="4" t="s">
        <v>3850</v>
      </c>
      <c r="G2657" s="4" t="s">
        <v>3851</v>
      </c>
      <c r="H2657" s="4" t="s">
        <v>32</v>
      </c>
      <c r="I2657" s="4" t="s">
        <v>33</v>
      </c>
      <c r="J2657" s="4">
        <v>0</v>
      </c>
      <c r="K2657" s="4">
        <v>0</v>
      </c>
      <c r="L2657" s="4">
        <f>J2657+K2657</f>
        <v>0</v>
      </c>
      <c r="M2657" s="4" t="s">
        <v>3630</v>
      </c>
      <c r="N2657" s="4"/>
      <c r="O2657" s="4">
        <v>1</v>
      </c>
      <c r="P2657" s="4" t="s">
        <v>135</v>
      </c>
      <c r="Q2657" s="4" t="s">
        <v>44</v>
      </c>
      <c r="R2657" s="7">
        <v>15000</v>
      </c>
      <c r="S2657" s="7">
        <v>0</v>
      </c>
      <c r="T2657" s="7">
        <f>R2657-S2657</f>
        <v>0</v>
      </c>
      <c r="U2657" s="7">
        <f>T2657*O2657</f>
        <v>0</v>
      </c>
    </row>
    <row r="2658" spans="1:21">
      <c r="A2658" s="4" t="s">
        <v>3849</v>
      </c>
      <c r="B2658" s="4" t="s">
        <v>39</v>
      </c>
      <c r="C2658" s="5">
        <v>45958.09349537037</v>
      </c>
      <c r="D2658" s="5">
        <v>45958</v>
      </c>
      <c r="E2658" s="6">
        <f>IF(AND(C2658&lt;&gt;"",D2658&lt;&gt;""),D2658-C2658,"")</f>
        <v>0</v>
      </c>
      <c r="F2658" s="4" t="s">
        <v>3850</v>
      </c>
      <c r="G2658" s="4" t="s">
        <v>3851</v>
      </c>
      <c r="H2658" s="4" t="s">
        <v>32</v>
      </c>
      <c r="I2658" s="4" t="s">
        <v>33</v>
      </c>
      <c r="J2658" s="4">
        <v>0</v>
      </c>
      <c r="K2658" s="4">
        <v>0</v>
      </c>
      <c r="L2658" s="4">
        <f>J2658+K2658</f>
        <v>0</v>
      </c>
      <c r="M2658" s="4" t="s">
        <v>3630</v>
      </c>
      <c r="N2658" s="4"/>
      <c r="O2658" s="4">
        <v>1</v>
      </c>
      <c r="P2658" s="4" t="s">
        <v>135</v>
      </c>
      <c r="Q2658" s="4" t="s">
        <v>44</v>
      </c>
      <c r="R2658" s="7">
        <v>15000</v>
      </c>
      <c r="S2658" s="7">
        <v>0</v>
      </c>
      <c r="T2658" s="7">
        <f>R2658-S2658</f>
        <v>0</v>
      </c>
      <c r="U2658" s="7">
        <f>T2658*O2658</f>
        <v>0</v>
      </c>
    </row>
    <row r="2659" spans="1:21">
      <c r="A2659" s="4" t="s">
        <v>3849</v>
      </c>
      <c r="B2659" s="4" t="s">
        <v>39</v>
      </c>
      <c r="C2659" s="5">
        <v>45958.09349537037</v>
      </c>
      <c r="D2659" s="5">
        <v>45958</v>
      </c>
      <c r="E2659" s="6">
        <f>IF(AND(C2659&lt;&gt;"",D2659&lt;&gt;""),D2659-C2659,"")</f>
        <v>0</v>
      </c>
      <c r="F2659" s="4" t="s">
        <v>3850</v>
      </c>
      <c r="G2659" s="4" t="s">
        <v>3851</v>
      </c>
      <c r="H2659" s="4" t="s">
        <v>32</v>
      </c>
      <c r="I2659" s="4" t="s">
        <v>33</v>
      </c>
      <c r="J2659" s="4">
        <v>0</v>
      </c>
      <c r="K2659" s="4">
        <v>0</v>
      </c>
      <c r="L2659" s="4">
        <f>J2659+K2659</f>
        <v>0</v>
      </c>
      <c r="M2659" s="4" t="s">
        <v>3630</v>
      </c>
      <c r="N2659" s="4"/>
      <c r="O2659" s="4">
        <v>1</v>
      </c>
      <c r="P2659" s="4" t="s">
        <v>135</v>
      </c>
      <c r="Q2659" s="4" t="s">
        <v>44</v>
      </c>
      <c r="R2659" s="7">
        <v>15000</v>
      </c>
      <c r="S2659" s="7">
        <v>0</v>
      </c>
      <c r="T2659" s="7">
        <f>R2659-S2659</f>
        <v>0</v>
      </c>
      <c r="U2659" s="7">
        <f>T2659*O2659</f>
        <v>0</v>
      </c>
    </row>
    <row r="2660" spans="1:21">
      <c r="A2660" s="4" t="s">
        <v>3849</v>
      </c>
      <c r="B2660" s="4" t="s">
        <v>39</v>
      </c>
      <c r="C2660" s="5">
        <v>45958.09349537037</v>
      </c>
      <c r="D2660" s="5">
        <v>45958</v>
      </c>
      <c r="E2660" s="6">
        <f>IF(AND(C2660&lt;&gt;"",D2660&lt;&gt;""),D2660-C2660,"")</f>
        <v>0</v>
      </c>
      <c r="F2660" s="4" t="s">
        <v>3850</v>
      </c>
      <c r="G2660" s="4" t="s">
        <v>3851</v>
      </c>
      <c r="H2660" s="4" t="s">
        <v>32</v>
      </c>
      <c r="I2660" s="4" t="s">
        <v>33</v>
      </c>
      <c r="J2660" s="4">
        <v>0</v>
      </c>
      <c r="K2660" s="4">
        <v>0</v>
      </c>
      <c r="L2660" s="4">
        <f>J2660+K2660</f>
        <v>0</v>
      </c>
      <c r="M2660" s="4" t="s">
        <v>3630</v>
      </c>
      <c r="N2660" s="4"/>
      <c r="O2660" s="4">
        <v>1</v>
      </c>
      <c r="P2660" s="4" t="s">
        <v>135</v>
      </c>
      <c r="Q2660" s="4" t="s">
        <v>44</v>
      </c>
      <c r="R2660" s="7">
        <v>15000</v>
      </c>
      <c r="S2660" s="7">
        <v>0</v>
      </c>
      <c r="T2660" s="7">
        <f>R2660-S2660</f>
        <v>0</v>
      </c>
      <c r="U2660" s="7">
        <f>T2660*O2660</f>
        <v>0</v>
      </c>
    </row>
    <row r="2661" spans="1:21">
      <c r="A2661" s="4" t="s">
        <v>3849</v>
      </c>
      <c r="B2661" s="4" t="s">
        <v>39</v>
      </c>
      <c r="C2661" s="5">
        <v>45958.09349537037</v>
      </c>
      <c r="D2661" s="5">
        <v>45958</v>
      </c>
      <c r="E2661" s="6">
        <f>IF(AND(C2661&lt;&gt;"",D2661&lt;&gt;""),D2661-C2661,"")</f>
        <v>0</v>
      </c>
      <c r="F2661" s="4" t="s">
        <v>3850</v>
      </c>
      <c r="G2661" s="4" t="s">
        <v>3851</v>
      </c>
      <c r="H2661" s="4" t="s">
        <v>32</v>
      </c>
      <c r="I2661" s="4" t="s">
        <v>33</v>
      </c>
      <c r="J2661" s="4">
        <v>0</v>
      </c>
      <c r="K2661" s="4">
        <v>0</v>
      </c>
      <c r="L2661" s="4">
        <f>J2661+K2661</f>
        <v>0</v>
      </c>
      <c r="M2661" s="4" t="s">
        <v>3630</v>
      </c>
      <c r="N2661" s="4"/>
      <c r="O2661" s="4">
        <v>1</v>
      </c>
      <c r="P2661" s="4" t="s">
        <v>135</v>
      </c>
      <c r="Q2661" s="4" t="s">
        <v>44</v>
      </c>
      <c r="R2661" s="7">
        <v>15000</v>
      </c>
      <c r="S2661" s="7">
        <v>0</v>
      </c>
      <c r="T2661" s="7">
        <f>R2661-S2661</f>
        <v>0</v>
      </c>
      <c r="U2661" s="7">
        <f>T2661*O2661</f>
        <v>0</v>
      </c>
    </row>
    <row r="2662" spans="1:21">
      <c r="A2662" s="4" t="s">
        <v>3849</v>
      </c>
      <c r="B2662" s="4" t="s">
        <v>39</v>
      </c>
      <c r="C2662" s="5">
        <v>45958.09349537037</v>
      </c>
      <c r="D2662" s="5">
        <v>45958</v>
      </c>
      <c r="E2662" s="6">
        <f>IF(AND(C2662&lt;&gt;"",D2662&lt;&gt;""),D2662-C2662,"")</f>
        <v>0</v>
      </c>
      <c r="F2662" s="4" t="s">
        <v>3850</v>
      </c>
      <c r="G2662" s="4" t="s">
        <v>3851</v>
      </c>
      <c r="H2662" s="4" t="s">
        <v>32</v>
      </c>
      <c r="I2662" s="4" t="s">
        <v>33</v>
      </c>
      <c r="J2662" s="4">
        <v>0</v>
      </c>
      <c r="K2662" s="4">
        <v>0</v>
      </c>
      <c r="L2662" s="4">
        <f>J2662+K2662</f>
        <v>0</v>
      </c>
      <c r="M2662" s="4" t="s">
        <v>3630</v>
      </c>
      <c r="N2662" s="4"/>
      <c r="O2662" s="4">
        <v>1</v>
      </c>
      <c r="P2662" s="4" t="s">
        <v>135</v>
      </c>
      <c r="Q2662" s="4" t="s">
        <v>44</v>
      </c>
      <c r="R2662" s="7">
        <v>15000</v>
      </c>
      <c r="S2662" s="7">
        <v>0</v>
      </c>
      <c r="T2662" s="7">
        <f>R2662-S2662</f>
        <v>0</v>
      </c>
      <c r="U2662" s="7">
        <f>T2662*O2662</f>
        <v>0</v>
      </c>
    </row>
    <row r="2663" spans="1:21">
      <c r="A2663" s="4" t="s">
        <v>3849</v>
      </c>
      <c r="B2663" s="4" t="s">
        <v>39</v>
      </c>
      <c r="C2663" s="5">
        <v>45958.09349537037</v>
      </c>
      <c r="D2663" s="5">
        <v>45958</v>
      </c>
      <c r="E2663" s="6">
        <f>IF(AND(C2663&lt;&gt;"",D2663&lt;&gt;""),D2663-C2663,"")</f>
        <v>0</v>
      </c>
      <c r="F2663" s="4" t="s">
        <v>3850</v>
      </c>
      <c r="G2663" s="4" t="s">
        <v>3851</v>
      </c>
      <c r="H2663" s="4" t="s">
        <v>32</v>
      </c>
      <c r="I2663" s="4" t="s">
        <v>33</v>
      </c>
      <c r="J2663" s="4">
        <v>0</v>
      </c>
      <c r="K2663" s="4">
        <v>0</v>
      </c>
      <c r="L2663" s="4">
        <f>J2663+K2663</f>
        <v>0</v>
      </c>
      <c r="M2663" s="4" t="s">
        <v>3630</v>
      </c>
      <c r="N2663" s="4"/>
      <c r="O2663" s="4">
        <v>1</v>
      </c>
      <c r="P2663" s="4" t="s">
        <v>135</v>
      </c>
      <c r="Q2663" s="4" t="s">
        <v>44</v>
      </c>
      <c r="R2663" s="7">
        <v>15000</v>
      </c>
      <c r="S2663" s="7">
        <v>0</v>
      </c>
      <c r="T2663" s="7">
        <f>R2663-S2663</f>
        <v>0</v>
      </c>
      <c r="U2663" s="7">
        <f>T2663*O2663</f>
        <v>0</v>
      </c>
    </row>
    <row r="2664" spans="1:21">
      <c r="A2664" s="4" t="s">
        <v>3849</v>
      </c>
      <c r="B2664" s="4" t="s">
        <v>39</v>
      </c>
      <c r="C2664" s="5">
        <v>45958.09349537037</v>
      </c>
      <c r="D2664" s="5">
        <v>45958</v>
      </c>
      <c r="E2664" s="6">
        <f>IF(AND(C2664&lt;&gt;"",D2664&lt;&gt;""),D2664-C2664,"")</f>
        <v>0</v>
      </c>
      <c r="F2664" s="4" t="s">
        <v>3850</v>
      </c>
      <c r="G2664" s="4" t="s">
        <v>3851</v>
      </c>
      <c r="H2664" s="4" t="s">
        <v>32</v>
      </c>
      <c r="I2664" s="4" t="s">
        <v>33</v>
      </c>
      <c r="J2664" s="4">
        <v>0</v>
      </c>
      <c r="K2664" s="4">
        <v>0</v>
      </c>
      <c r="L2664" s="4">
        <f>J2664+K2664</f>
        <v>0</v>
      </c>
      <c r="M2664" s="4" t="s">
        <v>3630</v>
      </c>
      <c r="N2664" s="4"/>
      <c r="O2664" s="4">
        <v>1</v>
      </c>
      <c r="P2664" s="4" t="s">
        <v>135</v>
      </c>
      <c r="Q2664" s="4" t="s">
        <v>44</v>
      </c>
      <c r="R2664" s="7">
        <v>15000</v>
      </c>
      <c r="S2664" s="7">
        <v>0</v>
      </c>
      <c r="T2664" s="7">
        <f>R2664-S2664</f>
        <v>0</v>
      </c>
      <c r="U2664" s="7">
        <f>T2664*O2664</f>
        <v>0</v>
      </c>
    </row>
    <row r="2665" spans="1:21">
      <c r="A2665" s="4" t="s">
        <v>3852</v>
      </c>
      <c r="B2665" s="4" t="s">
        <v>39</v>
      </c>
      <c r="C2665" s="5">
        <v>45958.09423611111</v>
      </c>
      <c r="D2665" s="5">
        <v>45958</v>
      </c>
      <c r="E2665" s="6">
        <f>IF(AND(C2665&lt;&gt;"",D2665&lt;&gt;""),D2665-C2665,"")</f>
        <v>0</v>
      </c>
      <c r="F2665" s="4" t="s">
        <v>3853</v>
      </c>
      <c r="G2665" s="4" t="s">
        <v>3854</v>
      </c>
      <c r="H2665" s="4" t="s">
        <v>32</v>
      </c>
      <c r="I2665" s="4" t="s">
        <v>33</v>
      </c>
      <c r="J2665" s="4">
        <v>0</v>
      </c>
      <c r="K2665" s="4">
        <v>0</v>
      </c>
      <c r="L2665" s="4">
        <f>J2665+K2665</f>
        <v>0</v>
      </c>
      <c r="M2665" s="4" t="s">
        <v>915</v>
      </c>
      <c r="N2665" s="4"/>
      <c r="O2665" s="4">
        <v>1</v>
      </c>
      <c r="P2665" s="4" t="s">
        <v>135</v>
      </c>
      <c r="Q2665" s="4"/>
      <c r="R2665" s="7">
        <v>50000</v>
      </c>
      <c r="S2665" s="7">
        <v>0</v>
      </c>
      <c r="T2665" s="7">
        <f>R2665-S2665</f>
        <v>0</v>
      </c>
      <c r="U2665" s="7">
        <f>T2665*O2665</f>
        <v>0</v>
      </c>
    </row>
    <row r="2666" spans="1:21">
      <c r="A2666" s="4" t="s">
        <v>3852</v>
      </c>
      <c r="B2666" s="4" t="s">
        <v>39</v>
      </c>
      <c r="C2666" s="5">
        <v>45958.09423611111</v>
      </c>
      <c r="D2666" s="5">
        <v>45958</v>
      </c>
      <c r="E2666" s="6">
        <f>IF(AND(C2666&lt;&gt;"",D2666&lt;&gt;""),D2666-C2666,"")</f>
        <v>0</v>
      </c>
      <c r="F2666" s="4" t="s">
        <v>3853</v>
      </c>
      <c r="G2666" s="4" t="s">
        <v>3854</v>
      </c>
      <c r="H2666" s="4" t="s">
        <v>32</v>
      </c>
      <c r="I2666" s="4" t="s">
        <v>33</v>
      </c>
      <c r="J2666" s="4">
        <v>0</v>
      </c>
      <c r="K2666" s="4">
        <v>0</v>
      </c>
      <c r="L2666" s="4">
        <f>J2666+K2666</f>
        <v>0</v>
      </c>
      <c r="M2666" s="4" t="s">
        <v>915</v>
      </c>
      <c r="N2666" s="4"/>
      <c r="O2666" s="4">
        <v>1</v>
      </c>
      <c r="P2666" s="4" t="s">
        <v>135</v>
      </c>
      <c r="Q2666" s="4"/>
      <c r="R2666" s="7">
        <v>50000</v>
      </c>
      <c r="S2666" s="7">
        <v>0</v>
      </c>
      <c r="T2666" s="7">
        <f>R2666-S2666</f>
        <v>0</v>
      </c>
      <c r="U2666" s="7">
        <f>T2666*O2666</f>
        <v>0</v>
      </c>
    </row>
    <row r="2667" spans="1:21">
      <c r="A2667" s="4" t="s">
        <v>3852</v>
      </c>
      <c r="B2667" s="4" t="s">
        <v>39</v>
      </c>
      <c r="C2667" s="5">
        <v>45958.09423611111</v>
      </c>
      <c r="D2667" s="5">
        <v>45958</v>
      </c>
      <c r="E2667" s="6">
        <f>IF(AND(C2667&lt;&gt;"",D2667&lt;&gt;""),D2667-C2667,"")</f>
        <v>0</v>
      </c>
      <c r="F2667" s="4" t="s">
        <v>3853</v>
      </c>
      <c r="G2667" s="4" t="s">
        <v>3854</v>
      </c>
      <c r="H2667" s="4" t="s">
        <v>32</v>
      </c>
      <c r="I2667" s="4" t="s">
        <v>33</v>
      </c>
      <c r="J2667" s="4">
        <v>0</v>
      </c>
      <c r="K2667" s="4">
        <v>0</v>
      </c>
      <c r="L2667" s="4">
        <f>J2667+K2667</f>
        <v>0</v>
      </c>
      <c r="M2667" s="4" t="s">
        <v>915</v>
      </c>
      <c r="N2667" s="4"/>
      <c r="O2667" s="4">
        <v>1</v>
      </c>
      <c r="P2667" s="4" t="s">
        <v>135</v>
      </c>
      <c r="Q2667" s="4"/>
      <c r="R2667" s="7">
        <v>50000</v>
      </c>
      <c r="S2667" s="7">
        <v>0</v>
      </c>
      <c r="T2667" s="7">
        <f>R2667-S2667</f>
        <v>0</v>
      </c>
      <c r="U2667" s="7">
        <f>T2667*O2667</f>
        <v>0</v>
      </c>
    </row>
    <row r="2668" spans="1:21">
      <c r="A2668" s="4" t="s">
        <v>3852</v>
      </c>
      <c r="B2668" s="4" t="s">
        <v>39</v>
      </c>
      <c r="C2668" s="5">
        <v>45958.09423611111</v>
      </c>
      <c r="D2668" s="5">
        <v>45958</v>
      </c>
      <c r="E2668" s="6">
        <f>IF(AND(C2668&lt;&gt;"",D2668&lt;&gt;""),D2668-C2668,"")</f>
        <v>0</v>
      </c>
      <c r="F2668" s="4" t="s">
        <v>3853</v>
      </c>
      <c r="G2668" s="4" t="s">
        <v>3854</v>
      </c>
      <c r="H2668" s="4" t="s">
        <v>32</v>
      </c>
      <c r="I2668" s="4" t="s">
        <v>33</v>
      </c>
      <c r="J2668" s="4">
        <v>0</v>
      </c>
      <c r="K2668" s="4">
        <v>0</v>
      </c>
      <c r="L2668" s="4">
        <f>J2668+K2668</f>
        <v>0</v>
      </c>
      <c r="M2668" s="4" t="s">
        <v>915</v>
      </c>
      <c r="N2668" s="4"/>
      <c r="O2668" s="4">
        <v>1</v>
      </c>
      <c r="P2668" s="4" t="s">
        <v>135</v>
      </c>
      <c r="Q2668" s="4"/>
      <c r="R2668" s="7">
        <v>50000</v>
      </c>
      <c r="S2668" s="7">
        <v>0</v>
      </c>
      <c r="T2668" s="7">
        <f>R2668-S2668</f>
        <v>0</v>
      </c>
      <c r="U2668" s="7">
        <f>T2668*O2668</f>
        <v>0</v>
      </c>
    </row>
    <row r="2669" spans="1:21">
      <c r="A2669" s="4" t="s">
        <v>3852</v>
      </c>
      <c r="B2669" s="4" t="s">
        <v>39</v>
      </c>
      <c r="C2669" s="5">
        <v>45958.09423611111</v>
      </c>
      <c r="D2669" s="5">
        <v>45958</v>
      </c>
      <c r="E2669" s="6">
        <f>IF(AND(C2669&lt;&gt;"",D2669&lt;&gt;""),D2669-C2669,"")</f>
        <v>0</v>
      </c>
      <c r="F2669" s="4" t="s">
        <v>3853</v>
      </c>
      <c r="G2669" s="4" t="s">
        <v>3854</v>
      </c>
      <c r="H2669" s="4" t="s">
        <v>32</v>
      </c>
      <c r="I2669" s="4" t="s">
        <v>33</v>
      </c>
      <c r="J2669" s="4">
        <v>0</v>
      </c>
      <c r="K2669" s="4">
        <v>0</v>
      </c>
      <c r="L2669" s="4">
        <f>J2669+K2669</f>
        <v>0</v>
      </c>
      <c r="M2669" s="4" t="s">
        <v>915</v>
      </c>
      <c r="N2669" s="4"/>
      <c r="O2669" s="4">
        <v>1</v>
      </c>
      <c r="P2669" s="4" t="s">
        <v>135</v>
      </c>
      <c r="Q2669" s="4"/>
      <c r="R2669" s="7">
        <v>50000</v>
      </c>
      <c r="S2669" s="7">
        <v>0</v>
      </c>
      <c r="T2669" s="7">
        <f>R2669-S2669</f>
        <v>0</v>
      </c>
      <c r="U2669" s="7">
        <f>T2669*O2669</f>
        <v>0</v>
      </c>
    </row>
    <row r="2670" spans="1:21">
      <c r="A2670" s="4" t="s">
        <v>3855</v>
      </c>
      <c r="B2670" s="4" t="s">
        <v>39</v>
      </c>
      <c r="C2670" s="5">
        <v>45958.1015162037</v>
      </c>
      <c r="D2670" s="5">
        <v>45958</v>
      </c>
      <c r="E2670" s="6">
        <f>IF(AND(C2670&lt;&gt;"",D2670&lt;&gt;""),D2670-C2670,"")</f>
        <v>0</v>
      </c>
      <c r="F2670" s="4" t="s">
        <v>3856</v>
      </c>
      <c r="G2670" s="4" t="s">
        <v>3857</v>
      </c>
      <c r="H2670" s="4" t="s">
        <v>32</v>
      </c>
      <c r="I2670" s="4" t="s">
        <v>33</v>
      </c>
      <c r="J2670" s="4">
        <v>0</v>
      </c>
      <c r="K2670" s="4">
        <v>0</v>
      </c>
      <c r="L2670" s="4">
        <f>J2670+K2670</f>
        <v>0</v>
      </c>
      <c r="M2670" s="4" t="s">
        <v>3630</v>
      </c>
      <c r="N2670" s="4"/>
      <c r="O2670" s="4">
        <v>1</v>
      </c>
      <c r="P2670" s="4" t="s">
        <v>135</v>
      </c>
      <c r="Q2670" s="4" t="s">
        <v>44</v>
      </c>
      <c r="R2670" s="7">
        <v>15000</v>
      </c>
      <c r="S2670" s="7">
        <v>0</v>
      </c>
      <c r="T2670" s="7">
        <f>R2670-S2670</f>
        <v>0</v>
      </c>
      <c r="U2670" s="7">
        <f>T2670*O2670</f>
        <v>0</v>
      </c>
    </row>
    <row r="2671" spans="1:21">
      <c r="A2671" s="4" t="s">
        <v>3858</v>
      </c>
      <c r="B2671" s="4" t="s">
        <v>39</v>
      </c>
      <c r="C2671" s="5">
        <v>45958.10216435185</v>
      </c>
      <c r="D2671" s="5">
        <v>45958</v>
      </c>
      <c r="E2671" s="6">
        <f>IF(AND(C2671&lt;&gt;"",D2671&lt;&gt;""),D2671-C2671,"")</f>
        <v>0</v>
      </c>
      <c r="F2671" s="4" t="s">
        <v>3859</v>
      </c>
      <c r="G2671" s="4" t="s">
        <v>3860</v>
      </c>
      <c r="H2671" s="4" t="s">
        <v>32</v>
      </c>
      <c r="I2671" s="4" t="s">
        <v>33</v>
      </c>
      <c r="J2671" s="4">
        <v>0</v>
      </c>
      <c r="K2671" s="4">
        <v>0</v>
      </c>
      <c r="L2671" s="4">
        <f>J2671+K2671</f>
        <v>0</v>
      </c>
      <c r="M2671" s="4" t="s">
        <v>3630</v>
      </c>
      <c r="N2671" s="4"/>
      <c r="O2671" s="4">
        <v>1</v>
      </c>
      <c r="P2671" s="4" t="s">
        <v>135</v>
      </c>
      <c r="Q2671" s="4" t="s">
        <v>44</v>
      </c>
      <c r="R2671" s="7">
        <v>15000</v>
      </c>
      <c r="S2671" s="7">
        <v>0</v>
      </c>
      <c r="T2671" s="7">
        <f>R2671-S2671</f>
        <v>0</v>
      </c>
      <c r="U2671" s="7">
        <f>T2671*O2671</f>
        <v>0</v>
      </c>
    </row>
    <row r="2672" spans="1:21">
      <c r="A2672" s="4" t="s">
        <v>3858</v>
      </c>
      <c r="B2672" s="4" t="s">
        <v>39</v>
      </c>
      <c r="C2672" s="5">
        <v>45958.10216435185</v>
      </c>
      <c r="D2672" s="5">
        <v>45958</v>
      </c>
      <c r="E2672" s="6">
        <f>IF(AND(C2672&lt;&gt;"",D2672&lt;&gt;""),D2672-C2672,"")</f>
        <v>0</v>
      </c>
      <c r="F2672" s="4" t="s">
        <v>3859</v>
      </c>
      <c r="G2672" s="4" t="s">
        <v>3860</v>
      </c>
      <c r="H2672" s="4" t="s">
        <v>32</v>
      </c>
      <c r="I2672" s="4" t="s">
        <v>33</v>
      </c>
      <c r="J2672" s="4">
        <v>0</v>
      </c>
      <c r="K2672" s="4">
        <v>0</v>
      </c>
      <c r="L2672" s="4">
        <f>J2672+K2672</f>
        <v>0</v>
      </c>
      <c r="M2672" s="4" t="s">
        <v>3630</v>
      </c>
      <c r="N2672" s="4"/>
      <c r="O2672" s="4">
        <v>1</v>
      </c>
      <c r="P2672" s="4" t="s">
        <v>135</v>
      </c>
      <c r="Q2672" s="4" t="s">
        <v>44</v>
      </c>
      <c r="R2672" s="7">
        <v>15000</v>
      </c>
      <c r="S2672" s="7">
        <v>0</v>
      </c>
      <c r="T2672" s="7">
        <f>R2672-S2672</f>
        <v>0</v>
      </c>
      <c r="U2672" s="7">
        <f>T2672*O2672</f>
        <v>0</v>
      </c>
    </row>
    <row r="2673" spans="1:21">
      <c r="A2673" s="4" t="s">
        <v>3858</v>
      </c>
      <c r="B2673" s="4" t="s">
        <v>39</v>
      </c>
      <c r="C2673" s="5">
        <v>45958.10216435185</v>
      </c>
      <c r="D2673" s="5">
        <v>45958</v>
      </c>
      <c r="E2673" s="6">
        <f>IF(AND(C2673&lt;&gt;"",D2673&lt;&gt;""),D2673-C2673,"")</f>
        <v>0</v>
      </c>
      <c r="F2673" s="4" t="s">
        <v>3859</v>
      </c>
      <c r="G2673" s="4" t="s">
        <v>3860</v>
      </c>
      <c r="H2673" s="4" t="s">
        <v>32</v>
      </c>
      <c r="I2673" s="4" t="s">
        <v>33</v>
      </c>
      <c r="J2673" s="4">
        <v>0</v>
      </c>
      <c r="K2673" s="4">
        <v>0</v>
      </c>
      <c r="L2673" s="4">
        <f>J2673+K2673</f>
        <v>0</v>
      </c>
      <c r="M2673" s="4" t="s">
        <v>3630</v>
      </c>
      <c r="N2673" s="4"/>
      <c r="O2673" s="4">
        <v>1</v>
      </c>
      <c r="P2673" s="4" t="s">
        <v>135</v>
      </c>
      <c r="Q2673" s="4" t="s">
        <v>44</v>
      </c>
      <c r="R2673" s="7">
        <v>15000</v>
      </c>
      <c r="S2673" s="7">
        <v>0</v>
      </c>
      <c r="T2673" s="7">
        <f>R2673-S2673</f>
        <v>0</v>
      </c>
      <c r="U2673" s="7">
        <f>T2673*O2673</f>
        <v>0</v>
      </c>
    </row>
    <row r="2674" spans="1:21">
      <c r="A2674" s="4" t="s">
        <v>3858</v>
      </c>
      <c r="B2674" s="4" t="s">
        <v>39</v>
      </c>
      <c r="C2674" s="5">
        <v>45958.10216435185</v>
      </c>
      <c r="D2674" s="5">
        <v>45958</v>
      </c>
      <c r="E2674" s="6">
        <f>IF(AND(C2674&lt;&gt;"",D2674&lt;&gt;""),D2674-C2674,"")</f>
        <v>0</v>
      </c>
      <c r="F2674" s="4" t="s">
        <v>3859</v>
      </c>
      <c r="G2674" s="4" t="s">
        <v>3860</v>
      </c>
      <c r="H2674" s="4" t="s">
        <v>32</v>
      </c>
      <c r="I2674" s="4" t="s">
        <v>33</v>
      </c>
      <c r="J2674" s="4">
        <v>0</v>
      </c>
      <c r="K2674" s="4">
        <v>0</v>
      </c>
      <c r="L2674" s="4">
        <f>J2674+K2674</f>
        <v>0</v>
      </c>
      <c r="M2674" s="4" t="s">
        <v>3630</v>
      </c>
      <c r="N2674" s="4"/>
      <c r="O2674" s="4">
        <v>1</v>
      </c>
      <c r="P2674" s="4" t="s">
        <v>135</v>
      </c>
      <c r="Q2674" s="4" t="s">
        <v>44</v>
      </c>
      <c r="R2674" s="7">
        <v>15000</v>
      </c>
      <c r="S2674" s="7">
        <v>0</v>
      </c>
      <c r="T2674" s="7">
        <f>R2674-S2674</f>
        <v>0</v>
      </c>
      <c r="U2674" s="7">
        <f>T2674*O2674</f>
        <v>0</v>
      </c>
    </row>
    <row r="2675" spans="1:21">
      <c r="A2675" s="4" t="s">
        <v>3858</v>
      </c>
      <c r="B2675" s="4" t="s">
        <v>39</v>
      </c>
      <c r="C2675" s="5">
        <v>45958.10216435185</v>
      </c>
      <c r="D2675" s="5">
        <v>45958</v>
      </c>
      <c r="E2675" s="6">
        <f>IF(AND(C2675&lt;&gt;"",D2675&lt;&gt;""),D2675-C2675,"")</f>
        <v>0</v>
      </c>
      <c r="F2675" s="4" t="s">
        <v>3859</v>
      </c>
      <c r="G2675" s="4" t="s">
        <v>3860</v>
      </c>
      <c r="H2675" s="4" t="s">
        <v>32</v>
      </c>
      <c r="I2675" s="4" t="s">
        <v>33</v>
      </c>
      <c r="J2675" s="4">
        <v>0</v>
      </c>
      <c r="K2675" s="4">
        <v>0</v>
      </c>
      <c r="L2675" s="4">
        <f>J2675+K2675</f>
        <v>0</v>
      </c>
      <c r="M2675" s="4" t="s">
        <v>3630</v>
      </c>
      <c r="N2675" s="4"/>
      <c r="O2675" s="4">
        <v>1</v>
      </c>
      <c r="P2675" s="4" t="s">
        <v>135</v>
      </c>
      <c r="Q2675" s="4" t="s">
        <v>44</v>
      </c>
      <c r="R2675" s="7">
        <v>15000</v>
      </c>
      <c r="S2675" s="7">
        <v>0</v>
      </c>
      <c r="T2675" s="7">
        <f>R2675-S2675</f>
        <v>0</v>
      </c>
      <c r="U2675" s="7">
        <f>T2675*O2675</f>
        <v>0</v>
      </c>
    </row>
    <row r="2676" spans="1:21">
      <c r="A2676" s="4" t="s">
        <v>3861</v>
      </c>
      <c r="B2676" s="4" t="s">
        <v>39</v>
      </c>
      <c r="C2676" s="5">
        <v>45958.10600694444</v>
      </c>
      <c r="D2676" s="5">
        <v>45958</v>
      </c>
      <c r="E2676" s="6">
        <f>IF(AND(C2676&lt;&gt;"",D2676&lt;&gt;""),D2676-C2676,"")</f>
        <v>0</v>
      </c>
      <c r="F2676" s="4" t="s">
        <v>3862</v>
      </c>
      <c r="G2676" s="4" t="s">
        <v>3863</v>
      </c>
      <c r="H2676" s="4" t="s">
        <v>32</v>
      </c>
      <c r="I2676" s="4" t="s">
        <v>33</v>
      </c>
      <c r="J2676" s="4">
        <v>0</v>
      </c>
      <c r="K2676" s="4">
        <v>0</v>
      </c>
      <c r="L2676" s="4">
        <f>J2676+K2676</f>
        <v>0</v>
      </c>
      <c r="M2676" s="4" t="s">
        <v>3864</v>
      </c>
      <c r="N2676" s="4"/>
      <c r="O2676" s="4">
        <v>1</v>
      </c>
      <c r="P2676" s="4" t="s">
        <v>135</v>
      </c>
      <c r="Q2676" s="4"/>
      <c r="R2676" s="7">
        <v>0</v>
      </c>
      <c r="S2676" s="7">
        <v>0</v>
      </c>
      <c r="T2676" s="7">
        <f>R2676-S2676</f>
        <v>0</v>
      </c>
      <c r="U2676" s="7">
        <f>T2676*O2676</f>
        <v>0</v>
      </c>
    </row>
    <row r="2677" spans="1:21">
      <c r="A2677" s="4" t="s">
        <v>3861</v>
      </c>
      <c r="B2677" s="4" t="s">
        <v>39</v>
      </c>
      <c r="C2677" s="5">
        <v>45958.10600694444</v>
      </c>
      <c r="D2677" s="5">
        <v>45958</v>
      </c>
      <c r="E2677" s="6">
        <f>IF(AND(C2677&lt;&gt;"",D2677&lt;&gt;""),D2677-C2677,"")</f>
        <v>0</v>
      </c>
      <c r="F2677" s="4" t="s">
        <v>3862</v>
      </c>
      <c r="G2677" s="4" t="s">
        <v>3863</v>
      </c>
      <c r="H2677" s="4" t="s">
        <v>32</v>
      </c>
      <c r="I2677" s="4" t="s">
        <v>33</v>
      </c>
      <c r="J2677" s="4">
        <v>0</v>
      </c>
      <c r="K2677" s="4">
        <v>0</v>
      </c>
      <c r="L2677" s="4">
        <f>J2677+K2677</f>
        <v>0</v>
      </c>
      <c r="M2677" s="4" t="s">
        <v>3865</v>
      </c>
      <c r="N2677" s="4"/>
      <c r="O2677" s="4">
        <v>1</v>
      </c>
      <c r="P2677" s="4" t="s">
        <v>135</v>
      </c>
      <c r="Q2677" s="4"/>
      <c r="R2677" s="7">
        <v>40000</v>
      </c>
      <c r="S2677" s="7">
        <v>0</v>
      </c>
      <c r="T2677" s="7">
        <f>R2677-S2677</f>
        <v>0</v>
      </c>
      <c r="U2677" s="7">
        <f>T2677*O2677</f>
        <v>0</v>
      </c>
    </row>
    <row r="2678" spans="1:21">
      <c r="A2678" s="4" t="s">
        <v>3861</v>
      </c>
      <c r="B2678" s="4" t="s">
        <v>39</v>
      </c>
      <c r="C2678" s="5">
        <v>45958.10600694444</v>
      </c>
      <c r="D2678" s="5">
        <v>45958</v>
      </c>
      <c r="E2678" s="6">
        <f>IF(AND(C2678&lt;&gt;"",D2678&lt;&gt;""),D2678-C2678,"")</f>
        <v>0</v>
      </c>
      <c r="F2678" s="4" t="s">
        <v>3862</v>
      </c>
      <c r="G2678" s="4" t="s">
        <v>3863</v>
      </c>
      <c r="H2678" s="4" t="s">
        <v>32</v>
      </c>
      <c r="I2678" s="4" t="s">
        <v>33</v>
      </c>
      <c r="J2678" s="4">
        <v>0</v>
      </c>
      <c r="K2678" s="4">
        <v>0</v>
      </c>
      <c r="L2678" s="4">
        <f>J2678+K2678</f>
        <v>0</v>
      </c>
      <c r="M2678" s="4" t="s">
        <v>3630</v>
      </c>
      <c r="N2678" s="4"/>
      <c r="O2678" s="4">
        <v>1</v>
      </c>
      <c r="P2678" s="4" t="s">
        <v>135</v>
      </c>
      <c r="Q2678" s="4"/>
      <c r="R2678" s="7">
        <v>15000</v>
      </c>
      <c r="S2678" s="7">
        <v>0</v>
      </c>
      <c r="T2678" s="7">
        <f>R2678-S2678</f>
        <v>0</v>
      </c>
      <c r="U2678" s="7">
        <f>T2678*O2678</f>
        <v>0</v>
      </c>
    </row>
    <row r="2679" spans="1:21">
      <c r="A2679" s="4" t="s">
        <v>3861</v>
      </c>
      <c r="B2679" s="4" t="s">
        <v>39</v>
      </c>
      <c r="C2679" s="5">
        <v>45958.10600694444</v>
      </c>
      <c r="D2679" s="5">
        <v>45958</v>
      </c>
      <c r="E2679" s="6">
        <f>IF(AND(C2679&lt;&gt;"",D2679&lt;&gt;""),D2679-C2679,"")</f>
        <v>0</v>
      </c>
      <c r="F2679" s="4" t="s">
        <v>3862</v>
      </c>
      <c r="G2679" s="4" t="s">
        <v>3863</v>
      </c>
      <c r="H2679" s="4" t="s">
        <v>32</v>
      </c>
      <c r="I2679" s="4" t="s">
        <v>33</v>
      </c>
      <c r="J2679" s="4">
        <v>0</v>
      </c>
      <c r="K2679" s="4">
        <v>0</v>
      </c>
      <c r="L2679" s="4">
        <f>J2679+K2679</f>
        <v>0</v>
      </c>
      <c r="M2679" s="4" t="s">
        <v>1551</v>
      </c>
      <c r="N2679" s="4"/>
      <c r="O2679" s="4">
        <v>1</v>
      </c>
      <c r="P2679" s="4" t="s">
        <v>135</v>
      </c>
      <c r="Q2679" s="4"/>
      <c r="R2679" s="7">
        <v>40000</v>
      </c>
      <c r="S2679" s="7">
        <v>0</v>
      </c>
      <c r="T2679" s="7">
        <f>R2679-S2679</f>
        <v>0</v>
      </c>
      <c r="U2679" s="7">
        <f>T2679*O2679</f>
        <v>0</v>
      </c>
    </row>
    <row r="2680" spans="1:21">
      <c r="A2680" s="4" t="s">
        <v>3861</v>
      </c>
      <c r="B2680" s="4" t="s">
        <v>39</v>
      </c>
      <c r="C2680" s="5">
        <v>45958.10600694444</v>
      </c>
      <c r="D2680" s="5">
        <v>45958</v>
      </c>
      <c r="E2680" s="6">
        <f>IF(AND(C2680&lt;&gt;"",D2680&lt;&gt;""),D2680-C2680,"")</f>
        <v>0</v>
      </c>
      <c r="F2680" s="4" t="s">
        <v>3862</v>
      </c>
      <c r="G2680" s="4" t="s">
        <v>3863</v>
      </c>
      <c r="H2680" s="4" t="s">
        <v>32</v>
      </c>
      <c r="I2680" s="4" t="s">
        <v>33</v>
      </c>
      <c r="J2680" s="4">
        <v>0</v>
      </c>
      <c r="K2680" s="4">
        <v>0</v>
      </c>
      <c r="L2680" s="4">
        <f>J2680+K2680</f>
        <v>0</v>
      </c>
      <c r="M2680" s="4" t="s">
        <v>3866</v>
      </c>
      <c r="N2680" s="4"/>
      <c r="O2680" s="4">
        <v>1</v>
      </c>
      <c r="P2680" s="4" t="s">
        <v>135</v>
      </c>
      <c r="Q2680" s="4"/>
      <c r="R2680" s="7">
        <v>200000</v>
      </c>
      <c r="S2680" s="7">
        <v>0</v>
      </c>
      <c r="T2680" s="7">
        <f>R2680-S2680</f>
        <v>0</v>
      </c>
      <c r="U2680" s="7">
        <f>T2680*O2680</f>
        <v>0</v>
      </c>
    </row>
    <row r="2681" spans="1:21">
      <c r="A2681" s="4" t="s">
        <v>3861</v>
      </c>
      <c r="B2681" s="4" t="s">
        <v>39</v>
      </c>
      <c r="C2681" s="5">
        <v>45958.10600694444</v>
      </c>
      <c r="D2681" s="5">
        <v>45958</v>
      </c>
      <c r="E2681" s="6">
        <f>IF(AND(C2681&lt;&gt;"",D2681&lt;&gt;""),D2681-C2681,"")</f>
        <v>0</v>
      </c>
      <c r="F2681" s="4" t="s">
        <v>3862</v>
      </c>
      <c r="G2681" s="4" t="s">
        <v>3863</v>
      </c>
      <c r="H2681" s="4" t="s">
        <v>32</v>
      </c>
      <c r="I2681" s="4" t="s">
        <v>33</v>
      </c>
      <c r="J2681" s="4">
        <v>0</v>
      </c>
      <c r="K2681" s="4">
        <v>0</v>
      </c>
      <c r="L2681" s="4">
        <f>J2681+K2681</f>
        <v>0</v>
      </c>
      <c r="M2681" s="4" t="s">
        <v>3867</v>
      </c>
      <c r="N2681" s="4"/>
      <c r="O2681" s="4">
        <v>1</v>
      </c>
      <c r="P2681" s="4" t="s">
        <v>135</v>
      </c>
      <c r="Q2681" s="4"/>
      <c r="R2681" s="7">
        <v>3000</v>
      </c>
      <c r="S2681" s="7">
        <v>0</v>
      </c>
      <c r="T2681" s="7">
        <f>R2681-S2681</f>
        <v>0</v>
      </c>
      <c r="U2681" s="7">
        <f>T2681*O2681</f>
        <v>0</v>
      </c>
    </row>
    <row r="2682" spans="1:21">
      <c r="A2682" s="4" t="s">
        <v>3861</v>
      </c>
      <c r="B2682" s="4" t="s">
        <v>39</v>
      </c>
      <c r="C2682" s="5">
        <v>45958.10600694444</v>
      </c>
      <c r="D2682" s="5">
        <v>45958</v>
      </c>
      <c r="E2682" s="6">
        <f>IF(AND(C2682&lt;&gt;"",D2682&lt;&gt;""),D2682-C2682,"")</f>
        <v>0</v>
      </c>
      <c r="F2682" s="4" t="s">
        <v>3862</v>
      </c>
      <c r="G2682" s="4" t="s">
        <v>3863</v>
      </c>
      <c r="H2682" s="4" t="s">
        <v>32</v>
      </c>
      <c r="I2682" s="4" t="s">
        <v>33</v>
      </c>
      <c r="J2682" s="4">
        <v>0</v>
      </c>
      <c r="K2682" s="4">
        <v>0</v>
      </c>
      <c r="L2682" s="4">
        <f>J2682+K2682</f>
        <v>0</v>
      </c>
      <c r="M2682" s="4" t="s">
        <v>731</v>
      </c>
      <c r="N2682" s="4"/>
      <c r="O2682" s="4">
        <v>1</v>
      </c>
      <c r="P2682" s="4" t="s">
        <v>135</v>
      </c>
      <c r="Q2682" s="4"/>
      <c r="R2682" s="7">
        <v>420000</v>
      </c>
      <c r="S2682" s="7">
        <v>0</v>
      </c>
      <c r="T2682" s="7">
        <f>R2682-S2682</f>
        <v>0</v>
      </c>
      <c r="U2682" s="7">
        <f>T2682*O2682</f>
        <v>0</v>
      </c>
    </row>
    <row r="2683" spans="1:21">
      <c r="A2683" s="4" t="s">
        <v>3861</v>
      </c>
      <c r="B2683" s="4" t="s">
        <v>39</v>
      </c>
      <c r="C2683" s="5">
        <v>45958.10600694444</v>
      </c>
      <c r="D2683" s="5">
        <v>45958</v>
      </c>
      <c r="E2683" s="6">
        <f>IF(AND(C2683&lt;&gt;"",D2683&lt;&gt;""),D2683-C2683,"")</f>
        <v>0</v>
      </c>
      <c r="F2683" s="4" t="s">
        <v>3862</v>
      </c>
      <c r="G2683" s="4" t="s">
        <v>3863</v>
      </c>
      <c r="H2683" s="4" t="s">
        <v>32</v>
      </c>
      <c r="I2683" s="4" t="s">
        <v>33</v>
      </c>
      <c r="J2683" s="4">
        <v>1</v>
      </c>
      <c r="K2683" s="4">
        <v>0</v>
      </c>
      <c r="L2683" s="4">
        <f>J2683+K2683</f>
        <v>0</v>
      </c>
      <c r="M2683" s="4" t="s">
        <v>3868</v>
      </c>
      <c r="N2683" s="4"/>
      <c r="O2683" s="4">
        <v>1</v>
      </c>
      <c r="P2683" s="4" t="s">
        <v>135</v>
      </c>
      <c r="Q2683" s="4"/>
      <c r="R2683" s="7">
        <v>225000</v>
      </c>
      <c r="S2683" s="7">
        <v>0</v>
      </c>
      <c r="T2683" s="7">
        <f>R2683-S2683</f>
        <v>0</v>
      </c>
      <c r="U2683" s="7">
        <f>T2683*O2683</f>
        <v>0</v>
      </c>
    </row>
    <row r="2684" spans="1:21">
      <c r="A2684" s="4" t="s">
        <v>3861</v>
      </c>
      <c r="B2684" s="4" t="s">
        <v>39</v>
      </c>
      <c r="C2684" s="5">
        <v>45958.10600694444</v>
      </c>
      <c r="D2684" s="5">
        <v>45958</v>
      </c>
      <c r="E2684" s="6">
        <f>IF(AND(C2684&lt;&gt;"",D2684&lt;&gt;""),D2684-C2684,"")</f>
        <v>0</v>
      </c>
      <c r="F2684" s="4" t="s">
        <v>3862</v>
      </c>
      <c r="G2684" s="4" t="s">
        <v>3863</v>
      </c>
      <c r="H2684" s="4" t="s">
        <v>32</v>
      </c>
      <c r="I2684" s="4" t="s">
        <v>33</v>
      </c>
      <c r="J2684" s="4">
        <v>0</v>
      </c>
      <c r="K2684" s="4">
        <v>0</v>
      </c>
      <c r="L2684" s="4">
        <f>J2684+K2684</f>
        <v>0</v>
      </c>
      <c r="M2684" s="4" t="s">
        <v>3869</v>
      </c>
      <c r="N2684" s="4"/>
      <c r="O2684" s="4">
        <v>1</v>
      </c>
      <c r="P2684" s="4" t="s">
        <v>135</v>
      </c>
      <c r="Q2684" s="4"/>
      <c r="R2684" s="7">
        <v>10000</v>
      </c>
      <c r="S2684" s="7">
        <v>0</v>
      </c>
      <c r="T2684" s="7">
        <f>R2684-S2684</f>
        <v>0</v>
      </c>
      <c r="U2684" s="7">
        <f>T2684*O2684</f>
        <v>0</v>
      </c>
    </row>
    <row r="2685" spans="1:21">
      <c r="A2685" s="4" t="s">
        <v>3870</v>
      </c>
      <c r="B2685" s="4" t="s">
        <v>39</v>
      </c>
      <c r="C2685" s="5">
        <v>45958.10703703704</v>
      </c>
      <c r="D2685" s="5">
        <v>45958</v>
      </c>
      <c r="E2685" s="6">
        <f>IF(AND(C2685&lt;&gt;"",D2685&lt;&gt;""),D2685-C2685,"")</f>
        <v>0</v>
      </c>
      <c r="F2685" s="4" t="s">
        <v>3871</v>
      </c>
      <c r="G2685" s="4" t="s">
        <v>3872</v>
      </c>
      <c r="H2685" s="4" t="s">
        <v>32</v>
      </c>
      <c r="I2685" s="4" t="s">
        <v>33</v>
      </c>
      <c r="J2685" s="4">
        <v>0</v>
      </c>
      <c r="K2685" s="4">
        <v>0</v>
      </c>
      <c r="L2685" s="4">
        <f>J2685+K2685</f>
        <v>0</v>
      </c>
      <c r="M2685" s="4" t="s">
        <v>1335</v>
      </c>
      <c r="N2685" s="4"/>
      <c r="O2685" s="4">
        <v>1</v>
      </c>
      <c r="P2685" s="4" t="s">
        <v>135</v>
      </c>
      <c r="Q2685" s="4"/>
      <c r="R2685" s="7">
        <v>45000</v>
      </c>
      <c r="S2685" s="7">
        <v>0</v>
      </c>
      <c r="T2685" s="7">
        <f>R2685-S2685</f>
        <v>0</v>
      </c>
      <c r="U2685" s="7">
        <f>T2685*O2685</f>
        <v>0</v>
      </c>
    </row>
    <row r="2686" spans="1:21">
      <c r="A2686" s="4" t="s">
        <v>3870</v>
      </c>
      <c r="B2686" s="4" t="s">
        <v>39</v>
      </c>
      <c r="C2686" s="5">
        <v>45958.10703703704</v>
      </c>
      <c r="D2686" s="5">
        <v>45958</v>
      </c>
      <c r="E2686" s="6">
        <f>IF(AND(C2686&lt;&gt;"",D2686&lt;&gt;""),D2686-C2686,"")</f>
        <v>0</v>
      </c>
      <c r="F2686" s="4" t="s">
        <v>3871</v>
      </c>
      <c r="G2686" s="4" t="s">
        <v>3872</v>
      </c>
      <c r="H2686" s="4" t="s">
        <v>32</v>
      </c>
      <c r="I2686" s="4" t="s">
        <v>33</v>
      </c>
      <c r="J2686" s="4">
        <v>0</v>
      </c>
      <c r="K2686" s="4">
        <v>0</v>
      </c>
      <c r="L2686" s="4">
        <f>J2686+K2686</f>
        <v>0</v>
      </c>
      <c r="M2686" s="4" t="s">
        <v>1335</v>
      </c>
      <c r="N2686" s="4"/>
      <c r="O2686" s="4">
        <v>1</v>
      </c>
      <c r="P2686" s="4" t="s">
        <v>135</v>
      </c>
      <c r="Q2686" s="4"/>
      <c r="R2686" s="7">
        <v>45000</v>
      </c>
      <c r="S2686" s="7">
        <v>0</v>
      </c>
      <c r="T2686" s="7">
        <f>R2686-S2686</f>
        <v>0</v>
      </c>
      <c r="U2686" s="7">
        <f>T2686*O2686</f>
        <v>0</v>
      </c>
    </row>
    <row r="2687" spans="1:21">
      <c r="A2687" s="4" t="s">
        <v>3870</v>
      </c>
      <c r="B2687" s="4" t="s">
        <v>39</v>
      </c>
      <c r="C2687" s="5">
        <v>45958.10703703704</v>
      </c>
      <c r="D2687" s="5">
        <v>45958</v>
      </c>
      <c r="E2687" s="6">
        <f>IF(AND(C2687&lt;&gt;"",D2687&lt;&gt;""),D2687-C2687,"")</f>
        <v>0</v>
      </c>
      <c r="F2687" s="4" t="s">
        <v>3871</v>
      </c>
      <c r="G2687" s="4" t="s">
        <v>3872</v>
      </c>
      <c r="H2687" s="4" t="s">
        <v>32</v>
      </c>
      <c r="I2687" s="4" t="s">
        <v>33</v>
      </c>
      <c r="J2687" s="4">
        <v>0</v>
      </c>
      <c r="K2687" s="4">
        <v>0</v>
      </c>
      <c r="L2687" s="4">
        <f>J2687+K2687</f>
        <v>0</v>
      </c>
      <c r="M2687" s="4" t="s">
        <v>1335</v>
      </c>
      <c r="N2687" s="4"/>
      <c r="O2687" s="4">
        <v>1</v>
      </c>
      <c r="P2687" s="4" t="s">
        <v>135</v>
      </c>
      <c r="Q2687" s="4"/>
      <c r="R2687" s="7">
        <v>45000</v>
      </c>
      <c r="S2687" s="7">
        <v>0</v>
      </c>
      <c r="T2687" s="7">
        <f>R2687-S2687</f>
        <v>0</v>
      </c>
      <c r="U2687" s="7">
        <f>T2687*O2687</f>
        <v>0</v>
      </c>
    </row>
    <row r="2688" spans="1:21">
      <c r="A2688" s="4" t="s">
        <v>3870</v>
      </c>
      <c r="B2688" s="4" t="s">
        <v>39</v>
      </c>
      <c r="C2688" s="5">
        <v>45958.10703703704</v>
      </c>
      <c r="D2688" s="5">
        <v>45958</v>
      </c>
      <c r="E2688" s="6">
        <f>IF(AND(C2688&lt;&gt;"",D2688&lt;&gt;""),D2688-C2688,"")</f>
        <v>0</v>
      </c>
      <c r="F2688" s="4" t="s">
        <v>3871</v>
      </c>
      <c r="G2688" s="4" t="s">
        <v>3872</v>
      </c>
      <c r="H2688" s="4" t="s">
        <v>32</v>
      </c>
      <c r="I2688" s="4" t="s">
        <v>33</v>
      </c>
      <c r="J2688" s="4">
        <v>0</v>
      </c>
      <c r="K2688" s="4">
        <v>0</v>
      </c>
      <c r="L2688" s="4">
        <f>J2688+K2688</f>
        <v>0</v>
      </c>
      <c r="M2688" s="4" t="s">
        <v>1335</v>
      </c>
      <c r="N2688" s="4"/>
      <c r="O2688" s="4">
        <v>1</v>
      </c>
      <c r="P2688" s="4" t="s">
        <v>135</v>
      </c>
      <c r="Q2688" s="4"/>
      <c r="R2688" s="7">
        <v>45000</v>
      </c>
      <c r="S2688" s="7">
        <v>0</v>
      </c>
      <c r="T2688" s="7">
        <f>R2688-S2688</f>
        <v>0</v>
      </c>
      <c r="U2688" s="7">
        <f>T2688*O2688</f>
        <v>0</v>
      </c>
    </row>
    <row r="2689" spans="1:21">
      <c r="A2689" s="4" t="s">
        <v>3873</v>
      </c>
      <c r="B2689" s="4" t="s">
        <v>39</v>
      </c>
      <c r="C2689" s="5">
        <v>45958.10799768518</v>
      </c>
      <c r="D2689" s="5">
        <v>45958</v>
      </c>
      <c r="E2689" s="6">
        <f>IF(AND(C2689&lt;&gt;"",D2689&lt;&gt;""),D2689-C2689,"")</f>
        <v>0</v>
      </c>
      <c r="F2689" s="4" t="s">
        <v>3874</v>
      </c>
      <c r="G2689" s="4" t="s">
        <v>3875</v>
      </c>
      <c r="H2689" s="4" t="s">
        <v>32</v>
      </c>
      <c r="I2689" s="4" t="s">
        <v>33</v>
      </c>
      <c r="J2689" s="4">
        <v>0</v>
      </c>
      <c r="K2689" s="4">
        <v>0</v>
      </c>
      <c r="L2689" s="4">
        <f>J2689+K2689</f>
        <v>0</v>
      </c>
      <c r="M2689" s="4" t="s">
        <v>915</v>
      </c>
      <c r="N2689" s="4"/>
      <c r="O2689" s="4">
        <v>1</v>
      </c>
      <c r="P2689" s="4" t="s">
        <v>43</v>
      </c>
      <c r="Q2689" s="4"/>
      <c r="R2689" s="7">
        <v>50000</v>
      </c>
      <c r="S2689" s="7">
        <v>0</v>
      </c>
      <c r="T2689" s="7">
        <f>R2689-S2689</f>
        <v>0</v>
      </c>
      <c r="U2689" s="7">
        <f>T2689*O2689</f>
        <v>0</v>
      </c>
    </row>
    <row r="2690" spans="1:21">
      <c r="A2690" s="4" t="s">
        <v>3873</v>
      </c>
      <c r="B2690" s="4" t="s">
        <v>39</v>
      </c>
      <c r="C2690" s="5">
        <v>45958.10799768518</v>
      </c>
      <c r="D2690" s="5">
        <v>45958</v>
      </c>
      <c r="E2690" s="6">
        <f>IF(AND(C2690&lt;&gt;"",D2690&lt;&gt;""),D2690-C2690,"")</f>
        <v>0</v>
      </c>
      <c r="F2690" s="4" t="s">
        <v>3874</v>
      </c>
      <c r="G2690" s="4" t="s">
        <v>3875</v>
      </c>
      <c r="H2690" s="4" t="s">
        <v>32</v>
      </c>
      <c r="I2690" s="4" t="s">
        <v>33</v>
      </c>
      <c r="J2690" s="4">
        <v>0</v>
      </c>
      <c r="K2690" s="4">
        <v>0</v>
      </c>
      <c r="L2690" s="4">
        <f>J2690+K2690</f>
        <v>0</v>
      </c>
      <c r="M2690" s="4" t="s">
        <v>1533</v>
      </c>
      <c r="N2690" s="4"/>
      <c r="O2690" s="4">
        <v>1</v>
      </c>
      <c r="P2690" s="4" t="s">
        <v>43</v>
      </c>
      <c r="Q2690" s="4"/>
      <c r="R2690" s="7">
        <v>108000</v>
      </c>
      <c r="S2690" s="7">
        <v>0</v>
      </c>
      <c r="T2690" s="7">
        <f>R2690-S2690</f>
        <v>0</v>
      </c>
      <c r="U2690" s="7">
        <f>T2690*O2690</f>
        <v>0</v>
      </c>
    </row>
    <row r="2691" spans="1:21">
      <c r="A2691" s="4" t="s">
        <v>3873</v>
      </c>
      <c r="B2691" s="4" t="s">
        <v>39</v>
      </c>
      <c r="C2691" s="5">
        <v>45958.10799768518</v>
      </c>
      <c r="D2691" s="5">
        <v>45958</v>
      </c>
      <c r="E2691" s="6">
        <f>IF(AND(C2691&lt;&gt;"",D2691&lt;&gt;""),D2691-C2691,"")</f>
        <v>0</v>
      </c>
      <c r="F2691" s="4" t="s">
        <v>3874</v>
      </c>
      <c r="G2691" s="4" t="s">
        <v>3875</v>
      </c>
      <c r="H2691" s="4" t="s">
        <v>32</v>
      </c>
      <c r="I2691" s="4" t="s">
        <v>33</v>
      </c>
      <c r="J2691" s="4">
        <v>0</v>
      </c>
      <c r="K2691" s="4">
        <v>0</v>
      </c>
      <c r="L2691" s="4">
        <f>J2691+K2691</f>
        <v>0</v>
      </c>
      <c r="M2691" s="4" t="s">
        <v>1419</v>
      </c>
      <c r="N2691" s="4"/>
      <c r="O2691" s="4">
        <v>1</v>
      </c>
      <c r="P2691" s="4" t="s">
        <v>43</v>
      </c>
      <c r="Q2691" s="4"/>
      <c r="R2691" s="7">
        <v>160000</v>
      </c>
      <c r="S2691" s="7">
        <v>0</v>
      </c>
      <c r="T2691" s="7">
        <f>R2691-S2691</f>
        <v>0</v>
      </c>
      <c r="U2691" s="7">
        <f>T2691*O2691</f>
        <v>0</v>
      </c>
    </row>
    <row r="2692" spans="1:21">
      <c r="A2692" s="4" t="s">
        <v>3873</v>
      </c>
      <c r="B2692" s="4" t="s">
        <v>39</v>
      </c>
      <c r="C2692" s="5">
        <v>45958.10799768518</v>
      </c>
      <c r="D2692" s="5">
        <v>45958</v>
      </c>
      <c r="E2692" s="6">
        <f>IF(AND(C2692&lt;&gt;"",D2692&lt;&gt;""),D2692-C2692,"")</f>
        <v>0</v>
      </c>
      <c r="F2692" s="4" t="s">
        <v>3874</v>
      </c>
      <c r="G2692" s="4" t="s">
        <v>3875</v>
      </c>
      <c r="H2692" s="4" t="s">
        <v>32</v>
      </c>
      <c r="I2692" s="4" t="s">
        <v>33</v>
      </c>
      <c r="J2692" s="4">
        <v>0</v>
      </c>
      <c r="K2692" s="4">
        <v>0</v>
      </c>
      <c r="L2692" s="4">
        <f>J2692+K2692</f>
        <v>0</v>
      </c>
      <c r="M2692" s="4" t="s">
        <v>1726</v>
      </c>
      <c r="N2692" s="4"/>
      <c r="O2692" s="4">
        <v>1</v>
      </c>
      <c r="P2692" s="4" t="s">
        <v>43</v>
      </c>
      <c r="Q2692" s="4"/>
      <c r="R2692" s="7">
        <v>64000</v>
      </c>
      <c r="S2692" s="7">
        <v>0</v>
      </c>
      <c r="T2692" s="7">
        <f>R2692-S2692</f>
        <v>0</v>
      </c>
      <c r="U2692" s="7">
        <f>T2692*O2692</f>
        <v>0</v>
      </c>
    </row>
    <row r="2693" spans="1:21">
      <c r="A2693" s="4" t="s">
        <v>3873</v>
      </c>
      <c r="B2693" s="4" t="s">
        <v>39</v>
      </c>
      <c r="C2693" s="5">
        <v>45958.10799768518</v>
      </c>
      <c r="D2693" s="5">
        <v>45958</v>
      </c>
      <c r="E2693" s="6">
        <f>IF(AND(C2693&lt;&gt;"",D2693&lt;&gt;""),D2693-C2693,"")</f>
        <v>0</v>
      </c>
      <c r="F2693" s="4" t="s">
        <v>3874</v>
      </c>
      <c r="G2693" s="4" t="s">
        <v>3875</v>
      </c>
      <c r="H2693" s="4" t="s">
        <v>32</v>
      </c>
      <c r="I2693" s="4" t="s">
        <v>33</v>
      </c>
      <c r="J2693" s="4">
        <v>0</v>
      </c>
      <c r="K2693" s="4">
        <v>0</v>
      </c>
      <c r="L2693" s="4">
        <f>J2693+K2693</f>
        <v>0</v>
      </c>
      <c r="M2693" s="4" t="s">
        <v>1335</v>
      </c>
      <c r="N2693" s="4"/>
      <c r="O2693" s="4">
        <v>1</v>
      </c>
      <c r="P2693" s="4" t="s">
        <v>43</v>
      </c>
      <c r="Q2693" s="4"/>
      <c r="R2693" s="7">
        <v>45000</v>
      </c>
      <c r="S2693" s="7">
        <v>0</v>
      </c>
      <c r="T2693" s="7">
        <f>R2693-S2693</f>
        <v>0</v>
      </c>
      <c r="U2693" s="7">
        <f>T2693*O2693</f>
        <v>0</v>
      </c>
    </row>
    <row r="2694" spans="1:21">
      <c r="A2694" s="4" t="s">
        <v>3876</v>
      </c>
      <c r="B2694" s="4" t="s">
        <v>39</v>
      </c>
      <c r="C2694" s="5">
        <v>45958.22527777778</v>
      </c>
      <c r="D2694" s="5">
        <v>45958</v>
      </c>
      <c r="E2694" s="6">
        <f>IF(AND(C2694&lt;&gt;"",D2694&lt;&gt;""),D2694-C2694,"")</f>
        <v>0</v>
      </c>
      <c r="F2694" s="4" t="s">
        <v>3877</v>
      </c>
      <c r="G2694" s="4" t="s">
        <v>3878</v>
      </c>
      <c r="H2694" s="4" t="s">
        <v>32</v>
      </c>
      <c r="I2694" s="4" t="s">
        <v>33</v>
      </c>
      <c r="J2694" s="4">
        <v>0</v>
      </c>
      <c r="K2694" s="4">
        <v>0</v>
      </c>
      <c r="L2694" s="4">
        <f>J2694+K2694</f>
        <v>0</v>
      </c>
      <c r="M2694" s="4" t="s">
        <v>1335</v>
      </c>
      <c r="N2694" s="4"/>
      <c r="O2694" s="4">
        <v>1</v>
      </c>
      <c r="P2694" s="4" t="s">
        <v>135</v>
      </c>
      <c r="Q2694" s="4"/>
      <c r="R2694" s="7">
        <v>45000</v>
      </c>
      <c r="S2694" s="7">
        <v>0</v>
      </c>
      <c r="T2694" s="7">
        <f>R2694-S2694</f>
        <v>0</v>
      </c>
      <c r="U2694" s="7">
        <f>T2694*O2694</f>
        <v>0</v>
      </c>
    </row>
    <row r="2695" spans="1:21">
      <c r="A2695" s="4" t="s">
        <v>3876</v>
      </c>
      <c r="B2695" s="4" t="s">
        <v>39</v>
      </c>
      <c r="C2695" s="5">
        <v>45958.22527777778</v>
      </c>
      <c r="D2695" s="5">
        <v>45958</v>
      </c>
      <c r="E2695" s="6">
        <f>IF(AND(C2695&lt;&gt;"",D2695&lt;&gt;""),D2695-C2695,"")</f>
        <v>0</v>
      </c>
      <c r="F2695" s="4" t="s">
        <v>3877</v>
      </c>
      <c r="G2695" s="4" t="s">
        <v>3878</v>
      </c>
      <c r="H2695" s="4" t="s">
        <v>32</v>
      </c>
      <c r="I2695" s="4" t="s">
        <v>33</v>
      </c>
      <c r="J2695" s="4">
        <v>0</v>
      </c>
      <c r="K2695" s="4">
        <v>0</v>
      </c>
      <c r="L2695" s="4">
        <f>J2695+K2695</f>
        <v>0</v>
      </c>
      <c r="M2695" s="4" t="s">
        <v>1335</v>
      </c>
      <c r="N2695" s="4"/>
      <c r="O2695" s="4">
        <v>1</v>
      </c>
      <c r="P2695" s="4" t="s">
        <v>135</v>
      </c>
      <c r="Q2695" s="4"/>
      <c r="R2695" s="7">
        <v>45000</v>
      </c>
      <c r="S2695" s="7">
        <v>0</v>
      </c>
      <c r="T2695" s="7">
        <f>R2695-S2695</f>
        <v>0</v>
      </c>
      <c r="U2695" s="7">
        <f>T2695*O2695</f>
        <v>0</v>
      </c>
    </row>
    <row r="2696" spans="1:21">
      <c r="A2696" s="4" t="s">
        <v>3876</v>
      </c>
      <c r="B2696" s="4" t="s">
        <v>39</v>
      </c>
      <c r="C2696" s="5">
        <v>45958.22527777778</v>
      </c>
      <c r="D2696" s="5">
        <v>45958</v>
      </c>
      <c r="E2696" s="6">
        <f>IF(AND(C2696&lt;&gt;"",D2696&lt;&gt;""),D2696-C2696,"")</f>
        <v>0</v>
      </c>
      <c r="F2696" s="4" t="s">
        <v>3877</v>
      </c>
      <c r="G2696" s="4" t="s">
        <v>3878</v>
      </c>
      <c r="H2696" s="4" t="s">
        <v>32</v>
      </c>
      <c r="I2696" s="4" t="s">
        <v>33</v>
      </c>
      <c r="J2696" s="4">
        <v>0</v>
      </c>
      <c r="K2696" s="4">
        <v>0</v>
      </c>
      <c r="L2696" s="4">
        <f>J2696+K2696</f>
        <v>0</v>
      </c>
      <c r="M2696" s="4" t="s">
        <v>1335</v>
      </c>
      <c r="N2696" s="4"/>
      <c r="O2696" s="4">
        <v>1</v>
      </c>
      <c r="P2696" s="4" t="s">
        <v>135</v>
      </c>
      <c r="Q2696" s="4"/>
      <c r="R2696" s="7">
        <v>45000</v>
      </c>
      <c r="S2696" s="7">
        <v>0</v>
      </c>
      <c r="T2696" s="7">
        <f>R2696-S2696</f>
        <v>0</v>
      </c>
      <c r="U2696" s="7">
        <f>T2696*O2696</f>
        <v>0</v>
      </c>
    </row>
    <row r="2697" spans="1:21">
      <c r="A2697" s="4" t="s">
        <v>3876</v>
      </c>
      <c r="B2697" s="4" t="s">
        <v>39</v>
      </c>
      <c r="C2697" s="5">
        <v>45958.22527777778</v>
      </c>
      <c r="D2697" s="5">
        <v>45958</v>
      </c>
      <c r="E2697" s="6">
        <f>IF(AND(C2697&lt;&gt;"",D2697&lt;&gt;""),D2697-C2697,"")</f>
        <v>0</v>
      </c>
      <c r="F2697" s="4" t="s">
        <v>3877</v>
      </c>
      <c r="G2697" s="4" t="s">
        <v>3878</v>
      </c>
      <c r="H2697" s="4" t="s">
        <v>32</v>
      </c>
      <c r="I2697" s="4" t="s">
        <v>33</v>
      </c>
      <c r="J2697" s="4">
        <v>0</v>
      </c>
      <c r="K2697" s="4">
        <v>0</v>
      </c>
      <c r="L2697" s="4">
        <f>J2697+K2697</f>
        <v>0</v>
      </c>
      <c r="M2697" s="4" t="s">
        <v>1335</v>
      </c>
      <c r="N2697" s="4"/>
      <c r="O2697" s="4">
        <v>1</v>
      </c>
      <c r="P2697" s="4" t="s">
        <v>135</v>
      </c>
      <c r="Q2697" s="4"/>
      <c r="R2697" s="7">
        <v>45000</v>
      </c>
      <c r="S2697" s="7">
        <v>0</v>
      </c>
      <c r="T2697" s="7">
        <f>R2697-S2697</f>
        <v>0</v>
      </c>
      <c r="U2697" s="7">
        <f>T2697*O2697</f>
        <v>0</v>
      </c>
    </row>
    <row r="2698" spans="1:21">
      <c r="A2698" s="4" t="s">
        <v>3876</v>
      </c>
      <c r="B2698" s="4" t="s">
        <v>39</v>
      </c>
      <c r="C2698" s="5">
        <v>45958.22527777778</v>
      </c>
      <c r="D2698" s="5">
        <v>45958</v>
      </c>
      <c r="E2698" s="6">
        <f>IF(AND(C2698&lt;&gt;"",D2698&lt;&gt;""),D2698-C2698,"")</f>
        <v>0</v>
      </c>
      <c r="F2698" s="4" t="s">
        <v>3877</v>
      </c>
      <c r="G2698" s="4" t="s">
        <v>3878</v>
      </c>
      <c r="H2698" s="4" t="s">
        <v>32</v>
      </c>
      <c r="I2698" s="4" t="s">
        <v>33</v>
      </c>
      <c r="J2698" s="4">
        <v>0</v>
      </c>
      <c r="K2698" s="4">
        <v>0</v>
      </c>
      <c r="L2698" s="4">
        <f>J2698+K2698</f>
        <v>0</v>
      </c>
      <c r="M2698" s="4" t="s">
        <v>1335</v>
      </c>
      <c r="N2698" s="4"/>
      <c r="O2698" s="4">
        <v>1</v>
      </c>
      <c r="P2698" s="4" t="s">
        <v>135</v>
      </c>
      <c r="Q2698" s="4"/>
      <c r="R2698" s="7">
        <v>45000</v>
      </c>
      <c r="S2698" s="7">
        <v>0</v>
      </c>
      <c r="T2698" s="7">
        <f>R2698-S2698</f>
        <v>0</v>
      </c>
      <c r="U2698" s="7">
        <f>T2698*O2698</f>
        <v>0</v>
      </c>
    </row>
    <row r="2699" spans="1:21">
      <c r="A2699" s="4" t="s">
        <v>3879</v>
      </c>
      <c r="B2699" s="4" t="s">
        <v>39</v>
      </c>
      <c r="C2699" s="5">
        <v>45958.22597222222</v>
      </c>
      <c r="D2699" s="5">
        <v>45958</v>
      </c>
      <c r="E2699" s="6">
        <f>IF(AND(C2699&lt;&gt;"",D2699&lt;&gt;""),D2699-C2699,"")</f>
        <v>0</v>
      </c>
      <c r="F2699" s="4" t="s">
        <v>3880</v>
      </c>
      <c r="G2699" s="4" t="s">
        <v>3881</v>
      </c>
      <c r="H2699" s="4" t="s">
        <v>32</v>
      </c>
      <c r="I2699" s="4" t="s">
        <v>33</v>
      </c>
      <c r="J2699" s="4">
        <v>0</v>
      </c>
      <c r="K2699" s="4">
        <v>0</v>
      </c>
      <c r="L2699" s="4">
        <f>J2699+K2699</f>
        <v>0</v>
      </c>
      <c r="M2699" s="4" t="s">
        <v>1335</v>
      </c>
      <c r="N2699" s="4"/>
      <c r="O2699" s="4">
        <v>1</v>
      </c>
      <c r="P2699" s="4" t="s">
        <v>135</v>
      </c>
      <c r="Q2699" s="4"/>
      <c r="R2699" s="7">
        <v>45000</v>
      </c>
      <c r="S2699" s="7">
        <v>0</v>
      </c>
      <c r="T2699" s="7">
        <f>R2699-S2699</f>
        <v>0</v>
      </c>
      <c r="U2699" s="7">
        <f>T2699*O2699</f>
        <v>0</v>
      </c>
    </row>
    <row r="2700" spans="1:21">
      <c r="A2700" s="4" t="s">
        <v>3879</v>
      </c>
      <c r="B2700" s="4" t="s">
        <v>39</v>
      </c>
      <c r="C2700" s="5">
        <v>45958.22597222222</v>
      </c>
      <c r="D2700" s="5">
        <v>45958</v>
      </c>
      <c r="E2700" s="6">
        <f>IF(AND(C2700&lt;&gt;"",D2700&lt;&gt;""),D2700-C2700,"")</f>
        <v>0</v>
      </c>
      <c r="F2700" s="4" t="s">
        <v>3880</v>
      </c>
      <c r="G2700" s="4" t="s">
        <v>3881</v>
      </c>
      <c r="H2700" s="4" t="s">
        <v>32</v>
      </c>
      <c r="I2700" s="4" t="s">
        <v>33</v>
      </c>
      <c r="J2700" s="4">
        <v>0</v>
      </c>
      <c r="K2700" s="4">
        <v>0</v>
      </c>
      <c r="L2700" s="4">
        <f>J2700+K2700</f>
        <v>0</v>
      </c>
      <c r="M2700" s="4" t="s">
        <v>1335</v>
      </c>
      <c r="N2700" s="4"/>
      <c r="O2700" s="4">
        <v>1</v>
      </c>
      <c r="P2700" s="4" t="s">
        <v>135</v>
      </c>
      <c r="Q2700" s="4"/>
      <c r="R2700" s="7">
        <v>45000</v>
      </c>
      <c r="S2700" s="7">
        <v>0</v>
      </c>
      <c r="T2700" s="7">
        <f>R2700-S2700</f>
        <v>0</v>
      </c>
      <c r="U2700" s="7">
        <f>T2700*O2700</f>
        <v>0</v>
      </c>
    </row>
    <row r="2701" spans="1:21">
      <c r="A2701" s="4" t="s">
        <v>3879</v>
      </c>
      <c r="B2701" s="4" t="s">
        <v>39</v>
      </c>
      <c r="C2701" s="5">
        <v>45958.22597222222</v>
      </c>
      <c r="D2701" s="5">
        <v>45958</v>
      </c>
      <c r="E2701" s="6">
        <f>IF(AND(C2701&lt;&gt;"",D2701&lt;&gt;""),D2701-C2701,"")</f>
        <v>0</v>
      </c>
      <c r="F2701" s="4" t="s">
        <v>3880</v>
      </c>
      <c r="G2701" s="4" t="s">
        <v>3881</v>
      </c>
      <c r="H2701" s="4" t="s">
        <v>32</v>
      </c>
      <c r="I2701" s="4" t="s">
        <v>33</v>
      </c>
      <c r="J2701" s="4">
        <v>0</v>
      </c>
      <c r="K2701" s="4">
        <v>0</v>
      </c>
      <c r="L2701" s="4">
        <f>J2701+K2701</f>
        <v>0</v>
      </c>
      <c r="M2701" s="4" t="s">
        <v>1335</v>
      </c>
      <c r="N2701" s="4"/>
      <c r="O2701" s="4">
        <v>1</v>
      </c>
      <c r="P2701" s="4" t="s">
        <v>135</v>
      </c>
      <c r="Q2701" s="4"/>
      <c r="R2701" s="7">
        <v>45000</v>
      </c>
      <c r="S2701" s="7">
        <v>0</v>
      </c>
      <c r="T2701" s="7">
        <f>R2701-S2701</f>
        <v>0</v>
      </c>
      <c r="U2701" s="7">
        <f>T2701*O2701</f>
        <v>0</v>
      </c>
    </row>
    <row r="2702" spans="1:21">
      <c r="A2702" s="4" t="s">
        <v>3879</v>
      </c>
      <c r="B2702" s="4" t="s">
        <v>39</v>
      </c>
      <c r="C2702" s="5">
        <v>45958.22597222222</v>
      </c>
      <c r="D2702" s="5">
        <v>45958</v>
      </c>
      <c r="E2702" s="6">
        <f>IF(AND(C2702&lt;&gt;"",D2702&lt;&gt;""),D2702-C2702,"")</f>
        <v>0</v>
      </c>
      <c r="F2702" s="4" t="s">
        <v>3880</v>
      </c>
      <c r="G2702" s="4" t="s">
        <v>3881</v>
      </c>
      <c r="H2702" s="4" t="s">
        <v>32</v>
      </c>
      <c r="I2702" s="4" t="s">
        <v>33</v>
      </c>
      <c r="J2702" s="4">
        <v>0</v>
      </c>
      <c r="K2702" s="4">
        <v>0</v>
      </c>
      <c r="L2702" s="4">
        <f>J2702+K2702</f>
        <v>0</v>
      </c>
      <c r="M2702" s="4" t="s">
        <v>1335</v>
      </c>
      <c r="N2702" s="4"/>
      <c r="O2702" s="4">
        <v>1</v>
      </c>
      <c r="P2702" s="4" t="s">
        <v>135</v>
      </c>
      <c r="Q2702" s="4"/>
      <c r="R2702" s="7">
        <v>45000</v>
      </c>
      <c r="S2702" s="7">
        <v>0</v>
      </c>
      <c r="T2702" s="7">
        <f>R2702-S2702</f>
        <v>0</v>
      </c>
      <c r="U2702" s="7">
        <f>T2702*O2702</f>
        <v>0</v>
      </c>
    </row>
    <row r="2703" spans="1:21">
      <c r="A2703" s="4" t="s">
        <v>3879</v>
      </c>
      <c r="B2703" s="4" t="s">
        <v>39</v>
      </c>
      <c r="C2703" s="5">
        <v>45958.22597222222</v>
      </c>
      <c r="D2703" s="5">
        <v>45958</v>
      </c>
      <c r="E2703" s="6">
        <f>IF(AND(C2703&lt;&gt;"",D2703&lt;&gt;""),D2703-C2703,"")</f>
        <v>0</v>
      </c>
      <c r="F2703" s="4" t="s">
        <v>3880</v>
      </c>
      <c r="G2703" s="4" t="s">
        <v>3881</v>
      </c>
      <c r="H2703" s="4" t="s">
        <v>32</v>
      </c>
      <c r="I2703" s="4" t="s">
        <v>33</v>
      </c>
      <c r="J2703" s="4">
        <v>0</v>
      </c>
      <c r="K2703" s="4">
        <v>0</v>
      </c>
      <c r="L2703" s="4">
        <f>J2703+K2703</f>
        <v>0</v>
      </c>
      <c r="M2703" s="4" t="s">
        <v>1335</v>
      </c>
      <c r="N2703" s="4"/>
      <c r="O2703" s="4">
        <v>1</v>
      </c>
      <c r="P2703" s="4" t="s">
        <v>135</v>
      </c>
      <c r="Q2703" s="4"/>
      <c r="R2703" s="7">
        <v>45000</v>
      </c>
      <c r="S2703" s="7">
        <v>0</v>
      </c>
      <c r="T2703" s="7">
        <f>R2703-S2703</f>
        <v>0</v>
      </c>
      <c r="U2703" s="7">
        <f>T2703*O2703</f>
        <v>0</v>
      </c>
    </row>
    <row r="2704" spans="1:21">
      <c r="A2704" s="4" t="s">
        <v>3879</v>
      </c>
      <c r="B2704" s="4" t="s">
        <v>39</v>
      </c>
      <c r="C2704" s="5">
        <v>45958.22597222222</v>
      </c>
      <c r="D2704" s="5">
        <v>45958</v>
      </c>
      <c r="E2704" s="6">
        <f>IF(AND(C2704&lt;&gt;"",D2704&lt;&gt;""),D2704-C2704,"")</f>
        <v>0</v>
      </c>
      <c r="F2704" s="4" t="s">
        <v>3880</v>
      </c>
      <c r="G2704" s="4" t="s">
        <v>3881</v>
      </c>
      <c r="H2704" s="4" t="s">
        <v>32</v>
      </c>
      <c r="I2704" s="4" t="s">
        <v>33</v>
      </c>
      <c r="J2704" s="4">
        <v>0</v>
      </c>
      <c r="K2704" s="4">
        <v>0</v>
      </c>
      <c r="L2704" s="4">
        <f>J2704+K2704</f>
        <v>0</v>
      </c>
      <c r="M2704" s="4" t="s">
        <v>1335</v>
      </c>
      <c r="N2704" s="4"/>
      <c r="O2704" s="4">
        <v>1</v>
      </c>
      <c r="P2704" s="4" t="s">
        <v>135</v>
      </c>
      <c r="Q2704" s="4"/>
      <c r="R2704" s="7">
        <v>45000</v>
      </c>
      <c r="S2704" s="7">
        <v>0</v>
      </c>
      <c r="T2704" s="7">
        <f>R2704-S2704</f>
        <v>0</v>
      </c>
      <c r="U2704" s="7">
        <f>T2704*O2704</f>
        <v>0</v>
      </c>
    </row>
    <row r="2705" spans="1:21">
      <c r="A2705" s="4" t="s">
        <v>3879</v>
      </c>
      <c r="B2705" s="4" t="s">
        <v>39</v>
      </c>
      <c r="C2705" s="5">
        <v>45958.22597222222</v>
      </c>
      <c r="D2705" s="5">
        <v>45958</v>
      </c>
      <c r="E2705" s="6">
        <f>IF(AND(C2705&lt;&gt;"",D2705&lt;&gt;""),D2705-C2705,"")</f>
        <v>0</v>
      </c>
      <c r="F2705" s="4" t="s">
        <v>3880</v>
      </c>
      <c r="G2705" s="4" t="s">
        <v>3881</v>
      </c>
      <c r="H2705" s="4" t="s">
        <v>32</v>
      </c>
      <c r="I2705" s="4" t="s">
        <v>33</v>
      </c>
      <c r="J2705" s="4">
        <v>0</v>
      </c>
      <c r="K2705" s="4">
        <v>0</v>
      </c>
      <c r="L2705" s="4">
        <f>J2705+K2705</f>
        <v>0</v>
      </c>
      <c r="M2705" s="4" t="s">
        <v>1335</v>
      </c>
      <c r="N2705" s="4"/>
      <c r="O2705" s="4">
        <v>1</v>
      </c>
      <c r="P2705" s="4" t="s">
        <v>135</v>
      </c>
      <c r="Q2705" s="4"/>
      <c r="R2705" s="7">
        <v>45000</v>
      </c>
      <c r="S2705" s="7">
        <v>0</v>
      </c>
      <c r="T2705" s="7">
        <f>R2705-S2705</f>
        <v>0</v>
      </c>
      <c r="U2705" s="7">
        <f>T2705*O2705</f>
        <v>0</v>
      </c>
    </row>
    <row r="2706" spans="1:21">
      <c r="A2706" s="4" t="s">
        <v>3879</v>
      </c>
      <c r="B2706" s="4" t="s">
        <v>39</v>
      </c>
      <c r="C2706" s="5">
        <v>45958.22597222222</v>
      </c>
      <c r="D2706" s="5">
        <v>45958</v>
      </c>
      <c r="E2706" s="6">
        <f>IF(AND(C2706&lt;&gt;"",D2706&lt;&gt;""),D2706-C2706,"")</f>
        <v>0</v>
      </c>
      <c r="F2706" s="4" t="s">
        <v>3880</v>
      </c>
      <c r="G2706" s="4" t="s">
        <v>3881</v>
      </c>
      <c r="H2706" s="4" t="s">
        <v>32</v>
      </c>
      <c r="I2706" s="4" t="s">
        <v>33</v>
      </c>
      <c r="J2706" s="4">
        <v>0</v>
      </c>
      <c r="K2706" s="4">
        <v>0</v>
      </c>
      <c r="L2706" s="4">
        <f>J2706+K2706</f>
        <v>0</v>
      </c>
      <c r="M2706" s="4" t="s">
        <v>1335</v>
      </c>
      <c r="N2706" s="4"/>
      <c r="O2706" s="4">
        <v>1</v>
      </c>
      <c r="P2706" s="4" t="s">
        <v>135</v>
      </c>
      <c r="Q2706" s="4"/>
      <c r="R2706" s="7">
        <v>45000</v>
      </c>
      <c r="S2706" s="7">
        <v>0</v>
      </c>
      <c r="T2706" s="7">
        <f>R2706-S2706</f>
        <v>0</v>
      </c>
      <c r="U2706" s="7">
        <f>T2706*O2706</f>
        <v>0</v>
      </c>
    </row>
    <row r="2707" spans="1:21">
      <c r="A2707" s="4" t="s">
        <v>3879</v>
      </c>
      <c r="B2707" s="4" t="s">
        <v>39</v>
      </c>
      <c r="C2707" s="5">
        <v>45958.22597222222</v>
      </c>
      <c r="D2707" s="5">
        <v>45958</v>
      </c>
      <c r="E2707" s="6">
        <f>IF(AND(C2707&lt;&gt;"",D2707&lt;&gt;""),D2707-C2707,"")</f>
        <v>0</v>
      </c>
      <c r="F2707" s="4" t="s">
        <v>3880</v>
      </c>
      <c r="G2707" s="4" t="s">
        <v>3881</v>
      </c>
      <c r="H2707" s="4" t="s">
        <v>32</v>
      </c>
      <c r="I2707" s="4" t="s">
        <v>33</v>
      </c>
      <c r="J2707" s="4">
        <v>0</v>
      </c>
      <c r="K2707" s="4">
        <v>0</v>
      </c>
      <c r="L2707" s="4">
        <f>J2707+K2707</f>
        <v>0</v>
      </c>
      <c r="M2707" s="4" t="s">
        <v>1335</v>
      </c>
      <c r="N2707" s="4"/>
      <c r="O2707" s="4">
        <v>1</v>
      </c>
      <c r="P2707" s="4" t="s">
        <v>135</v>
      </c>
      <c r="Q2707" s="4"/>
      <c r="R2707" s="7">
        <v>45000</v>
      </c>
      <c r="S2707" s="7">
        <v>0</v>
      </c>
      <c r="T2707" s="7">
        <f>R2707-S2707</f>
        <v>0</v>
      </c>
      <c r="U2707" s="7">
        <f>T2707*O2707</f>
        <v>0</v>
      </c>
    </row>
    <row r="2708" spans="1:21">
      <c r="A2708" s="4" t="s">
        <v>3879</v>
      </c>
      <c r="B2708" s="4" t="s">
        <v>39</v>
      </c>
      <c r="C2708" s="5">
        <v>45958.22597222222</v>
      </c>
      <c r="D2708" s="5">
        <v>45958</v>
      </c>
      <c r="E2708" s="6">
        <f>IF(AND(C2708&lt;&gt;"",D2708&lt;&gt;""),D2708-C2708,"")</f>
        <v>0</v>
      </c>
      <c r="F2708" s="4" t="s">
        <v>3880</v>
      </c>
      <c r="G2708" s="4" t="s">
        <v>3881</v>
      </c>
      <c r="H2708" s="4" t="s">
        <v>32</v>
      </c>
      <c r="I2708" s="4" t="s">
        <v>33</v>
      </c>
      <c r="J2708" s="4">
        <v>0</v>
      </c>
      <c r="K2708" s="4">
        <v>0</v>
      </c>
      <c r="L2708" s="4">
        <f>J2708+K2708</f>
        <v>0</v>
      </c>
      <c r="M2708" s="4" t="s">
        <v>1335</v>
      </c>
      <c r="N2708" s="4"/>
      <c r="O2708" s="4">
        <v>1</v>
      </c>
      <c r="P2708" s="4" t="s">
        <v>135</v>
      </c>
      <c r="Q2708" s="4"/>
      <c r="R2708" s="7">
        <v>45000</v>
      </c>
      <c r="S2708" s="7">
        <v>0</v>
      </c>
      <c r="T2708" s="7">
        <f>R2708-S2708</f>
        <v>0</v>
      </c>
      <c r="U2708" s="7">
        <f>T2708*O2708</f>
        <v>0</v>
      </c>
    </row>
    <row r="2709" spans="1:21">
      <c r="A2709" s="4" t="s">
        <v>3882</v>
      </c>
      <c r="B2709" s="4" t="s">
        <v>39</v>
      </c>
      <c r="C2709" s="5">
        <v>45958.22878472223</v>
      </c>
      <c r="D2709" s="5">
        <v>45958</v>
      </c>
      <c r="E2709" s="6">
        <f>IF(AND(C2709&lt;&gt;"",D2709&lt;&gt;""),D2709-C2709,"")</f>
        <v>0</v>
      </c>
      <c r="F2709" s="4" t="s">
        <v>3883</v>
      </c>
      <c r="G2709" s="4" t="s">
        <v>3884</v>
      </c>
      <c r="H2709" s="4" t="s">
        <v>32</v>
      </c>
      <c r="I2709" s="4" t="s">
        <v>33</v>
      </c>
      <c r="J2709" s="4">
        <v>0</v>
      </c>
      <c r="K2709" s="4">
        <v>0</v>
      </c>
      <c r="L2709" s="4">
        <f>J2709+K2709</f>
        <v>0</v>
      </c>
      <c r="M2709" s="4" t="s">
        <v>1335</v>
      </c>
      <c r="N2709" s="4"/>
      <c r="O2709" s="4">
        <v>1</v>
      </c>
      <c r="P2709" s="4" t="s">
        <v>135</v>
      </c>
      <c r="Q2709" s="4"/>
      <c r="R2709" s="7">
        <v>45000</v>
      </c>
      <c r="S2709" s="7">
        <v>0</v>
      </c>
      <c r="T2709" s="7">
        <f>R2709-S2709</f>
        <v>0</v>
      </c>
      <c r="U2709" s="7">
        <f>T2709*O2709</f>
        <v>0</v>
      </c>
    </row>
    <row r="2710" spans="1:21">
      <c r="A2710" s="4" t="s">
        <v>3882</v>
      </c>
      <c r="B2710" s="4" t="s">
        <v>39</v>
      </c>
      <c r="C2710" s="5">
        <v>45958.22878472223</v>
      </c>
      <c r="D2710" s="5">
        <v>45958</v>
      </c>
      <c r="E2710" s="6">
        <f>IF(AND(C2710&lt;&gt;"",D2710&lt;&gt;""),D2710-C2710,"")</f>
        <v>0</v>
      </c>
      <c r="F2710" s="4" t="s">
        <v>3883</v>
      </c>
      <c r="G2710" s="4" t="s">
        <v>3884</v>
      </c>
      <c r="H2710" s="4" t="s">
        <v>32</v>
      </c>
      <c r="I2710" s="4" t="s">
        <v>33</v>
      </c>
      <c r="J2710" s="4">
        <v>0</v>
      </c>
      <c r="K2710" s="4">
        <v>0</v>
      </c>
      <c r="L2710" s="4">
        <f>J2710+K2710</f>
        <v>0</v>
      </c>
      <c r="M2710" s="4" t="s">
        <v>1335</v>
      </c>
      <c r="N2710" s="4"/>
      <c r="O2710" s="4">
        <v>1</v>
      </c>
      <c r="P2710" s="4" t="s">
        <v>135</v>
      </c>
      <c r="Q2710" s="4"/>
      <c r="R2710" s="7">
        <v>45000</v>
      </c>
      <c r="S2710" s="7">
        <v>0</v>
      </c>
      <c r="T2710" s="7">
        <f>R2710-S2710</f>
        <v>0</v>
      </c>
      <c r="U2710" s="7">
        <f>T2710*O2710</f>
        <v>0</v>
      </c>
    </row>
    <row r="2711" spans="1:21">
      <c r="A2711" s="4" t="s">
        <v>3882</v>
      </c>
      <c r="B2711" s="4" t="s">
        <v>39</v>
      </c>
      <c r="C2711" s="5">
        <v>45958.22878472223</v>
      </c>
      <c r="D2711" s="5">
        <v>45958</v>
      </c>
      <c r="E2711" s="6">
        <f>IF(AND(C2711&lt;&gt;"",D2711&lt;&gt;""),D2711-C2711,"")</f>
        <v>0</v>
      </c>
      <c r="F2711" s="4" t="s">
        <v>3883</v>
      </c>
      <c r="G2711" s="4" t="s">
        <v>3884</v>
      </c>
      <c r="H2711" s="4" t="s">
        <v>32</v>
      </c>
      <c r="I2711" s="4" t="s">
        <v>33</v>
      </c>
      <c r="J2711" s="4">
        <v>0</v>
      </c>
      <c r="K2711" s="4">
        <v>0</v>
      </c>
      <c r="L2711" s="4">
        <f>J2711+K2711</f>
        <v>0</v>
      </c>
      <c r="M2711" s="4" t="s">
        <v>1335</v>
      </c>
      <c r="N2711" s="4"/>
      <c r="O2711" s="4">
        <v>1</v>
      </c>
      <c r="P2711" s="4" t="s">
        <v>135</v>
      </c>
      <c r="Q2711" s="4"/>
      <c r="R2711" s="7">
        <v>45000</v>
      </c>
      <c r="S2711" s="7">
        <v>0</v>
      </c>
      <c r="T2711" s="7">
        <f>R2711-S2711</f>
        <v>0</v>
      </c>
      <c r="U2711" s="7">
        <f>T2711*O2711</f>
        <v>0</v>
      </c>
    </row>
    <row r="2712" spans="1:21">
      <c r="A2712" s="4" t="s">
        <v>3882</v>
      </c>
      <c r="B2712" s="4" t="s">
        <v>39</v>
      </c>
      <c r="C2712" s="5">
        <v>45958.22878472223</v>
      </c>
      <c r="D2712" s="5">
        <v>45958</v>
      </c>
      <c r="E2712" s="6">
        <f>IF(AND(C2712&lt;&gt;"",D2712&lt;&gt;""),D2712-C2712,"")</f>
        <v>0</v>
      </c>
      <c r="F2712" s="4" t="s">
        <v>3883</v>
      </c>
      <c r="G2712" s="4" t="s">
        <v>3884</v>
      </c>
      <c r="H2712" s="4" t="s">
        <v>32</v>
      </c>
      <c r="I2712" s="4" t="s">
        <v>33</v>
      </c>
      <c r="J2712" s="4">
        <v>0</v>
      </c>
      <c r="K2712" s="4">
        <v>0</v>
      </c>
      <c r="L2712" s="4">
        <f>J2712+K2712</f>
        <v>0</v>
      </c>
      <c r="M2712" s="4" t="s">
        <v>1335</v>
      </c>
      <c r="N2712" s="4"/>
      <c r="O2712" s="4">
        <v>1</v>
      </c>
      <c r="P2712" s="4" t="s">
        <v>135</v>
      </c>
      <c r="Q2712" s="4"/>
      <c r="R2712" s="7">
        <v>45000</v>
      </c>
      <c r="S2712" s="7">
        <v>0</v>
      </c>
      <c r="T2712" s="7">
        <f>R2712-S2712</f>
        <v>0</v>
      </c>
      <c r="U2712" s="7">
        <f>T2712*O2712</f>
        <v>0</v>
      </c>
    </row>
    <row r="2713" spans="1:21">
      <c r="A2713" s="4" t="s">
        <v>3882</v>
      </c>
      <c r="B2713" s="4" t="s">
        <v>39</v>
      </c>
      <c r="C2713" s="5">
        <v>45958.22878472223</v>
      </c>
      <c r="D2713" s="5">
        <v>45958</v>
      </c>
      <c r="E2713" s="6">
        <f>IF(AND(C2713&lt;&gt;"",D2713&lt;&gt;""),D2713-C2713,"")</f>
        <v>0</v>
      </c>
      <c r="F2713" s="4" t="s">
        <v>3883</v>
      </c>
      <c r="G2713" s="4" t="s">
        <v>3884</v>
      </c>
      <c r="H2713" s="4" t="s">
        <v>32</v>
      </c>
      <c r="I2713" s="4" t="s">
        <v>33</v>
      </c>
      <c r="J2713" s="4">
        <v>0</v>
      </c>
      <c r="K2713" s="4">
        <v>0</v>
      </c>
      <c r="L2713" s="4">
        <f>J2713+K2713</f>
        <v>0</v>
      </c>
      <c r="M2713" s="4" t="s">
        <v>1335</v>
      </c>
      <c r="N2713" s="4"/>
      <c r="O2713" s="4">
        <v>1</v>
      </c>
      <c r="P2713" s="4" t="s">
        <v>135</v>
      </c>
      <c r="Q2713" s="4"/>
      <c r="R2713" s="7">
        <v>45000</v>
      </c>
      <c r="S2713" s="7">
        <v>0</v>
      </c>
      <c r="T2713" s="7">
        <f>R2713-S2713</f>
        <v>0</v>
      </c>
      <c r="U2713" s="7">
        <f>T2713*O2713</f>
        <v>0</v>
      </c>
    </row>
    <row r="2714" spans="1:21">
      <c r="A2714" s="4" t="s">
        <v>3882</v>
      </c>
      <c r="B2714" s="4" t="s">
        <v>39</v>
      </c>
      <c r="C2714" s="5">
        <v>45958.22878472223</v>
      </c>
      <c r="D2714" s="5">
        <v>45958</v>
      </c>
      <c r="E2714" s="6">
        <f>IF(AND(C2714&lt;&gt;"",D2714&lt;&gt;""),D2714-C2714,"")</f>
        <v>0</v>
      </c>
      <c r="F2714" s="4" t="s">
        <v>3883</v>
      </c>
      <c r="G2714" s="4" t="s">
        <v>3884</v>
      </c>
      <c r="H2714" s="4" t="s">
        <v>32</v>
      </c>
      <c r="I2714" s="4" t="s">
        <v>33</v>
      </c>
      <c r="J2714" s="4">
        <v>0</v>
      </c>
      <c r="K2714" s="4">
        <v>0</v>
      </c>
      <c r="L2714" s="4">
        <f>J2714+K2714</f>
        <v>0</v>
      </c>
      <c r="M2714" s="4" t="s">
        <v>1335</v>
      </c>
      <c r="N2714" s="4"/>
      <c r="O2714" s="4">
        <v>1</v>
      </c>
      <c r="P2714" s="4" t="s">
        <v>135</v>
      </c>
      <c r="Q2714" s="4"/>
      <c r="R2714" s="7">
        <v>45000</v>
      </c>
      <c r="S2714" s="7">
        <v>0</v>
      </c>
      <c r="T2714" s="7">
        <f>R2714-S2714</f>
        <v>0</v>
      </c>
      <c r="U2714" s="7">
        <f>T2714*O2714</f>
        <v>0</v>
      </c>
    </row>
    <row r="2715" spans="1:21">
      <c r="A2715" s="4" t="s">
        <v>3882</v>
      </c>
      <c r="B2715" s="4" t="s">
        <v>39</v>
      </c>
      <c r="C2715" s="5">
        <v>45958.22878472223</v>
      </c>
      <c r="D2715" s="5">
        <v>45958</v>
      </c>
      <c r="E2715" s="6">
        <f>IF(AND(C2715&lt;&gt;"",D2715&lt;&gt;""),D2715-C2715,"")</f>
        <v>0</v>
      </c>
      <c r="F2715" s="4" t="s">
        <v>3883</v>
      </c>
      <c r="G2715" s="4" t="s">
        <v>3884</v>
      </c>
      <c r="H2715" s="4" t="s">
        <v>32</v>
      </c>
      <c r="I2715" s="4" t="s">
        <v>33</v>
      </c>
      <c r="J2715" s="4">
        <v>0</v>
      </c>
      <c r="K2715" s="4">
        <v>0</v>
      </c>
      <c r="L2715" s="4">
        <f>J2715+K2715</f>
        <v>0</v>
      </c>
      <c r="M2715" s="4" t="s">
        <v>1335</v>
      </c>
      <c r="N2715" s="4"/>
      <c r="O2715" s="4">
        <v>1</v>
      </c>
      <c r="P2715" s="4" t="s">
        <v>135</v>
      </c>
      <c r="Q2715" s="4"/>
      <c r="R2715" s="7">
        <v>45000</v>
      </c>
      <c r="S2715" s="7">
        <v>0</v>
      </c>
      <c r="T2715" s="7">
        <f>R2715-S2715</f>
        <v>0</v>
      </c>
      <c r="U2715" s="7">
        <f>T2715*O2715</f>
        <v>0</v>
      </c>
    </row>
    <row r="2716" spans="1:21">
      <c r="A2716" s="4" t="s">
        <v>3882</v>
      </c>
      <c r="B2716" s="4" t="s">
        <v>39</v>
      </c>
      <c r="C2716" s="5">
        <v>45958.22878472223</v>
      </c>
      <c r="D2716" s="5">
        <v>45958</v>
      </c>
      <c r="E2716" s="6">
        <f>IF(AND(C2716&lt;&gt;"",D2716&lt;&gt;""),D2716-C2716,"")</f>
        <v>0</v>
      </c>
      <c r="F2716" s="4" t="s">
        <v>3883</v>
      </c>
      <c r="G2716" s="4" t="s">
        <v>3884</v>
      </c>
      <c r="H2716" s="4" t="s">
        <v>32</v>
      </c>
      <c r="I2716" s="4" t="s">
        <v>33</v>
      </c>
      <c r="J2716" s="4">
        <v>0</v>
      </c>
      <c r="K2716" s="4">
        <v>0</v>
      </c>
      <c r="L2716" s="4">
        <f>J2716+K2716</f>
        <v>0</v>
      </c>
      <c r="M2716" s="4" t="s">
        <v>1335</v>
      </c>
      <c r="N2716" s="4"/>
      <c r="O2716" s="4">
        <v>1</v>
      </c>
      <c r="P2716" s="4" t="s">
        <v>135</v>
      </c>
      <c r="Q2716" s="4"/>
      <c r="R2716" s="7">
        <v>45000</v>
      </c>
      <c r="S2716" s="7">
        <v>0</v>
      </c>
      <c r="T2716" s="7">
        <f>R2716-S2716</f>
        <v>0</v>
      </c>
      <c r="U2716" s="7">
        <f>T2716*O2716</f>
        <v>0</v>
      </c>
    </row>
    <row r="2717" spans="1:21">
      <c r="A2717" s="4" t="s">
        <v>3882</v>
      </c>
      <c r="B2717" s="4" t="s">
        <v>39</v>
      </c>
      <c r="C2717" s="5">
        <v>45958.22878472223</v>
      </c>
      <c r="D2717" s="5">
        <v>45958</v>
      </c>
      <c r="E2717" s="6">
        <f>IF(AND(C2717&lt;&gt;"",D2717&lt;&gt;""),D2717-C2717,"")</f>
        <v>0</v>
      </c>
      <c r="F2717" s="4" t="s">
        <v>3883</v>
      </c>
      <c r="G2717" s="4" t="s">
        <v>3884</v>
      </c>
      <c r="H2717" s="4" t="s">
        <v>32</v>
      </c>
      <c r="I2717" s="4" t="s">
        <v>33</v>
      </c>
      <c r="J2717" s="4">
        <v>0</v>
      </c>
      <c r="K2717" s="4">
        <v>0</v>
      </c>
      <c r="L2717" s="4">
        <f>J2717+K2717</f>
        <v>0</v>
      </c>
      <c r="M2717" s="4" t="s">
        <v>1335</v>
      </c>
      <c r="N2717" s="4"/>
      <c r="O2717" s="4">
        <v>1</v>
      </c>
      <c r="P2717" s="4" t="s">
        <v>135</v>
      </c>
      <c r="Q2717" s="4"/>
      <c r="R2717" s="7">
        <v>45000</v>
      </c>
      <c r="S2717" s="7">
        <v>0</v>
      </c>
      <c r="T2717" s="7">
        <f>R2717-S2717</f>
        <v>0</v>
      </c>
      <c r="U2717" s="7">
        <f>T2717*O2717</f>
        <v>0</v>
      </c>
    </row>
    <row r="2718" spans="1:21">
      <c r="A2718" s="4" t="s">
        <v>3882</v>
      </c>
      <c r="B2718" s="4" t="s">
        <v>39</v>
      </c>
      <c r="C2718" s="5">
        <v>45958.22878472223</v>
      </c>
      <c r="D2718" s="5">
        <v>45958</v>
      </c>
      <c r="E2718" s="6">
        <f>IF(AND(C2718&lt;&gt;"",D2718&lt;&gt;""),D2718-C2718,"")</f>
        <v>0</v>
      </c>
      <c r="F2718" s="4" t="s">
        <v>3883</v>
      </c>
      <c r="G2718" s="4" t="s">
        <v>3884</v>
      </c>
      <c r="H2718" s="4" t="s">
        <v>32</v>
      </c>
      <c r="I2718" s="4" t="s">
        <v>33</v>
      </c>
      <c r="J2718" s="4">
        <v>0</v>
      </c>
      <c r="K2718" s="4">
        <v>0</v>
      </c>
      <c r="L2718" s="4">
        <f>J2718+K2718</f>
        <v>0</v>
      </c>
      <c r="M2718" s="4" t="s">
        <v>1335</v>
      </c>
      <c r="N2718" s="4"/>
      <c r="O2718" s="4">
        <v>1</v>
      </c>
      <c r="P2718" s="4" t="s">
        <v>135</v>
      </c>
      <c r="Q2718" s="4"/>
      <c r="R2718" s="7">
        <v>45000</v>
      </c>
      <c r="S2718" s="7">
        <v>0</v>
      </c>
      <c r="T2718" s="7">
        <f>R2718-S2718</f>
        <v>0</v>
      </c>
      <c r="U2718" s="7">
        <f>T2718*O2718</f>
        <v>0</v>
      </c>
    </row>
    <row r="2719" spans="1:21">
      <c r="A2719" s="4" t="s">
        <v>3882</v>
      </c>
      <c r="B2719" s="4" t="s">
        <v>39</v>
      </c>
      <c r="C2719" s="5">
        <v>45958.22878472223</v>
      </c>
      <c r="D2719" s="5">
        <v>45958</v>
      </c>
      <c r="E2719" s="6">
        <f>IF(AND(C2719&lt;&gt;"",D2719&lt;&gt;""),D2719-C2719,"")</f>
        <v>0</v>
      </c>
      <c r="F2719" s="4" t="s">
        <v>3883</v>
      </c>
      <c r="G2719" s="4" t="s">
        <v>3884</v>
      </c>
      <c r="H2719" s="4" t="s">
        <v>32</v>
      </c>
      <c r="I2719" s="4" t="s">
        <v>33</v>
      </c>
      <c r="J2719" s="4">
        <v>0</v>
      </c>
      <c r="K2719" s="4">
        <v>0</v>
      </c>
      <c r="L2719" s="4">
        <f>J2719+K2719</f>
        <v>0</v>
      </c>
      <c r="M2719" s="4" t="s">
        <v>1335</v>
      </c>
      <c r="N2719" s="4"/>
      <c r="O2719" s="4">
        <v>1</v>
      </c>
      <c r="P2719" s="4" t="s">
        <v>135</v>
      </c>
      <c r="Q2719" s="4"/>
      <c r="R2719" s="7">
        <v>45000</v>
      </c>
      <c r="S2719" s="7">
        <v>0</v>
      </c>
      <c r="T2719" s="7">
        <f>R2719-S2719</f>
        <v>0</v>
      </c>
      <c r="U2719" s="7">
        <f>T2719*O2719</f>
        <v>0</v>
      </c>
    </row>
    <row r="2720" spans="1:21">
      <c r="A2720" s="4" t="s">
        <v>3882</v>
      </c>
      <c r="B2720" s="4" t="s">
        <v>39</v>
      </c>
      <c r="C2720" s="5">
        <v>45958.22878472223</v>
      </c>
      <c r="D2720" s="5">
        <v>45958</v>
      </c>
      <c r="E2720" s="6">
        <f>IF(AND(C2720&lt;&gt;"",D2720&lt;&gt;""),D2720-C2720,"")</f>
        <v>0</v>
      </c>
      <c r="F2720" s="4" t="s">
        <v>3883</v>
      </c>
      <c r="G2720" s="4" t="s">
        <v>3884</v>
      </c>
      <c r="H2720" s="4" t="s">
        <v>32</v>
      </c>
      <c r="I2720" s="4" t="s">
        <v>33</v>
      </c>
      <c r="J2720" s="4">
        <v>0</v>
      </c>
      <c r="K2720" s="4">
        <v>0</v>
      </c>
      <c r="L2720" s="4">
        <f>J2720+K2720</f>
        <v>0</v>
      </c>
      <c r="M2720" s="4" t="s">
        <v>1335</v>
      </c>
      <c r="N2720" s="4"/>
      <c r="O2720" s="4">
        <v>1</v>
      </c>
      <c r="P2720" s="4" t="s">
        <v>135</v>
      </c>
      <c r="Q2720" s="4"/>
      <c r="R2720" s="7">
        <v>45000</v>
      </c>
      <c r="S2720" s="7">
        <v>0</v>
      </c>
      <c r="T2720" s="7">
        <f>R2720-S2720</f>
        <v>0</v>
      </c>
      <c r="U2720" s="7">
        <f>T2720*O2720</f>
        <v>0</v>
      </c>
    </row>
    <row r="2721" spans="1:21">
      <c r="A2721" s="4" t="s">
        <v>3882</v>
      </c>
      <c r="B2721" s="4" t="s">
        <v>39</v>
      </c>
      <c r="C2721" s="5">
        <v>45958.22878472223</v>
      </c>
      <c r="D2721" s="5">
        <v>45958</v>
      </c>
      <c r="E2721" s="6">
        <f>IF(AND(C2721&lt;&gt;"",D2721&lt;&gt;""),D2721-C2721,"")</f>
        <v>0</v>
      </c>
      <c r="F2721" s="4" t="s">
        <v>3883</v>
      </c>
      <c r="G2721" s="4" t="s">
        <v>3884</v>
      </c>
      <c r="H2721" s="4" t="s">
        <v>32</v>
      </c>
      <c r="I2721" s="4" t="s">
        <v>33</v>
      </c>
      <c r="J2721" s="4">
        <v>0</v>
      </c>
      <c r="K2721" s="4">
        <v>0</v>
      </c>
      <c r="L2721" s="4">
        <f>J2721+K2721</f>
        <v>0</v>
      </c>
      <c r="M2721" s="4" t="s">
        <v>1335</v>
      </c>
      <c r="N2721" s="4"/>
      <c r="O2721" s="4">
        <v>1</v>
      </c>
      <c r="P2721" s="4" t="s">
        <v>135</v>
      </c>
      <c r="Q2721" s="4"/>
      <c r="R2721" s="7">
        <v>45000</v>
      </c>
      <c r="S2721" s="7">
        <v>0</v>
      </c>
      <c r="T2721" s="7">
        <f>R2721-S2721</f>
        <v>0</v>
      </c>
      <c r="U2721" s="7">
        <f>T2721*O2721</f>
        <v>0</v>
      </c>
    </row>
    <row r="2722" spans="1:21">
      <c r="A2722" s="4" t="s">
        <v>3882</v>
      </c>
      <c r="B2722" s="4" t="s">
        <v>39</v>
      </c>
      <c r="C2722" s="5">
        <v>45958.22878472223</v>
      </c>
      <c r="D2722" s="5">
        <v>45958</v>
      </c>
      <c r="E2722" s="6">
        <f>IF(AND(C2722&lt;&gt;"",D2722&lt;&gt;""),D2722-C2722,"")</f>
        <v>0</v>
      </c>
      <c r="F2722" s="4" t="s">
        <v>3883</v>
      </c>
      <c r="G2722" s="4" t="s">
        <v>3884</v>
      </c>
      <c r="H2722" s="4" t="s">
        <v>32</v>
      </c>
      <c r="I2722" s="4" t="s">
        <v>33</v>
      </c>
      <c r="J2722" s="4">
        <v>0</v>
      </c>
      <c r="K2722" s="4">
        <v>0</v>
      </c>
      <c r="L2722" s="4">
        <f>J2722+K2722</f>
        <v>0</v>
      </c>
      <c r="M2722" s="4" t="s">
        <v>1335</v>
      </c>
      <c r="N2722" s="4"/>
      <c r="O2722" s="4">
        <v>1</v>
      </c>
      <c r="P2722" s="4" t="s">
        <v>135</v>
      </c>
      <c r="Q2722" s="4"/>
      <c r="R2722" s="7">
        <v>45000</v>
      </c>
      <c r="S2722" s="7">
        <v>0</v>
      </c>
      <c r="T2722" s="7">
        <f>R2722-S2722</f>
        <v>0</v>
      </c>
      <c r="U2722" s="7">
        <f>T2722*O2722</f>
        <v>0</v>
      </c>
    </row>
    <row r="2723" spans="1:21">
      <c r="A2723" s="4" t="s">
        <v>3882</v>
      </c>
      <c r="B2723" s="4" t="s">
        <v>39</v>
      </c>
      <c r="C2723" s="5">
        <v>45958.22878472223</v>
      </c>
      <c r="D2723" s="5">
        <v>45958</v>
      </c>
      <c r="E2723" s="6">
        <f>IF(AND(C2723&lt;&gt;"",D2723&lt;&gt;""),D2723-C2723,"")</f>
        <v>0</v>
      </c>
      <c r="F2723" s="4" t="s">
        <v>3883</v>
      </c>
      <c r="G2723" s="4" t="s">
        <v>3884</v>
      </c>
      <c r="H2723" s="4" t="s">
        <v>32</v>
      </c>
      <c r="I2723" s="4" t="s">
        <v>33</v>
      </c>
      <c r="J2723" s="4">
        <v>0</v>
      </c>
      <c r="K2723" s="4">
        <v>0</v>
      </c>
      <c r="L2723" s="4">
        <f>J2723+K2723</f>
        <v>0</v>
      </c>
      <c r="M2723" s="4" t="s">
        <v>1335</v>
      </c>
      <c r="N2723" s="4"/>
      <c r="O2723" s="4">
        <v>1</v>
      </c>
      <c r="P2723" s="4" t="s">
        <v>135</v>
      </c>
      <c r="Q2723" s="4"/>
      <c r="R2723" s="7">
        <v>45000</v>
      </c>
      <c r="S2723" s="7">
        <v>0</v>
      </c>
      <c r="T2723" s="7">
        <f>R2723-S2723</f>
        <v>0</v>
      </c>
      <c r="U2723" s="7">
        <f>T2723*O2723</f>
        <v>0</v>
      </c>
    </row>
    <row r="2724" spans="1:21">
      <c r="A2724" s="4" t="s">
        <v>3882</v>
      </c>
      <c r="B2724" s="4" t="s">
        <v>39</v>
      </c>
      <c r="C2724" s="5">
        <v>45958.22878472223</v>
      </c>
      <c r="D2724" s="5">
        <v>45958</v>
      </c>
      <c r="E2724" s="6">
        <f>IF(AND(C2724&lt;&gt;"",D2724&lt;&gt;""),D2724-C2724,"")</f>
        <v>0</v>
      </c>
      <c r="F2724" s="4" t="s">
        <v>3883</v>
      </c>
      <c r="G2724" s="4" t="s">
        <v>3884</v>
      </c>
      <c r="H2724" s="4" t="s">
        <v>32</v>
      </c>
      <c r="I2724" s="4" t="s">
        <v>33</v>
      </c>
      <c r="J2724" s="4">
        <v>0</v>
      </c>
      <c r="K2724" s="4">
        <v>0</v>
      </c>
      <c r="L2724" s="4">
        <f>J2724+K2724</f>
        <v>0</v>
      </c>
      <c r="M2724" s="4" t="s">
        <v>1335</v>
      </c>
      <c r="N2724" s="4"/>
      <c r="O2724" s="4">
        <v>1</v>
      </c>
      <c r="P2724" s="4" t="s">
        <v>135</v>
      </c>
      <c r="Q2724" s="4"/>
      <c r="R2724" s="7">
        <v>45000</v>
      </c>
      <c r="S2724" s="7">
        <v>0</v>
      </c>
      <c r="T2724" s="7">
        <f>R2724-S2724</f>
        <v>0</v>
      </c>
      <c r="U2724" s="7">
        <f>T2724*O2724</f>
        <v>0</v>
      </c>
    </row>
    <row r="2725" spans="1:21">
      <c r="A2725" s="4" t="s">
        <v>3882</v>
      </c>
      <c r="B2725" s="4" t="s">
        <v>39</v>
      </c>
      <c r="C2725" s="5">
        <v>45958.22878472223</v>
      </c>
      <c r="D2725" s="5">
        <v>45958</v>
      </c>
      <c r="E2725" s="6">
        <f>IF(AND(C2725&lt;&gt;"",D2725&lt;&gt;""),D2725-C2725,"")</f>
        <v>0</v>
      </c>
      <c r="F2725" s="4" t="s">
        <v>3883</v>
      </c>
      <c r="G2725" s="4" t="s">
        <v>3884</v>
      </c>
      <c r="H2725" s="4" t="s">
        <v>32</v>
      </c>
      <c r="I2725" s="4" t="s">
        <v>33</v>
      </c>
      <c r="J2725" s="4">
        <v>0</v>
      </c>
      <c r="K2725" s="4">
        <v>0</v>
      </c>
      <c r="L2725" s="4">
        <f>J2725+K2725</f>
        <v>0</v>
      </c>
      <c r="M2725" s="4" t="s">
        <v>1335</v>
      </c>
      <c r="N2725" s="4"/>
      <c r="O2725" s="4">
        <v>1</v>
      </c>
      <c r="P2725" s="4" t="s">
        <v>135</v>
      </c>
      <c r="Q2725" s="4"/>
      <c r="R2725" s="7">
        <v>45000</v>
      </c>
      <c r="S2725" s="7">
        <v>0</v>
      </c>
      <c r="T2725" s="7">
        <f>R2725-S2725</f>
        <v>0</v>
      </c>
      <c r="U2725" s="7">
        <f>T2725*O2725</f>
        <v>0</v>
      </c>
    </row>
    <row r="2726" spans="1:21">
      <c r="A2726" s="4" t="s">
        <v>3882</v>
      </c>
      <c r="B2726" s="4" t="s">
        <v>39</v>
      </c>
      <c r="C2726" s="5">
        <v>45958.22878472223</v>
      </c>
      <c r="D2726" s="5">
        <v>45958</v>
      </c>
      <c r="E2726" s="6">
        <f>IF(AND(C2726&lt;&gt;"",D2726&lt;&gt;""),D2726-C2726,"")</f>
        <v>0</v>
      </c>
      <c r="F2726" s="4" t="s">
        <v>3883</v>
      </c>
      <c r="G2726" s="4" t="s">
        <v>3884</v>
      </c>
      <c r="H2726" s="4" t="s">
        <v>32</v>
      </c>
      <c r="I2726" s="4" t="s">
        <v>33</v>
      </c>
      <c r="J2726" s="4">
        <v>0</v>
      </c>
      <c r="K2726" s="4">
        <v>0</v>
      </c>
      <c r="L2726" s="4">
        <f>J2726+K2726</f>
        <v>0</v>
      </c>
      <c r="M2726" s="4" t="s">
        <v>1335</v>
      </c>
      <c r="N2726" s="4"/>
      <c r="O2726" s="4">
        <v>1</v>
      </c>
      <c r="P2726" s="4" t="s">
        <v>135</v>
      </c>
      <c r="Q2726" s="4"/>
      <c r="R2726" s="7">
        <v>45000</v>
      </c>
      <c r="S2726" s="7">
        <v>0</v>
      </c>
      <c r="T2726" s="7">
        <f>R2726-S2726</f>
        <v>0</v>
      </c>
      <c r="U2726" s="7">
        <f>T2726*O2726</f>
        <v>0</v>
      </c>
    </row>
    <row r="2727" spans="1:21">
      <c r="A2727" s="4" t="s">
        <v>3882</v>
      </c>
      <c r="B2727" s="4" t="s">
        <v>39</v>
      </c>
      <c r="C2727" s="5">
        <v>45958.22878472223</v>
      </c>
      <c r="D2727" s="5">
        <v>45958</v>
      </c>
      <c r="E2727" s="6">
        <f>IF(AND(C2727&lt;&gt;"",D2727&lt;&gt;""),D2727-C2727,"")</f>
        <v>0</v>
      </c>
      <c r="F2727" s="4" t="s">
        <v>3883</v>
      </c>
      <c r="G2727" s="4" t="s">
        <v>3884</v>
      </c>
      <c r="H2727" s="4" t="s">
        <v>32</v>
      </c>
      <c r="I2727" s="4" t="s">
        <v>33</v>
      </c>
      <c r="J2727" s="4">
        <v>0</v>
      </c>
      <c r="K2727" s="4">
        <v>0</v>
      </c>
      <c r="L2727" s="4">
        <f>J2727+K2727</f>
        <v>0</v>
      </c>
      <c r="M2727" s="4" t="s">
        <v>1335</v>
      </c>
      <c r="N2727" s="4"/>
      <c r="O2727" s="4">
        <v>1</v>
      </c>
      <c r="P2727" s="4" t="s">
        <v>135</v>
      </c>
      <c r="Q2727" s="4"/>
      <c r="R2727" s="7">
        <v>45000</v>
      </c>
      <c r="S2727" s="7">
        <v>0</v>
      </c>
      <c r="T2727" s="7">
        <f>R2727-S2727</f>
        <v>0</v>
      </c>
      <c r="U2727" s="7">
        <f>T2727*O2727</f>
        <v>0</v>
      </c>
    </row>
    <row r="2728" spans="1:21">
      <c r="A2728" s="4" t="s">
        <v>3882</v>
      </c>
      <c r="B2728" s="4" t="s">
        <v>39</v>
      </c>
      <c r="C2728" s="5">
        <v>45958.22878472223</v>
      </c>
      <c r="D2728" s="5">
        <v>45958</v>
      </c>
      <c r="E2728" s="6">
        <f>IF(AND(C2728&lt;&gt;"",D2728&lt;&gt;""),D2728-C2728,"")</f>
        <v>0</v>
      </c>
      <c r="F2728" s="4" t="s">
        <v>3883</v>
      </c>
      <c r="G2728" s="4" t="s">
        <v>3884</v>
      </c>
      <c r="H2728" s="4" t="s">
        <v>32</v>
      </c>
      <c r="I2728" s="4" t="s">
        <v>33</v>
      </c>
      <c r="J2728" s="4">
        <v>0</v>
      </c>
      <c r="K2728" s="4">
        <v>0</v>
      </c>
      <c r="L2728" s="4">
        <f>J2728+K2728</f>
        <v>0</v>
      </c>
      <c r="M2728" s="4" t="s">
        <v>1335</v>
      </c>
      <c r="N2728" s="4"/>
      <c r="O2728" s="4">
        <v>1</v>
      </c>
      <c r="P2728" s="4" t="s">
        <v>135</v>
      </c>
      <c r="Q2728" s="4"/>
      <c r="R2728" s="7">
        <v>45000</v>
      </c>
      <c r="S2728" s="7">
        <v>0</v>
      </c>
      <c r="T2728" s="7">
        <f>R2728-S2728</f>
        <v>0</v>
      </c>
      <c r="U2728" s="7">
        <f>T2728*O2728</f>
        <v>0</v>
      </c>
    </row>
    <row r="2729" spans="1:21">
      <c r="A2729" s="4" t="s">
        <v>3882</v>
      </c>
      <c r="B2729" s="4" t="s">
        <v>39</v>
      </c>
      <c r="C2729" s="5">
        <v>45958.22878472223</v>
      </c>
      <c r="D2729" s="5">
        <v>45958</v>
      </c>
      <c r="E2729" s="6">
        <f>IF(AND(C2729&lt;&gt;"",D2729&lt;&gt;""),D2729-C2729,"")</f>
        <v>0</v>
      </c>
      <c r="F2729" s="4" t="s">
        <v>3883</v>
      </c>
      <c r="G2729" s="4" t="s">
        <v>3884</v>
      </c>
      <c r="H2729" s="4" t="s">
        <v>32</v>
      </c>
      <c r="I2729" s="4" t="s">
        <v>33</v>
      </c>
      <c r="J2729" s="4">
        <v>0</v>
      </c>
      <c r="K2729" s="4">
        <v>0</v>
      </c>
      <c r="L2729" s="4">
        <f>J2729+K2729</f>
        <v>0</v>
      </c>
      <c r="M2729" s="4" t="s">
        <v>1335</v>
      </c>
      <c r="N2729" s="4"/>
      <c r="O2729" s="4">
        <v>1</v>
      </c>
      <c r="P2729" s="4" t="s">
        <v>135</v>
      </c>
      <c r="Q2729" s="4"/>
      <c r="R2729" s="7">
        <v>45000</v>
      </c>
      <c r="S2729" s="7">
        <v>0</v>
      </c>
      <c r="T2729" s="7">
        <f>R2729-S2729</f>
        <v>0</v>
      </c>
      <c r="U2729" s="7">
        <f>T2729*O2729</f>
        <v>0</v>
      </c>
    </row>
    <row r="2730" spans="1:21">
      <c r="A2730" s="4" t="s">
        <v>3882</v>
      </c>
      <c r="B2730" s="4" t="s">
        <v>39</v>
      </c>
      <c r="C2730" s="5">
        <v>45958.22878472223</v>
      </c>
      <c r="D2730" s="5">
        <v>45958</v>
      </c>
      <c r="E2730" s="6">
        <f>IF(AND(C2730&lt;&gt;"",D2730&lt;&gt;""),D2730-C2730,"")</f>
        <v>0</v>
      </c>
      <c r="F2730" s="4" t="s">
        <v>3883</v>
      </c>
      <c r="G2730" s="4" t="s">
        <v>3884</v>
      </c>
      <c r="H2730" s="4" t="s">
        <v>32</v>
      </c>
      <c r="I2730" s="4" t="s">
        <v>33</v>
      </c>
      <c r="J2730" s="4">
        <v>0</v>
      </c>
      <c r="K2730" s="4">
        <v>0</v>
      </c>
      <c r="L2730" s="4">
        <f>J2730+K2730</f>
        <v>0</v>
      </c>
      <c r="M2730" s="4" t="s">
        <v>1335</v>
      </c>
      <c r="N2730" s="4"/>
      <c r="O2730" s="4">
        <v>1</v>
      </c>
      <c r="P2730" s="4" t="s">
        <v>135</v>
      </c>
      <c r="Q2730" s="4"/>
      <c r="R2730" s="7">
        <v>45000</v>
      </c>
      <c r="S2730" s="7">
        <v>0</v>
      </c>
      <c r="T2730" s="7">
        <f>R2730-S2730</f>
        <v>0</v>
      </c>
      <c r="U2730" s="7">
        <f>T2730*O2730</f>
        <v>0</v>
      </c>
    </row>
    <row r="2731" spans="1:21">
      <c r="A2731" s="4" t="s">
        <v>3882</v>
      </c>
      <c r="B2731" s="4" t="s">
        <v>39</v>
      </c>
      <c r="C2731" s="5">
        <v>45958.22878472223</v>
      </c>
      <c r="D2731" s="5">
        <v>45958</v>
      </c>
      <c r="E2731" s="6">
        <f>IF(AND(C2731&lt;&gt;"",D2731&lt;&gt;""),D2731-C2731,"")</f>
        <v>0</v>
      </c>
      <c r="F2731" s="4" t="s">
        <v>3883</v>
      </c>
      <c r="G2731" s="4" t="s">
        <v>3884</v>
      </c>
      <c r="H2731" s="4" t="s">
        <v>32</v>
      </c>
      <c r="I2731" s="4" t="s">
        <v>33</v>
      </c>
      <c r="J2731" s="4">
        <v>0</v>
      </c>
      <c r="K2731" s="4">
        <v>0</v>
      </c>
      <c r="L2731" s="4">
        <f>J2731+K2731</f>
        <v>0</v>
      </c>
      <c r="M2731" s="4" t="s">
        <v>1335</v>
      </c>
      <c r="N2731" s="4"/>
      <c r="O2731" s="4">
        <v>1</v>
      </c>
      <c r="P2731" s="4" t="s">
        <v>135</v>
      </c>
      <c r="Q2731" s="4"/>
      <c r="R2731" s="7">
        <v>45000</v>
      </c>
      <c r="S2731" s="7">
        <v>0</v>
      </c>
      <c r="T2731" s="7">
        <f>R2731-S2731</f>
        <v>0</v>
      </c>
      <c r="U2731" s="7">
        <f>T2731*O2731</f>
        <v>0</v>
      </c>
    </row>
    <row r="2732" spans="1:21">
      <c r="A2732" s="4" t="s">
        <v>3885</v>
      </c>
      <c r="B2732" s="4" t="s">
        <v>39</v>
      </c>
      <c r="C2732" s="5">
        <v>45958.22983796296</v>
      </c>
      <c r="D2732" s="5">
        <v>45958</v>
      </c>
      <c r="E2732" s="6">
        <f>IF(AND(C2732&lt;&gt;"",D2732&lt;&gt;""),D2732-C2732,"")</f>
        <v>0</v>
      </c>
      <c r="F2732" s="4" t="s">
        <v>3886</v>
      </c>
      <c r="G2732" s="4" t="s">
        <v>3887</v>
      </c>
      <c r="H2732" s="4" t="s">
        <v>32</v>
      </c>
      <c r="I2732" s="4" t="s">
        <v>33</v>
      </c>
      <c r="J2732" s="4">
        <v>0</v>
      </c>
      <c r="K2732" s="4">
        <v>0</v>
      </c>
      <c r="L2732" s="4">
        <f>J2732+K2732</f>
        <v>0</v>
      </c>
      <c r="M2732" s="4" t="s">
        <v>3888</v>
      </c>
      <c r="N2732" s="4"/>
      <c r="O2732" s="4">
        <v>1</v>
      </c>
      <c r="P2732" s="4" t="s">
        <v>135</v>
      </c>
      <c r="Q2732" s="4"/>
      <c r="R2732" s="7">
        <v>114000</v>
      </c>
      <c r="S2732" s="7">
        <v>0</v>
      </c>
      <c r="T2732" s="7">
        <f>R2732-S2732</f>
        <v>0</v>
      </c>
      <c r="U2732" s="7">
        <f>T2732*O2732</f>
        <v>0</v>
      </c>
    </row>
    <row r="2733" spans="1:21">
      <c r="A2733" s="4" t="s">
        <v>3885</v>
      </c>
      <c r="B2733" s="4" t="s">
        <v>39</v>
      </c>
      <c r="C2733" s="5">
        <v>45958.22983796296</v>
      </c>
      <c r="D2733" s="5">
        <v>45958</v>
      </c>
      <c r="E2733" s="6">
        <f>IF(AND(C2733&lt;&gt;"",D2733&lt;&gt;""),D2733-C2733,"")</f>
        <v>0</v>
      </c>
      <c r="F2733" s="4" t="s">
        <v>3886</v>
      </c>
      <c r="G2733" s="4" t="s">
        <v>3887</v>
      </c>
      <c r="H2733" s="4" t="s">
        <v>32</v>
      </c>
      <c r="I2733" s="4" t="s">
        <v>33</v>
      </c>
      <c r="J2733" s="4">
        <v>0</v>
      </c>
      <c r="K2733" s="4">
        <v>0</v>
      </c>
      <c r="L2733" s="4">
        <f>J2733+K2733</f>
        <v>0</v>
      </c>
      <c r="M2733" s="4" t="s">
        <v>1533</v>
      </c>
      <c r="N2733" s="4"/>
      <c r="O2733" s="4">
        <v>1</v>
      </c>
      <c r="P2733" s="4" t="s">
        <v>135</v>
      </c>
      <c r="Q2733" s="4"/>
      <c r="R2733" s="7">
        <v>108000</v>
      </c>
      <c r="S2733" s="7">
        <v>0</v>
      </c>
      <c r="T2733" s="7">
        <f>R2733-S2733</f>
        <v>0</v>
      </c>
      <c r="U2733" s="7">
        <f>T2733*O2733</f>
        <v>0</v>
      </c>
    </row>
    <row r="2734" spans="1:21">
      <c r="A2734" s="4" t="s">
        <v>3885</v>
      </c>
      <c r="B2734" s="4" t="s">
        <v>39</v>
      </c>
      <c r="C2734" s="5">
        <v>45958.22983796296</v>
      </c>
      <c r="D2734" s="5">
        <v>45958</v>
      </c>
      <c r="E2734" s="6">
        <f>IF(AND(C2734&lt;&gt;"",D2734&lt;&gt;""),D2734-C2734,"")</f>
        <v>0</v>
      </c>
      <c r="F2734" s="4" t="s">
        <v>3886</v>
      </c>
      <c r="G2734" s="4" t="s">
        <v>3887</v>
      </c>
      <c r="H2734" s="4" t="s">
        <v>32</v>
      </c>
      <c r="I2734" s="4" t="s">
        <v>33</v>
      </c>
      <c r="J2734" s="4">
        <v>0</v>
      </c>
      <c r="K2734" s="4">
        <v>0</v>
      </c>
      <c r="L2734" s="4">
        <f>J2734+K2734</f>
        <v>0</v>
      </c>
      <c r="M2734" s="4" t="s">
        <v>915</v>
      </c>
      <c r="N2734" s="4"/>
      <c r="O2734" s="4">
        <v>1</v>
      </c>
      <c r="P2734" s="4" t="s">
        <v>135</v>
      </c>
      <c r="Q2734" s="4"/>
      <c r="R2734" s="7">
        <v>50000</v>
      </c>
      <c r="S2734" s="7">
        <v>0</v>
      </c>
      <c r="T2734" s="7">
        <f>R2734-S2734</f>
        <v>0</v>
      </c>
      <c r="U2734" s="7">
        <f>T2734*O2734</f>
        <v>0</v>
      </c>
    </row>
    <row r="2735" spans="1:21">
      <c r="A2735" s="4" t="s">
        <v>3885</v>
      </c>
      <c r="B2735" s="4" t="s">
        <v>39</v>
      </c>
      <c r="C2735" s="5">
        <v>45958.22983796296</v>
      </c>
      <c r="D2735" s="5">
        <v>45958</v>
      </c>
      <c r="E2735" s="6">
        <f>IF(AND(C2735&lt;&gt;"",D2735&lt;&gt;""),D2735-C2735,"")</f>
        <v>0</v>
      </c>
      <c r="F2735" s="4" t="s">
        <v>3886</v>
      </c>
      <c r="G2735" s="4" t="s">
        <v>3887</v>
      </c>
      <c r="H2735" s="4" t="s">
        <v>32</v>
      </c>
      <c r="I2735" s="4" t="s">
        <v>33</v>
      </c>
      <c r="J2735" s="4">
        <v>0</v>
      </c>
      <c r="K2735" s="4">
        <v>0</v>
      </c>
      <c r="L2735" s="4">
        <f>J2735+K2735</f>
        <v>0</v>
      </c>
      <c r="M2735" s="4" t="s">
        <v>3889</v>
      </c>
      <c r="N2735" s="4"/>
      <c r="O2735" s="4">
        <v>1</v>
      </c>
      <c r="P2735" s="4" t="s">
        <v>135</v>
      </c>
      <c r="Q2735" s="4"/>
      <c r="R2735" s="7">
        <v>139000</v>
      </c>
      <c r="S2735" s="7">
        <v>0</v>
      </c>
      <c r="T2735" s="7">
        <f>R2735-S2735</f>
        <v>0</v>
      </c>
      <c r="U2735" s="7">
        <f>T2735*O2735</f>
        <v>0</v>
      </c>
    </row>
    <row r="2736" spans="1:21">
      <c r="A2736" s="4" t="s">
        <v>3885</v>
      </c>
      <c r="B2736" s="4" t="s">
        <v>39</v>
      </c>
      <c r="C2736" s="5">
        <v>45958.22983796296</v>
      </c>
      <c r="D2736" s="5">
        <v>45958</v>
      </c>
      <c r="E2736" s="6">
        <f>IF(AND(C2736&lt;&gt;"",D2736&lt;&gt;""),D2736-C2736,"")</f>
        <v>0</v>
      </c>
      <c r="F2736" s="4" t="s">
        <v>3886</v>
      </c>
      <c r="G2736" s="4" t="s">
        <v>3887</v>
      </c>
      <c r="H2736" s="4" t="s">
        <v>32</v>
      </c>
      <c r="I2736" s="4" t="s">
        <v>33</v>
      </c>
      <c r="J2736" s="4">
        <v>0</v>
      </c>
      <c r="K2736" s="4">
        <v>0</v>
      </c>
      <c r="L2736" s="4">
        <f>J2736+K2736</f>
        <v>0</v>
      </c>
      <c r="M2736" s="4" t="s">
        <v>3890</v>
      </c>
      <c r="N2736" s="4"/>
      <c r="O2736" s="4">
        <v>1</v>
      </c>
      <c r="P2736" s="4" t="s">
        <v>135</v>
      </c>
      <c r="Q2736" s="4"/>
      <c r="R2736" s="7">
        <v>62000</v>
      </c>
      <c r="S2736" s="7">
        <v>0</v>
      </c>
      <c r="T2736" s="7">
        <f>R2736-S2736</f>
        <v>0</v>
      </c>
      <c r="U2736" s="7">
        <f>T2736*O2736</f>
        <v>0</v>
      </c>
    </row>
    <row r="2737" spans="1:21">
      <c r="A2737" s="4" t="s">
        <v>3885</v>
      </c>
      <c r="B2737" s="4" t="s">
        <v>39</v>
      </c>
      <c r="C2737" s="5">
        <v>45958.22983796296</v>
      </c>
      <c r="D2737" s="5">
        <v>45958</v>
      </c>
      <c r="E2737" s="6">
        <f>IF(AND(C2737&lt;&gt;"",D2737&lt;&gt;""),D2737-C2737,"")</f>
        <v>0</v>
      </c>
      <c r="F2737" s="4" t="s">
        <v>3886</v>
      </c>
      <c r="G2737" s="4" t="s">
        <v>3887</v>
      </c>
      <c r="H2737" s="4" t="s">
        <v>32</v>
      </c>
      <c r="I2737" s="4" t="s">
        <v>33</v>
      </c>
      <c r="J2737" s="4">
        <v>0</v>
      </c>
      <c r="K2737" s="4">
        <v>0</v>
      </c>
      <c r="L2737" s="4">
        <f>J2737+K2737</f>
        <v>0</v>
      </c>
      <c r="M2737" s="4" t="s">
        <v>3844</v>
      </c>
      <c r="N2737" s="4"/>
      <c r="O2737" s="4">
        <v>1</v>
      </c>
      <c r="P2737" s="4" t="s">
        <v>135</v>
      </c>
      <c r="Q2737" s="4"/>
      <c r="R2737" s="7">
        <v>68000</v>
      </c>
      <c r="S2737" s="7">
        <v>0</v>
      </c>
      <c r="T2737" s="7">
        <f>R2737-S2737</f>
        <v>0</v>
      </c>
      <c r="U2737" s="7">
        <f>T2737*O2737</f>
        <v>0</v>
      </c>
    </row>
    <row r="2738" spans="1:21">
      <c r="A2738" s="4" t="s">
        <v>3885</v>
      </c>
      <c r="B2738" s="4" t="s">
        <v>39</v>
      </c>
      <c r="C2738" s="5">
        <v>45958.22983796296</v>
      </c>
      <c r="D2738" s="5">
        <v>45958</v>
      </c>
      <c r="E2738" s="6">
        <f>IF(AND(C2738&lt;&gt;"",D2738&lt;&gt;""),D2738-C2738,"")</f>
        <v>0</v>
      </c>
      <c r="F2738" s="4" t="s">
        <v>3886</v>
      </c>
      <c r="G2738" s="4" t="s">
        <v>3887</v>
      </c>
      <c r="H2738" s="4" t="s">
        <v>32</v>
      </c>
      <c r="I2738" s="4" t="s">
        <v>33</v>
      </c>
      <c r="J2738" s="4">
        <v>0</v>
      </c>
      <c r="K2738" s="4">
        <v>0</v>
      </c>
      <c r="L2738" s="4">
        <f>J2738+K2738</f>
        <v>0</v>
      </c>
      <c r="M2738" s="4" t="s">
        <v>1558</v>
      </c>
      <c r="N2738" s="4"/>
      <c r="O2738" s="4">
        <v>1</v>
      </c>
      <c r="P2738" s="4" t="s">
        <v>135</v>
      </c>
      <c r="Q2738" s="4"/>
      <c r="R2738" s="7">
        <v>84000</v>
      </c>
      <c r="S2738" s="7">
        <v>0</v>
      </c>
      <c r="T2738" s="7">
        <f>R2738-S2738</f>
        <v>0</v>
      </c>
      <c r="U2738" s="7">
        <f>T2738*O2738</f>
        <v>0</v>
      </c>
    </row>
    <row r="2739" spans="1:21">
      <c r="A2739" s="4" t="s">
        <v>3885</v>
      </c>
      <c r="B2739" s="4" t="s">
        <v>39</v>
      </c>
      <c r="C2739" s="5">
        <v>45958.22983796296</v>
      </c>
      <c r="D2739" s="5">
        <v>45958</v>
      </c>
      <c r="E2739" s="6">
        <f>IF(AND(C2739&lt;&gt;"",D2739&lt;&gt;""),D2739-C2739,"")</f>
        <v>0</v>
      </c>
      <c r="F2739" s="4" t="s">
        <v>3886</v>
      </c>
      <c r="G2739" s="4" t="s">
        <v>3887</v>
      </c>
      <c r="H2739" s="4" t="s">
        <v>32</v>
      </c>
      <c r="I2739" s="4" t="s">
        <v>33</v>
      </c>
      <c r="J2739" s="4">
        <v>0</v>
      </c>
      <c r="K2739" s="4">
        <v>0</v>
      </c>
      <c r="L2739" s="4">
        <f>J2739+K2739</f>
        <v>0</v>
      </c>
      <c r="M2739" s="4" t="s">
        <v>3891</v>
      </c>
      <c r="N2739" s="4"/>
      <c r="O2739" s="4">
        <v>1</v>
      </c>
      <c r="P2739" s="4" t="s">
        <v>135</v>
      </c>
      <c r="Q2739" s="4"/>
      <c r="R2739" s="7">
        <v>48000</v>
      </c>
      <c r="S2739" s="7">
        <v>0</v>
      </c>
      <c r="T2739" s="7">
        <f>R2739-S2739</f>
        <v>0</v>
      </c>
      <c r="U2739" s="7">
        <f>T2739*O2739</f>
        <v>0</v>
      </c>
    </row>
    <row r="2740" spans="1:21">
      <c r="A2740" s="4" t="s">
        <v>3885</v>
      </c>
      <c r="B2740" s="4" t="s">
        <v>39</v>
      </c>
      <c r="C2740" s="5">
        <v>45958.22983796296</v>
      </c>
      <c r="D2740" s="5">
        <v>45958</v>
      </c>
      <c r="E2740" s="6">
        <f>IF(AND(C2740&lt;&gt;"",D2740&lt;&gt;""),D2740-C2740,"")</f>
        <v>0</v>
      </c>
      <c r="F2740" s="4" t="s">
        <v>3886</v>
      </c>
      <c r="G2740" s="4" t="s">
        <v>3887</v>
      </c>
      <c r="H2740" s="4" t="s">
        <v>32</v>
      </c>
      <c r="I2740" s="4" t="s">
        <v>33</v>
      </c>
      <c r="J2740" s="4">
        <v>0</v>
      </c>
      <c r="K2740" s="4">
        <v>0</v>
      </c>
      <c r="L2740" s="4">
        <f>J2740+K2740</f>
        <v>0</v>
      </c>
      <c r="M2740" s="4" t="s">
        <v>1777</v>
      </c>
      <c r="N2740" s="4"/>
      <c r="O2740" s="4">
        <v>1</v>
      </c>
      <c r="P2740" s="4" t="s">
        <v>135</v>
      </c>
      <c r="Q2740" s="4"/>
      <c r="R2740" s="7">
        <v>122000</v>
      </c>
      <c r="S2740" s="7">
        <v>0</v>
      </c>
      <c r="T2740" s="7">
        <f>R2740-S2740</f>
        <v>0</v>
      </c>
      <c r="U2740" s="7">
        <f>T2740*O2740</f>
        <v>0</v>
      </c>
    </row>
    <row r="2741" spans="1:21">
      <c r="A2741" s="4" t="s">
        <v>3885</v>
      </c>
      <c r="B2741" s="4" t="s">
        <v>39</v>
      </c>
      <c r="C2741" s="5">
        <v>45958.22983796296</v>
      </c>
      <c r="D2741" s="5">
        <v>45958</v>
      </c>
      <c r="E2741" s="6">
        <f>IF(AND(C2741&lt;&gt;"",D2741&lt;&gt;""),D2741-C2741,"")</f>
        <v>0</v>
      </c>
      <c r="F2741" s="4" t="s">
        <v>3886</v>
      </c>
      <c r="G2741" s="4" t="s">
        <v>3887</v>
      </c>
      <c r="H2741" s="4" t="s">
        <v>32</v>
      </c>
      <c r="I2741" s="4" t="s">
        <v>33</v>
      </c>
      <c r="J2741" s="4">
        <v>0</v>
      </c>
      <c r="K2741" s="4">
        <v>0</v>
      </c>
      <c r="L2741" s="4">
        <f>J2741+K2741</f>
        <v>0</v>
      </c>
      <c r="M2741" s="4" t="s">
        <v>3892</v>
      </c>
      <c r="N2741" s="4"/>
      <c r="O2741" s="4">
        <v>1</v>
      </c>
      <c r="P2741" s="4" t="s">
        <v>135</v>
      </c>
      <c r="Q2741" s="4"/>
      <c r="R2741" s="7">
        <v>87000</v>
      </c>
      <c r="S2741" s="7">
        <v>0</v>
      </c>
      <c r="T2741" s="7">
        <f>R2741-S2741</f>
        <v>0</v>
      </c>
      <c r="U2741" s="7">
        <f>T2741*O2741</f>
        <v>0</v>
      </c>
    </row>
    <row r="2742" spans="1:21">
      <c r="A2742" s="4" t="s">
        <v>3885</v>
      </c>
      <c r="B2742" s="4" t="s">
        <v>39</v>
      </c>
      <c r="C2742" s="5">
        <v>45958.22983796296</v>
      </c>
      <c r="D2742" s="5">
        <v>45958</v>
      </c>
      <c r="E2742" s="6">
        <f>IF(AND(C2742&lt;&gt;"",D2742&lt;&gt;""),D2742-C2742,"")</f>
        <v>0</v>
      </c>
      <c r="F2742" s="4" t="s">
        <v>3886</v>
      </c>
      <c r="G2742" s="4" t="s">
        <v>3887</v>
      </c>
      <c r="H2742" s="4" t="s">
        <v>32</v>
      </c>
      <c r="I2742" s="4" t="s">
        <v>33</v>
      </c>
      <c r="J2742" s="4">
        <v>0</v>
      </c>
      <c r="K2742" s="4">
        <v>0</v>
      </c>
      <c r="L2742" s="4">
        <f>J2742+K2742</f>
        <v>0</v>
      </c>
      <c r="M2742" s="4" t="s">
        <v>3845</v>
      </c>
      <c r="N2742" s="4"/>
      <c r="O2742" s="4">
        <v>1</v>
      </c>
      <c r="P2742" s="4" t="s">
        <v>135</v>
      </c>
      <c r="Q2742" s="4"/>
      <c r="R2742" s="7">
        <v>122000</v>
      </c>
      <c r="S2742" s="7">
        <v>0</v>
      </c>
      <c r="T2742" s="7">
        <f>R2742-S2742</f>
        <v>0</v>
      </c>
      <c r="U2742" s="7">
        <f>T2742*O2742</f>
        <v>0</v>
      </c>
    </row>
    <row r="2743" spans="1:21">
      <c r="A2743" s="4" t="s">
        <v>3885</v>
      </c>
      <c r="B2743" s="4" t="s">
        <v>39</v>
      </c>
      <c r="C2743" s="5">
        <v>45958.22983796296</v>
      </c>
      <c r="D2743" s="5">
        <v>45958</v>
      </c>
      <c r="E2743" s="6">
        <f>IF(AND(C2743&lt;&gt;"",D2743&lt;&gt;""),D2743-C2743,"")</f>
        <v>0</v>
      </c>
      <c r="F2743" s="4" t="s">
        <v>3886</v>
      </c>
      <c r="G2743" s="4" t="s">
        <v>3887</v>
      </c>
      <c r="H2743" s="4" t="s">
        <v>32</v>
      </c>
      <c r="I2743" s="4" t="s">
        <v>33</v>
      </c>
      <c r="J2743" s="4">
        <v>0</v>
      </c>
      <c r="K2743" s="4">
        <v>0</v>
      </c>
      <c r="L2743" s="4">
        <f>J2743+K2743</f>
        <v>0</v>
      </c>
      <c r="M2743" s="4" t="s">
        <v>3893</v>
      </c>
      <c r="N2743" s="4"/>
      <c r="O2743" s="4">
        <v>1</v>
      </c>
      <c r="P2743" s="4" t="s">
        <v>135</v>
      </c>
      <c r="Q2743" s="4"/>
      <c r="R2743" s="7">
        <v>48000</v>
      </c>
      <c r="S2743" s="7">
        <v>0</v>
      </c>
      <c r="T2743" s="7">
        <f>R2743-S2743</f>
        <v>0</v>
      </c>
      <c r="U2743" s="7">
        <f>T2743*O2743</f>
        <v>0</v>
      </c>
    </row>
    <row r="2744" spans="1:21">
      <c r="A2744" s="4" t="s">
        <v>3885</v>
      </c>
      <c r="B2744" s="4" t="s">
        <v>39</v>
      </c>
      <c r="C2744" s="5">
        <v>45958.22983796296</v>
      </c>
      <c r="D2744" s="5">
        <v>45958</v>
      </c>
      <c r="E2744" s="6">
        <f>IF(AND(C2744&lt;&gt;"",D2744&lt;&gt;""),D2744-C2744,"")</f>
        <v>0</v>
      </c>
      <c r="F2744" s="4" t="s">
        <v>3886</v>
      </c>
      <c r="G2744" s="4" t="s">
        <v>3887</v>
      </c>
      <c r="H2744" s="4" t="s">
        <v>32</v>
      </c>
      <c r="I2744" s="4" t="s">
        <v>33</v>
      </c>
      <c r="J2744" s="4">
        <v>0</v>
      </c>
      <c r="K2744" s="4">
        <v>0</v>
      </c>
      <c r="L2744" s="4">
        <f>J2744+K2744</f>
        <v>0</v>
      </c>
      <c r="M2744" s="4" t="s">
        <v>1544</v>
      </c>
      <c r="N2744" s="4"/>
      <c r="O2744" s="4">
        <v>1</v>
      </c>
      <c r="P2744" s="4" t="s">
        <v>135</v>
      </c>
      <c r="Q2744" s="4"/>
      <c r="R2744" s="7">
        <v>112000</v>
      </c>
      <c r="S2744" s="7">
        <v>0</v>
      </c>
      <c r="T2744" s="7">
        <f>R2744-S2744</f>
        <v>0</v>
      </c>
      <c r="U2744" s="7">
        <f>T2744*O2744</f>
        <v>0</v>
      </c>
    </row>
    <row r="2745" spans="1:21">
      <c r="A2745" s="4" t="s">
        <v>3885</v>
      </c>
      <c r="B2745" s="4" t="s">
        <v>39</v>
      </c>
      <c r="C2745" s="5">
        <v>45958.22983796296</v>
      </c>
      <c r="D2745" s="5">
        <v>45958</v>
      </c>
      <c r="E2745" s="6">
        <f>IF(AND(C2745&lt;&gt;"",D2745&lt;&gt;""),D2745-C2745,"")</f>
        <v>0</v>
      </c>
      <c r="F2745" s="4" t="s">
        <v>3886</v>
      </c>
      <c r="G2745" s="4" t="s">
        <v>3887</v>
      </c>
      <c r="H2745" s="4" t="s">
        <v>32</v>
      </c>
      <c r="I2745" s="4" t="s">
        <v>33</v>
      </c>
      <c r="J2745" s="4">
        <v>0</v>
      </c>
      <c r="K2745" s="4">
        <v>0</v>
      </c>
      <c r="L2745" s="4">
        <f>J2745+K2745</f>
        <v>0</v>
      </c>
      <c r="M2745" s="4" t="s">
        <v>1828</v>
      </c>
      <c r="N2745" s="4"/>
      <c r="O2745" s="4">
        <v>1</v>
      </c>
      <c r="P2745" s="4" t="s">
        <v>135</v>
      </c>
      <c r="Q2745" s="4"/>
      <c r="R2745" s="7">
        <v>121000</v>
      </c>
      <c r="S2745" s="7">
        <v>0</v>
      </c>
      <c r="T2745" s="7">
        <f>R2745-S2745</f>
        <v>0</v>
      </c>
      <c r="U2745" s="7">
        <f>T2745*O2745</f>
        <v>0</v>
      </c>
    </row>
    <row r="2746" spans="1:21">
      <c r="A2746" s="4" t="s">
        <v>3885</v>
      </c>
      <c r="B2746" s="4" t="s">
        <v>39</v>
      </c>
      <c r="C2746" s="5">
        <v>45958.22983796296</v>
      </c>
      <c r="D2746" s="5">
        <v>45958</v>
      </c>
      <c r="E2746" s="6">
        <f>IF(AND(C2746&lt;&gt;"",D2746&lt;&gt;""),D2746-C2746,"")</f>
        <v>0</v>
      </c>
      <c r="F2746" s="4" t="s">
        <v>3886</v>
      </c>
      <c r="G2746" s="4" t="s">
        <v>3887</v>
      </c>
      <c r="H2746" s="4" t="s">
        <v>32</v>
      </c>
      <c r="I2746" s="4" t="s">
        <v>33</v>
      </c>
      <c r="J2746" s="4">
        <v>0</v>
      </c>
      <c r="K2746" s="4">
        <v>0</v>
      </c>
      <c r="L2746" s="4">
        <f>J2746+K2746</f>
        <v>0</v>
      </c>
      <c r="M2746" s="4" t="s">
        <v>1774</v>
      </c>
      <c r="N2746" s="4"/>
      <c r="O2746" s="4">
        <v>1</v>
      </c>
      <c r="P2746" s="4" t="s">
        <v>135</v>
      </c>
      <c r="Q2746" s="4"/>
      <c r="R2746" s="7">
        <v>163000</v>
      </c>
      <c r="S2746" s="7">
        <v>0</v>
      </c>
      <c r="T2746" s="7">
        <f>R2746-S2746</f>
        <v>0</v>
      </c>
      <c r="U2746" s="7">
        <f>T2746*O2746</f>
        <v>0</v>
      </c>
    </row>
    <row r="2747" spans="1:21">
      <c r="A2747" s="4" t="s">
        <v>3885</v>
      </c>
      <c r="B2747" s="4" t="s">
        <v>39</v>
      </c>
      <c r="C2747" s="5">
        <v>45958.22983796296</v>
      </c>
      <c r="D2747" s="5">
        <v>45958</v>
      </c>
      <c r="E2747" s="6">
        <f>IF(AND(C2747&lt;&gt;"",D2747&lt;&gt;""),D2747-C2747,"")</f>
        <v>0</v>
      </c>
      <c r="F2747" s="4" t="s">
        <v>3886</v>
      </c>
      <c r="G2747" s="4" t="s">
        <v>3887</v>
      </c>
      <c r="H2747" s="4" t="s">
        <v>32</v>
      </c>
      <c r="I2747" s="4" t="s">
        <v>33</v>
      </c>
      <c r="J2747" s="4">
        <v>0</v>
      </c>
      <c r="K2747" s="4">
        <v>0</v>
      </c>
      <c r="L2747" s="4">
        <f>J2747+K2747</f>
        <v>0</v>
      </c>
      <c r="M2747" s="4" t="s">
        <v>3839</v>
      </c>
      <c r="N2747" s="4"/>
      <c r="O2747" s="4">
        <v>1</v>
      </c>
      <c r="P2747" s="4" t="s">
        <v>135</v>
      </c>
      <c r="Q2747" s="4"/>
      <c r="R2747" s="7">
        <v>102000</v>
      </c>
      <c r="S2747" s="7">
        <v>0</v>
      </c>
      <c r="T2747" s="7">
        <f>R2747-S2747</f>
        <v>0</v>
      </c>
      <c r="U2747" s="7">
        <f>T2747*O2747</f>
        <v>0</v>
      </c>
    </row>
    <row r="2748" spans="1:21">
      <c r="A2748" s="4" t="s">
        <v>3885</v>
      </c>
      <c r="B2748" s="4" t="s">
        <v>39</v>
      </c>
      <c r="C2748" s="5">
        <v>45958.22983796296</v>
      </c>
      <c r="D2748" s="5">
        <v>45958</v>
      </c>
      <c r="E2748" s="6">
        <f>IF(AND(C2748&lt;&gt;"",D2748&lt;&gt;""),D2748-C2748,"")</f>
        <v>0</v>
      </c>
      <c r="F2748" s="4" t="s">
        <v>3886</v>
      </c>
      <c r="G2748" s="4" t="s">
        <v>3887</v>
      </c>
      <c r="H2748" s="4" t="s">
        <v>32</v>
      </c>
      <c r="I2748" s="4" t="s">
        <v>33</v>
      </c>
      <c r="J2748" s="4">
        <v>0</v>
      </c>
      <c r="K2748" s="4">
        <v>0</v>
      </c>
      <c r="L2748" s="4">
        <f>J2748+K2748</f>
        <v>0</v>
      </c>
      <c r="M2748" s="4" t="s">
        <v>1838</v>
      </c>
      <c r="N2748" s="4"/>
      <c r="O2748" s="4">
        <v>1</v>
      </c>
      <c r="P2748" s="4" t="s">
        <v>135</v>
      </c>
      <c r="Q2748" s="4"/>
      <c r="R2748" s="7">
        <v>173000</v>
      </c>
      <c r="S2748" s="7">
        <v>0</v>
      </c>
      <c r="T2748" s="7">
        <f>R2748-S2748</f>
        <v>0</v>
      </c>
      <c r="U2748" s="7">
        <f>T2748*O2748</f>
        <v>0</v>
      </c>
    </row>
    <row r="2749" spans="1:21">
      <c r="A2749" s="4" t="s">
        <v>3885</v>
      </c>
      <c r="B2749" s="4" t="s">
        <v>39</v>
      </c>
      <c r="C2749" s="5">
        <v>45958.22983796296</v>
      </c>
      <c r="D2749" s="5">
        <v>45958</v>
      </c>
      <c r="E2749" s="6">
        <f>IF(AND(C2749&lt;&gt;"",D2749&lt;&gt;""),D2749-C2749,"")</f>
        <v>0</v>
      </c>
      <c r="F2749" s="4" t="s">
        <v>3886</v>
      </c>
      <c r="G2749" s="4" t="s">
        <v>3887</v>
      </c>
      <c r="H2749" s="4" t="s">
        <v>32</v>
      </c>
      <c r="I2749" s="4" t="s">
        <v>33</v>
      </c>
      <c r="J2749" s="4">
        <v>0</v>
      </c>
      <c r="K2749" s="4">
        <v>0</v>
      </c>
      <c r="L2749" s="4">
        <f>J2749+K2749</f>
        <v>0</v>
      </c>
      <c r="M2749" s="4" t="s">
        <v>1559</v>
      </c>
      <c r="N2749" s="4"/>
      <c r="O2749" s="4">
        <v>1</v>
      </c>
      <c r="P2749" s="4" t="s">
        <v>135</v>
      </c>
      <c r="Q2749" s="4"/>
      <c r="R2749" s="7">
        <v>76000</v>
      </c>
      <c r="S2749" s="7">
        <v>0</v>
      </c>
      <c r="T2749" s="7">
        <f>R2749-S2749</f>
        <v>0</v>
      </c>
      <c r="U2749" s="7">
        <f>T2749*O2749</f>
        <v>0</v>
      </c>
    </row>
    <row r="2750" spans="1:21">
      <c r="A2750" s="4" t="s">
        <v>3885</v>
      </c>
      <c r="B2750" s="4" t="s">
        <v>39</v>
      </c>
      <c r="C2750" s="5">
        <v>45958.22983796296</v>
      </c>
      <c r="D2750" s="5">
        <v>45958</v>
      </c>
      <c r="E2750" s="6">
        <f>IF(AND(C2750&lt;&gt;"",D2750&lt;&gt;""),D2750-C2750,"")</f>
        <v>0</v>
      </c>
      <c r="F2750" s="4" t="s">
        <v>3886</v>
      </c>
      <c r="G2750" s="4" t="s">
        <v>3887</v>
      </c>
      <c r="H2750" s="4" t="s">
        <v>32</v>
      </c>
      <c r="I2750" s="4" t="s">
        <v>33</v>
      </c>
      <c r="J2750" s="4">
        <v>0</v>
      </c>
      <c r="K2750" s="4">
        <v>0</v>
      </c>
      <c r="L2750" s="4">
        <f>J2750+K2750</f>
        <v>0</v>
      </c>
      <c r="M2750" s="4" t="s">
        <v>3894</v>
      </c>
      <c r="N2750" s="4"/>
      <c r="O2750" s="4">
        <v>1</v>
      </c>
      <c r="P2750" s="4" t="s">
        <v>135</v>
      </c>
      <c r="Q2750" s="4"/>
      <c r="R2750" s="7">
        <v>44000</v>
      </c>
      <c r="S2750" s="7">
        <v>0</v>
      </c>
      <c r="T2750" s="7">
        <f>R2750-S2750</f>
        <v>0</v>
      </c>
      <c r="U2750" s="7">
        <f>T2750*O2750</f>
        <v>0</v>
      </c>
    </row>
    <row r="2751" spans="1:21">
      <c r="A2751" s="4" t="s">
        <v>3885</v>
      </c>
      <c r="B2751" s="4" t="s">
        <v>39</v>
      </c>
      <c r="C2751" s="5">
        <v>45958.22983796296</v>
      </c>
      <c r="D2751" s="5">
        <v>45958</v>
      </c>
      <c r="E2751" s="6">
        <f>IF(AND(C2751&lt;&gt;"",D2751&lt;&gt;""),D2751-C2751,"")</f>
        <v>0</v>
      </c>
      <c r="F2751" s="4" t="s">
        <v>3886</v>
      </c>
      <c r="G2751" s="4" t="s">
        <v>3887</v>
      </c>
      <c r="H2751" s="4" t="s">
        <v>32</v>
      </c>
      <c r="I2751" s="4" t="s">
        <v>33</v>
      </c>
      <c r="J2751" s="4">
        <v>0</v>
      </c>
      <c r="K2751" s="4">
        <v>0</v>
      </c>
      <c r="L2751" s="4">
        <f>J2751+K2751</f>
        <v>0</v>
      </c>
      <c r="M2751" s="4" t="s">
        <v>1420</v>
      </c>
      <c r="N2751" s="4"/>
      <c r="O2751" s="4">
        <v>1</v>
      </c>
      <c r="P2751" s="4" t="s">
        <v>135</v>
      </c>
      <c r="Q2751" s="4"/>
      <c r="R2751" s="7">
        <v>108000</v>
      </c>
      <c r="S2751" s="7">
        <v>0</v>
      </c>
      <c r="T2751" s="7">
        <f>R2751-S2751</f>
        <v>0</v>
      </c>
      <c r="U2751" s="7">
        <f>T2751*O2751</f>
        <v>0</v>
      </c>
    </row>
    <row r="2752" spans="1:21">
      <c r="A2752" s="4" t="s">
        <v>3885</v>
      </c>
      <c r="B2752" s="4" t="s">
        <v>39</v>
      </c>
      <c r="C2752" s="5">
        <v>45958.22983796296</v>
      </c>
      <c r="D2752" s="5">
        <v>45958</v>
      </c>
      <c r="E2752" s="6">
        <f>IF(AND(C2752&lt;&gt;"",D2752&lt;&gt;""),D2752-C2752,"")</f>
        <v>0</v>
      </c>
      <c r="F2752" s="4" t="s">
        <v>3886</v>
      </c>
      <c r="G2752" s="4" t="s">
        <v>3887</v>
      </c>
      <c r="H2752" s="4" t="s">
        <v>32</v>
      </c>
      <c r="I2752" s="4" t="s">
        <v>33</v>
      </c>
      <c r="J2752" s="4">
        <v>0</v>
      </c>
      <c r="K2752" s="4">
        <v>0</v>
      </c>
      <c r="L2752" s="4">
        <f>J2752+K2752</f>
        <v>0</v>
      </c>
      <c r="M2752" s="4" t="s">
        <v>1335</v>
      </c>
      <c r="N2752" s="4"/>
      <c r="O2752" s="4">
        <v>1</v>
      </c>
      <c r="P2752" s="4" t="s">
        <v>135</v>
      </c>
      <c r="Q2752" s="4"/>
      <c r="R2752" s="7">
        <v>45000</v>
      </c>
      <c r="S2752" s="7">
        <v>0</v>
      </c>
      <c r="T2752" s="7">
        <f>R2752-S2752</f>
        <v>0</v>
      </c>
      <c r="U2752" s="7">
        <f>T2752*O2752</f>
        <v>0</v>
      </c>
    </row>
    <row r="2753" spans="1:21">
      <c r="A2753" s="4" t="s">
        <v>3885</v>
      </c>
      <c r="B2753" s="4" t="s">
        <v>39</v>
      </c>
      <c r="C2753" s="5">
        <v>45958.22983796296</v>
      </c>
      <c r="D2753" s="5">
        <v>45958</v>
      </c>
      <c r="E2753" s="6">
        <f>IF(AND(C2753&lt;&gt;"",D2753&lt;&gt;""),D2753-C2753,"")</f>
        <v>0</v>
      </c>
      <c r="F2753" s="4" t="s">
        <v>3886</v>
      </c>
      <c r="G2753" s="4" t="s">
        <v>3887</v>
      </c>
      <c r="H2753" s="4" t="s">
        <v>32</v>
      </c>
      <c r="I2753" s="4" t="s">
        <v>33</v>
      </c>
      <c r="J2753" s="4">
        <v>0</v>
      </c>
      <c r="K2753" s="4">
        <v>0</v>
      </c>
      <c r="L2753" s="4">
        <f>J2753+K2753</f>
        <v>0</v>
      </c>
      <c r="M2753" s="4" t="s">
        <v>3895</v>
      </c>
      <c r="N2753" s="4"/>
      <c r="O2753" s="4">
        <v>1</v>
      </c>
      <c r="P2753" s="4" t="s">
        <v>135</v>
      </c>
      <c r="Q2753" s="4"/>
      <c r="R2753" s="7">
        <v>44000</v>
      </c>
      <c r="S2753" s="7">
        <v>0</v>
      </c>
      <c r="T2753" s="7">
        <f>R2753-S2753</f>
        <v>0</v>
      </c>
      <c r="U2753" s="7">
        <f>T2753*O2753</f>
        <v>0</v>
      </c>
    </row>
    <row r="2754" spans="1:21">
      <c r="A2754" s="4" t="s">
        <v>3885</v>
      </c>
      <c r="B2754" s="4" t="s">
        <v>39</v>
      </c>
      <c r="C2754" s="5">
        <v>45958.22983796296</v>
      </c>
      <c r="D2754" s="5">
        <v>45958</v>
      </c>
      <c r="E2754" s="6">
        <f>IF(AND(C2754&lt;&gt;"",D2754&lt;&gt;""),D2754-C2754,"")</f>
        <v>0</v>
      </c>
      <c r="F2754" s="4" t="s">
        <v>3886</v>
      </c>
      <c r="G2754" s="4" t="s">
        <v>3887</v>
      </c>
      <c r="H2754" s="4" t="s">
        <v>32</v>
      </c>
      <c r="I2754" s="4" t="s">
        <v>33</v>
      </c>
      <c r="J2754" s="4">
        <v>0</v>
      </c>
      <c r="K2754" s="4">
        <v>0</v>
      </c>
      <c r="L2754" s="4">
        <f>J2754+K2754</f>
        <v>0</v>
      </c>
      <c r="M2754" s="4" t="s">
        <v>3896</v>
      </c>
      <c r="N2754" s="4"/>
      <c r="O2754" s="4">
        <v>1</v>
      </c>
      <c r="P2754" s="4" t="s">
        <v>135</v>
      </c>
      <c r="Q2754" s="4"/>
      <c r="R2754" s="7">
        <v>114000</v>
      </c>
      <c r="S2754" s="7">
        <v>0</v>
      </c>
      <c r="T2754" s="7">
        <f>R2754-S2754</f>
        <v>0</v>
      </c>
      <c r="U2754" s="7">
        <f>T2754*O2754</f>
        <v>0</v>
      </c>
    </row>
    <row r="2755" spans="1:21">
      <c r="A2755" s="4" t="s">
        <v>3885</v>
      </c>
      <c r="B2755" s="4" t="s">
        <v>39</v>
      </c>
      <c r="C2755" s="5">
        <v>45958.22983796296</v>
      </c>
      <c r="D2755" s="5">
        <v>45958</v>
      </c>
      <c r="E2755" s="6">
        <f>IF(AND(C2755&lt;&gt;"",D2755&lt;&gt;""),D2755-C2755,"")</f>
        <v>0</v>
      </c>
      <c r="F2755" s="4" t="s">
        <v>3886</v>
      </c>
      <c r="G2755" s="4" t="s">
        <v>3887</v>
      </c>
      <c r="H2755" s="4" t="s">
        <v>32</v>
      </c>
      <c r="I2755" s="4" t="s">
        <v>33</v>
      </c>
      <c r="J2755" s="4">
        <v>0</v>
      </c>
      <c r="K2755" s="4">
        <v>0</v>
      </c>
      <c r="L2755" s="4">
        <f>J2755+K2755</f>
        <v>0</v>
      </c>
      <c r="M2755" s="4" t="s">
        <v>1726</v>
      </c>
      <c r="N2755" s="4"/>
      <c r="O2755" s="4">
        <v>1</v>
      </c>
      <c r="P2755" s="4" t="s">
        <v>135</v>
      </c>
      <c r="Q2755" s="4"/>
      <c r="R2755" s="7">
        <v>64000</v>
      </c>
      <c r="S2755" s="7">
        <v>0</v>
      </c>
      <c r="T2755" s="7">
        <f>R2755-S2755</f>
        <v>0</v>
      </c>
      <c r="U2755" s="7">
        <f>T2755*O2755</f>
        <v>0</v>
      </c>
    </row>
    <row r="2756" spans="1:21">
      <c r="A2756" s="4" t="s">
        <v>3885</v>
      </c>
      <c r="B2756" s="4" t="s">
        <v>39</v>
      </c>
      <c r="C2756" s="5">
        <v>45958.22983796296</v>
      </c>
      <c r="D2756" s="5">
        <v>45958</v>
      </c>
      <c r="E2756" s="6">
        <f>IF(AND(C2756&lt;&gt;"",D2756&lt;&gt;""),D2756-C2756,"")</f>
        <v>0</v>
      </c>
      <c r="F2756" s="4" t="s">
        <v>3886</v>
      </c>
      <c r="G2756" s="4" t="s">
        <v>3887</v>
      </c>
      <c r="H2756" s="4" t="s">
        <v>32</v>
      </c>
      <c r="I2756" s="4" t="s">
        <v>33</v>
      </c>
      <c r="J2756" s="4">
        <v>0</v>
      </c>
      <c r="K2756" s="4">
        <v>0</v>
      </c>
      <c r="L2756" s="4">
        <f>J2756+K2756</f>
        <v>0</v>
      </c>
      <c r="M2756" s="4" t="s">
        <v>3897</v>
      </c>
      <c r="N2756" s="4"/>
      <c r="O2756" s="4">
        <v>1</v>
      </c>
      <c r="P2756" s="4" t="s">
        <v>135</v>
      </c>
      <c r="Q2756" s="4"/>
      <c r="R2756" s="7">
        <v>135000</v>
      </c>
      <c r="S2756" s="7">
        <v>0</v>
      </c>
      <c r="T2756" s="7">
        <f>R2756-S2756</f>
        <v>0</v>
      </c>
      <c r="U2756" s="7">
        <f>T2756*O2756</f>
        <v>0</v>
      </c>
    </row>
    <row r="2757" spans="1:21">
      <c r="A2757" s="4" t="s">
        <v>3885</v>
      </c>
      <c r="B2757" s="4" t="s">
        <v>39</v>
      </c>
      <c r="C2757" s="5">
        <v>45958.22983796296</v>
      </c>
      <c r="D2757" s="5">
        <v>45958</v>
      </c>
      <c r="E2757" s="6">
        <f>IF(AND(C2757&lt;&gt;"",D2757&lt;&gt;""),D2757-C2757,"")</f>
        <v>0</v>
      </c>
      <c r="F2757" s="4" t="s">
        <v>3886</v>
      </c>
      <c r="G2757" s="4" t="s">
        <v>3887</v>
      </c>
      <c r="H2757" s="4" t="s">
        <v>32</v>
      </c>
      <c r="I2757" s="4" t="s">
        <v>33</v>
      </c>
      <c r="J2757" s="4">
        <v>0</v>
      </c>
      <c r="K2757" s="4">
        <v>0</v>
      </c>
      <c r="L2757" s="4">
        <f>J2757+K2757</f>
        <v>0</v>
      </c>
      <c r="M2757" s="4" t="s">
        <v>3898</v>
      </c>
      <c r="N2757" s="4"/>
      <c r="O2757" s="4">
        <v>1</v>
      </c>
      <c r="P2757" s="4" t="s">
        <v>135</v>
      </c>
      <c r="Q2757" s="4"/>
      <c r="R2757" s="7">
        <v>44000</v>
      </c>
      <c r="S2757" s="7">
        <v>0</v>
      </c>
      <c r="T2757" s="7">
        <f>R2757-S2757</f>
        <v>0</v>
      </c>
      <c r="U2757" s="7">
        <f>T2757*O2757</f>
        <v>0</v>
      </c>
    </row>
    <row r="2758" spans="1:21">
      <c r="A2758" s="4" t="s">
        <v>3885</v>
      </c>
      <c r="B2758" s="4" t="s">
        <v>39</v>
      </c>
      <c r="C2758" s="5">
        <v>45958.22983796296</v>
      </c>
      <c r="D2758" s="5">
        <v>45958</v>
      </c>
      <c r="E2758" s="6">
        <f>IF(AND(C2758&lt;&gt;"",D2758&lt;&gt;""),D2758-C2758,"")</f>
        <v>0</v>
      </c>
      <c r="F2758" s="4" t="s">
        <v>3886</v>
      </c>
      <c r="G2758" s="4" t="s">
        <v>3887</v>
      </c>
      <c r="H2758" s="4" t="s">
        <v>32</v>
      </c>
      <c r="I2758" s="4" t="s">
        <v>33</v>
      </c>
      <c r="J2758" s="4">
        <v>0</v>
      </c>
      <c r="K2758" s="4">
        <v>0</v>
      </c>
      <c r="L2758" s="4">
        <f>J2758+K2758</f>
        <v>0</v>
      </c>
      <c r="M2758" s="4" t="s">
        <v>3899</v>
      </c>
      <c r="N2758" s="4"/>
      <c r="O2758" s="4">
        <v>1</v>
      </c>
      <c r="P2758" s="4" t="s">
        <v>135</v>
      </c>
      <c r="Q2758" s="4"/>
      <c r="R2758" s="7">
        <v>145000</v>
      </c>
      <c r="S2758" s="7">
        <v>0</v>
      </c>
      <c r="T2758" s="7">
        <f>R2758-S2758</f>
        <v>0</v>
      </c>
      <c r="U2758" s="7">
        <f>T2758*O2758</f>
        <v>0</v>
      </c>
    </row>
    <row r="2759" spans="1:21">
      <c r="A2759" s="4" t="s">
        <v>3885</v>
      </c>
      <c r="B2759" s="4" t="s">
        <v>39</v>
      </c>
      <c r="C2759" s="5">
        <v>45958.22983796296</v>
      </c>
      <c r="D2759" s="5">
        <v>45958</v>
      </c>
      <c r="E2759" s="6">
        <f>IF(AND(C2759&lt;&gt;"",D2759&lt;&gt;""),D2759-C2759,"")</f>
        <v>0</v>
      </c>
      <c r="F2759" s="4" t="s">
        <v>3886</v>
      </c>
      <c r="G2759" s="4" t="s">
        <v>3887</v>
      </c>
      <c r="H2759" s="4" t="s">
        <v>32</v>
      </c>
      <c r="I2759" s="4" t="s">
        <v>33</v>
      </c>
      <c r="J2759" s="4">
        <v>0</v>
      </c>
      <c r="K2759" s="4">
        <v>0</v>
      </c>
      <c r="L2759" s="4">
        <f>J2759+K2759</f>
        <v>0</v>
      </c>
      <c r="M2759" s="4" t="s">
        <v>1419</v>
      </c>
      <c r="N2759" s="4"/>
      <c r="O2759" s="4">
        <v>1</v>
      </c>
      <c r="P2759" s="4" t="s">
        <v>135</v>
      </c>
      <c r="Q2759" s="4"/>
      <c r="R2759" s="7">
        <v>160000</v>
      </c>
      <c r="S2759" s="7">
        <v>0</v>
      </c>
      <c r="T2759" s="7">
        <f>R2759-S2759</f>
        <v>0</v>
      </c>
      <c r="U2759" s="7">
        <f>T2759*O2759</f>
        <v>0</v>
      </c>
    </row>
    <row r="2760" spans="1:21">
      <c r="A2760" s="4" t="s">
        <v>3885</v>
      </c>
      <c r="B2760" s="4" t="s">
        <v>39</v>
      </c>
      <c r="C2760" s="5">
        <v>45958.22983796296</v>
      </c>
      <c r="D2760" s="5">
        <v>45958</v>
      </c>
      <c r="E2760" s="6">
        <f>IF(AND(C2760&lt;&gt;"",D2760&lt;&gt;""),D2760-C2760,"")</f>
        <v>0</v>
      </c>
      <c r="F2760" s="4" t="s">
        <v>3886</v>
      </c>
      <c r="G2760" s="4" t="s">
        <v>3887</v>
      </c>
      <c r="H2760" s="4" t="s">
        <v>32</v>
      </c>
      <c r="I2760" s="4" t="s">
        <v>33</v>
      </c>
      <c r="J2760" s="4">
        <v>0</v>
      </c>
      <c r="K2760" s="4">
        <v>0</v>
      </c>
      <c r="L2760" s="4">
        <f>J2760+K2760</f>
        <v>0</v>
      </c>
      <c r="M2760" s="4" t="s">
        <v>3900</v>
      </c>
      <c r="N2760" s="4"/>
      <c r="O2760" s="4">
        <v>1</v>
      </c>
      <c r="P2760" s="4" t="s">
        <v>135</v>
      </c>
      <c r="Q2760" s="4"/>
      <c r="R2760" s="7">
        <v>53000</v>
      </c>
      <c r="S2760" s="7">
        <v>0</v>
      </c>
      <c r="T2760" s="7">
        <f>R2760-S2760</f>
        <v>0</v>
      </c>
      <c r="U2760" s="7">
        <f>T2760*O2760</f>
        <v>0</v>
      </c>
    </row>
    <row r="2761" spans="1:21">
      <c r="A2761" s="4" t="s">
        <v>3885</v>
      </c>
      <c r="B2761" s="4" t="s">
        <v>39</v>
      </c>
      <c r="C2761" s="5">
        <v>45958.22983796296</v>
      </c>
      <c r="D2761" s="5">
        <v>45958</v>
      </c>
      <c r="E2761" s="6">
        <f>IF(AND(C2761&lt;&gt;"",D2761&lt;&gt;""),D2761-C2761,"")</f>
        <v>0</v>
      </c>
      <c r="F2761" s="4" t="s">
        <v>3886</v>
      </c>
      <c r="G2761" s="4" t="s">
        <v>3887</v>
      </c>
      <c r="H2761" s="4" t="s">
        <v>32</v>
      </c>
      <c r="I2761" s="4" t="s">
        <v>33</v>
      </c>
      <c r="J2761" s="4">
        <v>0</v>
      </c>
      <c r="K2761" s="4">
        <v>0</v>
      </c>
      <c r="L2761" s="4">
        <f>J2761+K2761</f>
        <v>0</v>
      </c>
      <c r="M2761" s="4" t="s">
        <v>3840</v>
      </c>
      <c r="N2761" s="4"/>
      <c r="O2761" s="4">
        <v>1</v>
      </c>
      <c r="P2761" s="4" t="s">
        <v>135</v>
      </c>
      <c r="Q2761" s="4"/>
      <c r="R2761" s="7">
        <v>65000</v>
      </c>
      <c r="S2761" s="7">
        <v>0</v>
      </c>
      <c r="T2761" s="7">
        <f>R2761-S2761</f>
        <v>0</v>
      </c>
      <c r="U2761" s="7">
        <f>T2761*O2761</f>
        <v>0</v>
      </c>
    </row>
    <row r="2762" spans="1:21">
      <c r="A2762" s="4" t="s">
        <v>3885</v>
      </c>
      <c r="B2762" s="4" t="s">
        <v>39</v>
      </c>
      <c r="C2762" s="5">
        <v>45958.22983796296</v>
      </c>
      <c r="D2762" s="5">
        <v>45958</v>
      </c>
      <c r="E2762" s="6">
        <f>IF(AND(C2762&lt;&gt;"",D2762&lt;&gt;""),D2762-C2762,"")</f>
        <v>0</v>
      </c>
      <c r="F2762" s="4" t="s">
        <v>3886</v>
      </c>
      <c r="G2762" s="4" t="s">
        <v>3887</v>
      </c>
      <c r="H2762" s="4" t="s">
        <v>32</v>
      </c>
      <c r="I2762" s="4" t="s">
        <v>33</v>
      </c>
      <c r="J2762" s="4">
        <v>0</v>
      </c>
      <c r="K2762" s="4">
        <v>0</v>
      </c>
      <c r="L2762" s="4">
        <f>J2762+K2762</f>
        <v>0</v>
      </c>
      <c r="M2762" s="4" t="s">
        <v>1840</v>
      </c>
      <c r="N2762" s="4"/>
      <c r="O2762" s="4">
        <v>1</v>
      </c>
      <c r="P2762" s="4" t="s">
        <v>135</v>
      </c>
      <c r="Q2762" s="4"/>
      <c r="R2762" s="7">
        <v>153000</v>
      </c>
      <c r="S2762" s="7">
        <v>0</v>
      </c>
      <c r="T2762" s="7">
        <f>R2762-S2762</f>
        <v>0</v>
      </c>
      <c r="U2762" s="7">
        <f>T2762*O2762</f>
        <v>0</v>
      </c>
    </row>
    <row r="2763" spans="1:21">
      <c r="A2763" s="4" t="s">
        <v>3885</v>
      </c>
      <c r="B2763" s="4" t="s">
        <v>39</v>
      </c>
      <c r="C2763" s="5">
        <v>45958.22983796296</v>
      </c>
      <c r="D2763" s="5">
        <v>45958</v>
      </c>
      <c r="E2763" s="6">
        <f>IF(AND(C2763&lt;&gt;"",D2763&lt;&gt;""),D2763-C2763,"")</f>
        <v>0</v>
      </c>
      <c r="F2763" s="4" t="s">
        <v>3886</v>
      </c>
      <c r="G2763" s="4" t="s">
        <v>3887</v>
      </c>
      <c r="H2763" s="4" t="s">
        <v>32</v>
      </c>
      <c r="I2763" s="4" t="s">
        <v>33</v>
      </c>
      <c r="J2763" s="4">
        <v>0</v>
      </c>
      <c r="K2763" s="4">
        <v>0</v>
      </c>
      <c r="L2763" s="4">
        <f>J2763+K2763</f>
        <v>0</v>
      </c>
      <c r="M2763" s="4" t="s">
        <v>3803</v>
      </c>
      <c r="N2763" s="4"/>
      <c r="O2763" s="4">
        <v>1</v>
      </c>
      <c r="P2763" s="4" t="s">
        <v>135</v>
      </c>
      <c r="Q2763" s="4"/>
      <c r="R2763" s="7">
        <v>114000</v>
      </c>
      <c r="S2763" s="7">
        <v>0</v>
      </c>
      <c r="T2763" s="7">
        <f>R2763-S2763</f>
        <v>0</v>
      </c>
      <c r="U2763" s="7">
        <f>T2763*O2763</f>
        <v>0</v>
      </c>
    </row>
    <row r="2764" spans="1:21">
      <c r="A2764" s="4" t="s">
        <v>3885</v>
      </c>
      <c r="B2764" s="4" t="s">
        <v>39</v>
      </c>
      <c r="C2764" s="5">
        <v>45958.22983796296</v>
      </c>
      <c r="D2764" s="5">
        <v>45958</v>
      </c>
      <c r="E2764" s="6">
        <f>IF(AND(C2764&lt;&gt;"",D2764&lt;&gt;""),D2764-C2764,"")</f>
        <v>0</v>
      </c>
      <c r="F2764" s="4" t="s">
        <v>3886</v>
      </c>
      <c r="G2764" s="4" t="s">
        <v>3887</v>
      </c>
      <c r="H2764" s="4" t="s">
        <v>32</v>
      </c>
      <c r="I2764" s="4" t="s">
        <v>33</v>
      </c>
      <c r="J2764" s="4">
        <v>0</v>
      </c>
      <c r="K2764" s="4">
        <v>0</v>
      </c>
      <c r="L2764" s="4">
        <f>J2764+K2764</f>
        <v>0</v>
      </c>
      <c r="M2764" s="4" t="s">
        <v>1727</v>
      </c>
      <c r="N2764" s="4"/>
      <c r="O2764" s="4">
        <v>1</v>
      </c>
      <c r="P2764" s="4" t="s">
        <v>135</v>
      </c>
      <c r="Q2764" s="4"/>
      <c r="R2764" s="7">
        <v>64000</v>
      </c>
      <c r="S2764" s="7">
        <v>0</v>
      </c>
      <c r="T2764" s="7">
        <f>R2764-S2764</f>
        <v>0</v>
      </c>
      <c r="U2764" s="7">
        <f>T2764*O2764</f>
        <v>0</v>
      </c>
    </row>
    <row r="2765" spans="1:21">
      <c r="A2765" s="4" t="s">
        <v>3885</v>
      </c>
      <c r="B2765" s="4" t="s">
        <v>39</v>
      </c>
      <c r="C2765" s="5">
        <v>45958.22983796296</v>
      </c>
      <c r="D2765" s="5">
        <v>45958</v>
      </c>
      <c r="E2765" s="6">
        <f>IF(AND(C2765&lt;&gt;"",D2765&lt;&gt;""),D2765-C2765,"")</f>
        <v>0</v>
      </c>
      <c r="F2765" s="4" t="s">
        <v>3886</v>
      </c>
      <c r="G2765" s="4" t="s">
        <v>3887</v>
      </c>
      <c r="H2765" s="4" t="s">
        <v>32</v>
      </c>
      <c r="I2765" s="4" t="s">
        <v>33</v>
      </c>
      <c r="J2765" s="4">
        <v>0</v>
      </c>
      <c r="K2765" s="4">
        <v>0</v>
      </c>
      <c r="L2765" s="4">
        <f>J2765+K2765</f>
        <v>0</v>
      </c>
      <c r="M2765" s="4" t="s">
        <v>3416</v>
      </c>
      <c r="N2765" s="4"/>
      <c r="O2765" s="4">
        <v>1</v>
      </c>
      <c r="P2765" s="4" t="s">
        <v>135</v>
      </c>
      <c r="Q2765" s="4"/>
      <c r="R2765" s="7">
        <v>163000</v>
      </c>
      <c r="S2765" s="7">
        <v>0</v>
      </c>
      <c r="T2765" s="7">
        <f>R2765-S2765</f>
        <v>0</v>
      </c>
      <c r="U2765" s="7">
        <f>T2765*O2765</f>
        <v>0</v>
      </c>
    </row>
    <row r="2766" spans="1:21">
      <c r="A2766" s="4" t="s">
        <v>3885</v>
      </c>
      <c r="B2766" s="4" t="s">
        <v>39</v>
      </c>
      <c r="C2766" s="5">
        <v>45958.22983796296</v>
      </c>
      <c r="D2766" s="5">
        <v>45958</v>
      </c>
      <c r="E2766" s="6">
        <f>IF(AND(C2766&lt;&gt;"",D2766&lt;&gt;""),D2766-C2766,"")</f>
        <v>0</v>
      </c>
      <c r="F2766" s="4" t="s">
        <v>3886</v>
      </c>
      <c r="G2766" s="4" t="s">
        <v>3887</v>
      </c>
      <c r="H2766" s="4" t="s">
        <v>32</v>
      </c>
      <c r="I2766" s="4" t="s">
        <v>33</v>
      </c>
      <c r="J2766" s="4">
        <v>0</v>
      </c>
      <c r="K2766" s="4">
        <v>0</v>
      </c>
      <c r="L2766" s="4">
        <f>J2766+K2766</f>
        <v>0</v>
      </c>
      <c r="M2766" s="4" t="s">
        <v>3901</v>
      </c>
      <c r="N2766" s="4"/>
      <c r="O2766" s="4">
        <v>1</v>
      </c>
      <c r="P2766" s="4" t="s">
        <v>135</v>
      </c>
      <c r="Q2766" s="4"/>
      <c r="R2766" s="7">
        <v>44000</v>
      </c>
      <c r="S2766" s="7">
        <v>0</v>
      </c>
      <c r="T2766" s="7">
        <f>R2766-S2766</f>
        <v>0</v>
      </c>
      <c r="U2766" s="7">
        <f>T2766*O2766</f>
        <v>0</v>
      </c>
    </row>
    <row r="2767" spans="1:21">
      <c r="A2767" s="4" t="s">
        <v>3885</v>
      </c>
      <c r="B2767" s="4" t="s">
        <v>39</v>
      </c>
      <c r="C2767" s="5">
        <v>45958.22983796296</v>
      </c>
      <c r="D2767" s="5">
        <v>45958</v>
      </c>
      <c r="E2767" s="6">
        <f>IF(AND(C2767&lt;&gt;"",D2767&lt;&gt;""),D2767-C2767,"")</f>
        <v>0</v>
      </c>
      <c r="F2767" s="4" t="s">
        <v>3886</v>
      </c>
      <c r="G2767" s="4" t="s">
        <v>3887</v>
      </c>
      <c r="H2767" s="4" t="s">
        <v>32</v>
      </c>
      <c r="I2767" s="4" t="s">
        <v>33</v>
      </c>
      <c r="J2767" s="4">
        <v>0</v>
      </c>
      <c r="K2767" s="4">
        <v>0</v>
      </c>
      <c r="L2767" s="4">
        <f>J2767+K2767</f>
        <v>0</v>
      </c>
      <c r="M2767" s="4" t="s">
        <v>3902</v>
      </c>
      <c r="N2767" s="4"/>
      <c r="O2767" s="4">
        <v>1</v>
      </c>
      <c r="P2767" s="4" t="s">
        <v>135</v>
      </c>
      <c r="Q2767" s="4"/>
      <c r="R2767" s="7">
        <v>121000</v>
      </c>
      <c r="S2767" s="7">
        <v>0</v>
      </c>
      <c r="T2767" s="7">
        <f>R2767-S2767</f>
        <v>0</v>
      </c>
      <c r="U2767" s="7">
        <f>T2767*O2767</f>
        <v>0</v>
      </c>
    </row>
    <row r="2768" spans="1:21">
      <c r="A2768" s="4" t="s">
        <v>3903</v>
      </c>
      <c r="B2768" s="4" t="s">
        <v>48</v>
      </c>
      <c r="C2768" s="5">
        <v>45958.23304398148</v>
      </c>
      <c r="D2768" s="5">
        <v>45961</v>
      </c>
      <c r="E2768" s="6">
        <f>IF(AND(C2768&lt;&gt;"",D2768&lt;&gt;""),D2768-C2768,"")</f>
        <v>0</v>
      </c>
      <c r="F2768" s="4" t="s">
        <v>1399</v>
      </c>
      <c r="G2768" s="4" t="s">
        <v>202</v>
      </c>
      <c r="H2768" s="4" t="s">
        <v>32</v>
      </c>
      <c r="I2768" s="4" t="s">
        <v>33</v>
      </c>
      <c r="J2768" s="4">
        <v>13</v>
      </c>
      <c r="K2768" s="4">
        <v>3</v>
      </c>
      <c r="L2768" s="4">
        <f>J2768+K2768</f>
        <v>0</v>
      </c>
      <c r="M2768" s="4"/>
      <c r="N2768" s="4"/>
      <c r="O2768" s="4">
        <v>0</v>
      </c>
      <c r="P2768" s="4"/>
      <c r="Q2768" s="4"/>
      <c r="R2768" s="7">
        <v>0</v>
      </c>
      <c r="S2768" s="7">
        <v>0</v>
      </c>
      <c r="T2768" s="7">
        <f>R2768-S2768</f>
        <v>0</v>
      </c>
      <c r="U2768" s="7">
        <f>T2768*O2768</f>
        <v>0</v>
      </c>
    </row>
    <row r="2769" spans="1:21">
      <c r="A2769" s="4" t="s">
        <v>3904</v>
      </c>
      <c r="B2769" s="4" t="s">
        <v>39</v>
      </c>
      <c r="C2769" s="5">
        <v>45958.2353125</v>
      </c>
      <c r="D2769" s="5">
        <v>45958</v>
      </c>
      <c r="E2769" s="6">
        <f>IF(AND(C2769&lt;&gt;"",D2769&lt;&gt;""),D2769-C2769,"")</f>
        <v>0</v>
      </c>
      <c r="F2769" s="4" t="s">
        <v>3905</v>
      </c>
      <c r="G2769" s="4" t="s">
        <v>3906</v>
      </c>
      <c r="H2769" s="4" t="s">
        <v>32</v>
      </c>
      <c r="I2769" s="4" t="s">
        <v>33</v>
      </c>
      <c r="J2769" s="4">
        <v>0</v>
      </c>
      <c r="K2769" s="4">
        <v>0</v>
      </c>
      <c r="L2769" s="4">
        <f>J2769+K2769</f>
        <v>0</v>
      </c>
      <c r="M2769" s="4" t="s">
        <v>1419</v>
      </c>
      <c r="N2769" s="4"/>
      <c r="O2769" s="4">
        <v>1</v>
      </c>
      <c r="P2769" s="4" t="s">
        <v>135</v>
      </c>
      <c r="Q2769" s="4"/>
      <c r="R2769" s="7">
        <v>160000</v>
      </c>
      <c r="S2769" s="7">
        <v>0</v>
      </c>
      <c r="T2769" s="7">
        <f>R2769-S2769</f>
        <v>0</v>
      </c>
      <c r="U2769" s="7">
        <f>T2769*O2769</f>
        <v>0</v>
      </c>
    </row>
    <row r="2770" spans="1:21">
      <c r="A2770" s="4" t="s">
        <v>3904</v>
      </c>
      <c r="B2770" s="4" t="s">
        <v>39</v>
      </c>
      <c r="C2770" s="5">
        <v>45958.2353125</v>
      </c>
      <c r="D2770" s="5">
        <v>45958</v>
      </c>
      <c r="E2770" s="6">
        <f>IF(AND(C2770&lt;&gt;"",D2770&lt;&gt;""),D2770-C2770,"")</f>
        <v>0</v>
      </c>
      <c r="F2770" s="4" t="s">
        <v>3905</v>
      </c>
      <c r="G2770" s="4" t="s">
        <v>3906</v>
      </c>
      <c r="H2770" s="4" t="s">
        <v>32</v>
      </c>
      <c r="I2770" s="4" t="s">
        <v>33</v>
      </c>
      <c r="J2770" s="4">
        <v>0</v>
      </c>
      <c r="K2770" s="4">
        <v>0</v>
      </c>
      <c r="L2770" s="4">
        <f>J2770+K2770</f>
        <v>0</v>
      </c>
      <c r="M2770" s="4" t="s">
        <v>915</v>
      </c>
      <c r="N2770" s="4"/>
      <c r="O2770" s="4">
        <v>1</v>
      </c>
      <c r="P2770" s="4" t="s">
        <v>135</v>
      </c>
      <c r="Q2770" s="4"/>
      <c r="R2770" s="7">
        <v>50000</v>
      </c>
      <c r="S2770" s="7">
        <v>0</v>
      </c>
      <c r="T2770" s="7">
        <f>R2770-S2770</f>
        <v>0</v>
      </c>
      <c r="U2770" s="7">
        <f>T2770*O2770</f>
        <v>0</v>
      </c>
    </row>
    <row r="2771" spans="1:21">
      <c r="A2771" s="4" t="s">
        <v>3904</v>
      </c>
      <c r="B2771" s="4" t="s">
        <v>39</v>
      </c>
      <c r="C2771" s="5">
        <v>45958.2353125</v>
      </c>
      <c r="D2771" s="5">
        <v>45958</v>
      </c>
      <c r="E2771" s="6">
        <f>IF(AND(C2771&lt;&gt;"",D2771&lt;&gt;""),D2771-C2771,"")</f>
        <v>0</v>
      </c>
      <c r="F2771" s="4" t="s">
        <v>3905</v>
      </c>
      <c r="G2771" s="4" t="s">
        <v>3906</v>
      </c>
      <c r="H2771" s="4" t="s">
        <v>32</v>
      </c>
      <c r="I2771" s="4" t="s">
        <v>33</v>
      </c>
      <c r="J2771" s="4">
        <v>0</v>
      </c>
      <c r="K2771" s="4">
        <v>0</v>
      </c>
      <c r="L2771" s="4">
        <f>J2771+K2771</f>
        <v>0</v>
      </c>
      <c r="M2771" s="4" t="s">
        <v>3907</v>
      </c>
      <c r="N2771" s="4"/>
      <c r="O2771" s="4">
        <v>1</v>
      </c>
      <c r="P2771" s="4" t="s">
        <v>135</v>
      </c>
      <c r="Q2771" s="4"/>
      <c r="R2771" s="7">
        <v>153000</v>
      </c>
      <c r="S2771" s="7">
        <v>0</v>
      </c>
      <c r="T2771" s="7">
        <f>R2771-S2771</f>
        <v>0</v>
      </c>
      <c r="U2771" s="7">
        <f>T2771*O2771</f>
        <v>0</v>
      </c>
    </row>
    <row r="2772" spans="1:21">
      <c r="A2772" s="4" t="s">
        <v>3904</v>
      </c>
      <c r="B2772" s="4" t="s">
        <v>39</v>
      </c>
      <c r="C2772" s="5">
        <v>45958.2353125</v>
      </c>
      <c r="D2772" s="5">
        <v>45958</v>
      </c>
      <c r="E2772" s="6">
        <f>IF(AND(C2772&lt;&gt;"",D2772&lt;&gt;""),D2772-C2772,"")</f>
        <v>0</v>
      </c>
      <c r="F2772" s="4" t="s">
        <v>3905</v>
      </c>
      <c r="G2772" s="4" t="s">
        <v>3906</v>
      </c>
      <c r="H2772" s="4" t="s">
        <v>32</v>
      </c>
      <c r="I2772" s="4" t="s">
        <v>33</v>
      </c>
      <c r="J2772" s="4">
        <v>0</v>
      </c>
      <c r="K2772" s="4">
        <v>0</v>
      </c>
      <c r="L2772" s="4">
        <f>J2772+K2772</f>
        <v>0</v>
      </c>
      <c r="M2772" s="4" t="s">
        <v>1838</v>
      </c>
      <c r="N2772" s="4"/>
      <c r="O2772" s="4">
        <v>1</v>
      </c>
      <c r="P2772" s="4" t="s">
        <v>135</v>
      </c>
      <c r="Q2772" s="4"/>
      <c r="R2772" s="7">
        <v>173000</v>
      </c>
      <c r="S2772" s="7">
        <v>0</v>
      </c>
      <c r="T2772" s="7">
        <f>R2772-S2772</f>
        <v>0</v>
      </c>
      <c r="U2772" s="7">
        <f>T2772*O2772</f>
        <v>0</v>
      </c>
    </row>
    <row r="2773" spans="1:21">
      <c r="A2773" s="4" t="s">
        <v>3904</v>
      </c>
      <c r="B2773" s="4" t="s">
        <v>39</v>
      </c>
      <c r="C2773" s="5">
        <v>45958.2353125</v>
      </c>
      <c r="D2773" s="5">
        <v>45958</v>
      </c>
      <c r="E2773" s="6">
        <f>IF(AND(C2773&lt;&gt;"",D2773&lt;&gt;""),D2773-C2773,"")</f>
        <v>0</v>
      </c>
      <c r="F2773" s="4" t="s">
        <v>3905</v>
      </c>
      <c r="G2773" s="4" t="s">
        <v>3906</v>
      </c>
      <c r="H2773" s="4" t="s">
        <v>32</v>
      </c>
      <c r="I2773" s="4" t="s">
        <v>33</v>
      </c>
      <c r="J2773" s="4">
        <v>0</v>
      </c>
      <c r="K2773" s="4">
        <v>0</v>
      </c>
      <c r="L2773" s="4">
        <f>J2773+K2773</f>
        <v>0</v>
      </c>
      <c r="M2773" s="4" t="s">
        <v>3908</v>
      </c>
      <c r="N2773" s="4"/>
      <c r="O2773" s="4">
        <v>1</v>
      </c>
      <c r="P2773" s="4" t="s">
        <v>135</v>
      </c>
      <c r="Q2773" s="4"/>
      <c r="R2773" s="7">
        <v>64000</v>
      </c>
      <c r="S2773" s="7">
        <v>0</v>
      </c>
      <c r="T2773" s="7">
        <f>R2773-S2773</f>
        <v>0</v>
      </c>
      <c r="U2773" s="7">
        <f>T2773*O2773</f>
        <v>0</v>
      </c>
    </row>
    <row r="2774" spans="1:21">
      <c r="A2774" s="4" t="s">
        <v>3904</v>
      </c>
      <c r="B2774" s="4" t="s">
        <v>39</v>
      </c>
      <c r="C2774" s="5">
        <v>45958.2353125</v>
      </c>
      <c r="D2774" s="5">
        <v>45958</v>
      </c>
      <c r="E2774" s="6">
        <f>IF(AND(C2774&lt;&gt;"",D2774&lt;&gt;""),D2774-C2774,"")</f>
        <v>0</v>
      </c>
      <c r="F2774" s="4" t="s">
        <v>3905</v>
      </c>
      <c r="G2774" s="4" t="s">
        <v>3906</v>
      </c>
      <c r="H2774" s="4" t="s">
        <v>32</v>
      </c>
      <c r="I2774" s="4" t="s">
        <v>33</v>
      </c>
      <c r="J2774" s="4">
        <v>0</v>
      </c>
      <c r="K2774" s="4">
        <v>0</v>
      </c>
      <c r="L2774" s="4">
        <f>J2774+K2774</f>
        <v>0</v>
      </c>
      <c r="M2774" s="4" t="s">
        <v>3909</v>
      </c>
      <c r="N2774" s="4"/>
      <c r="O2774" s="4">
        <v>1</v>
      </c>
      <c r="P2774" s="4" t="s">
        <v>135</v>
      </c>
      <c r="Q2774" s="4"/>
      <c r="R2774" s="7">
        <v>64000</v>
      </c>
      <c r="S2774" s="7">
        <v>0</v>
      </c>
      <c r="T2774" s="7">
        <f>R2774-S2774</f>
        <v>0</v>
      </c>
      <c r="U2774" s="7">
        <f>T2774*O2774</f>
        <v>0</v>
      </c>
    </row>
    <row r="2775" spans="1:21">
      <c r="A2775" s="4" t="s">
        <v>3904</v>
      </c>
      <c r="B2775" s="4" t="s">
        <v>39</v>
      </c>
      <c r="C2775" s="5">
        <v>45958.2353125</v>
      </c>
      <c r="D2775" s="5">
        <v>45958</v>
      </c>
      <c r="E2775" s="6">
        <f>IF(AND(C2775&lt;&gt;"",D2775&lt;&gt;""),D2775-C2775,"")</f>
        <v>0</v>
      </c>
      <c r="F2775" s="4" t="s">
        <v>3905</v>
      </c>
      <c r="G2775" s="4" t="s">
        <v>3906</v>
      </c>
      <c r="H2775" s="4" t="s">
        <v>32</v>
      </c>
      <c r="I2775" s="4" t="s">
        <v>33</v>
      </c>
      <c r="J2775" s="4">
        <v>0</v>
      </c>
      <c r="K2775" s="4">
        <v>0</v>
      </c>
      <c r="L2775" s="4">
        <f>J2775+K2775</f>
        <v>0</v>
      </c>
      <c r="M2775" s="4" t="s">
        <v>3910</v>
      </c>
      <c r="N2775" s="4"/>
      <c r="O2775" s="4">
        <v>1</v>
      </c>
      <c r="P2775" s="4" t="s">
        <v>135</v>
      </c>
      <c r="Q2775" s="4"/>
      <c r="R2775" s="7">
        <v>38000</v>
      </c>
      <c r="S2775" s="7">
        <v>0</v>
      </c>
      <c r="T2775" s="7">
        <f>R2775-S2775</f>
        <v>0</v>
      </c>
      <c r="U2775" s="7">
        <f>T2775*O2775</f>
        <v>0</v>
      </c>
    </row>
    <row r="2776" spans="1:21">
      <c r="A2776" s="4" t="s">
        <v>3904</v>
      </c>
      <c r="B2776" s="4" t="s">
        <v>39</v>
      </c>
      <c r="C2776" s="5">
        <v>45958.2353125</v>
      </c>
      <c r="D2776" s="5">
        <v>45958</v>
      </c>
      <c r="E2776" s="6">
        <f>IF(AND(C2776&lt;&gt;"",D2776&lt;&gt;""),D2776-C2776,"")</f>
        <v>0</v>
      </c>
      <c r="F2776" s="4" t="s">
        <v>3905</v>
      </c>
      <c r="G2776" s="4" t="s">
        <v>3906</v>
      </c>
      <c r="H2776" s="4" t="s">
        <v>32</v>
      </c>
      <c r="I2776" s="4" t="s">
        <v>33</v>
      </c>
      <c r="J2776" s="4">
        <v>0</v>
      </c>
      <c r="K2776" s="4">
        <v>0</v>
      </c>
      <c r="L2776" s="4">
        <f>J2776+K2776</f>
        <v>0</v>
      </c>
      <c r="M2776" s="4" t="s">
        <v>3416</v>
      </c>
      <c r="N2776" s="4"/>
      <c r="O2776" s="4">
        <v>1</v>
      </c>
      <c r="P2776" s="4" t="s">
        <v>135</v>
      </c>
      <c r="Q2776" s="4"/>
      <c r="R2776" s="7">
        <v>163000</v>
      </c>
      <c r="S2776" s="7">
        <v>0</v>
      </c>
      <c r="T2776" s="7">
        <f>R2776-S2776</f>
        <v>0</v>
      </c>
      <c r="U2776" s="7">
        <f>T2776*O2776</f>
        <v>0</v>
      </c>
    </row>
    <row r="2777" spans="1:21">
      <c r="A2777" s="4" t="s">
        <v>3904</v>
      </c>
      <c r="B2777" s="4" t="s">
        <v>39</v>
      </c>
      <c r="C2777" s="5">
        <v>45958.2353125</v>
      </c>
      <c r="D2777" s="5">
        <v>45958</v>
      </c>
      <c r="E2777" s="6">
        <f>IF(AND(C2777&lt;&gt;"",D2777&lt;&gt;""),D2777-C2777,"")</f>
        <v>0</v>
      </c>
      <c r="F2777" s="4" t="s">
        <v>3905</v>
      </c>
      <c r="G2777" s="4" t="s">
        <v>3906</v>
      </c>
      <c r="H2777" s="4" t="s">
        <v>32</v>
      </c>
      <c r="I2777" s="4" t="s">
        <v>33</v>
      </c>
      <c r="J2777" s="4">
        <v>0</v>
      </c>
      <c r="K2777" s="4">
        <v>0</v>
      </c>
      <c r="L2777" s="4">
        <f>J2777+K2777</f>
        <v>0</v>
      </c>
      <c r="M2777" s="4" t="s">
        <v>3911</v>
      </c>
      <c r="N2777" s="4"/>
      <c r="O2777" s="4">
        <v>1</v>
      </c>
      <c r="P2777" s="4" t="s">
        <v>135</v>
      </c>
      <c r="Q2777" s="4"/>
      <c r="R2777" s="7">
        <v>30000</v>
      </c>
      <c r="S2777" s="7">
        <v>0</v>
      </c>
      <c r="T2777" s="7">
        <f>R2777-S2777</f>
        <v>0</v>
      </c>
      <c r="U2777" s="7">
        <f>T2777*O2777</f>
        <v>0</v>
      </c>
    </row>
    <row r="2778" spans="1:21">
      <c r="A2778" s="4" t="s">
        <v>3904</v>
      </c>
      <c r="B2778" s="4" t="s">
        <v>39</v>
      </c>
      <c r="C2778" s="5">
        <v>45958.2353125</v>
      </c>
      <c r="D2778" s="5">
        <v>45958</v>
      </c>
      <c r="E2778" s="6">
        <f>IF(AND(C2778&lt;&gt;"",D2778&lt;&gt;""),D2778-C2778,"")</f>
        <v>0</v>
      </c>
      <c r="F2778" s="4" t="s">
        <v>3905</v>
      </c>
      <c r="G2778" s="4" t="s">
        <v>3906</v>
      </c>
      <c r="H2778" s="4" t="s">
        <v>32</v>
      </c>
      <c r="I2778" s="4" t="s">
        <v>33</v>
      </c>
      <c r="J2778" s="4">
        <v>0</v>
      </c>
      <c r="K2778" s="4">
        <v>0</v>
      </c>
      <c r="L2778" s="4">
        <f>J2778+K2778</f>
        <v>0</v>
      </c>
      <c r="M2778" s="4" t="s">
        <v>3912</v>
      </c>
      <c r="N2778" s="4"/>
      <c r="O2778" s="4">
        <v>1</v>
      </c>
      <c r="P2778" s="4" t="s">
        <v>135</v>
      </c>
      <c r="Q2778" s="4"/>
      <c r="R2778" s="7">
        <v>44000</v>
      </c>
      <c r="S2778" s="7">
        <v>0</v>
      </c>
      <c r="T2778" s="7">
        <f>R2778-S2778</f>
        <v>0</v>
      </c>
      <c r="U2778" s="7">
        <f>T2778*O2778</f>
        <v>0</v>
      </c>
    </row>
    <row r="2779" spans="1:21">
      <c r="A2779" s="4" t="s">
        <v>3904</v>
      </c>
      <c r="B2779" s="4" t="s">
        <v>39</v>
      </c>
      <c r="C2779" s="5">
        <v>45958.2353125</v>
      </c>
      <c r="D2779" s="5">
        <v>45958</v>
      </c>
      <c r="E2779" s="6">
        <f>IF(AND(C2779&lt;&gt;"",D2779&lt;&gt;""),D2779-C2779,"")</f>
        <v>0</v>
      </c>
      <c r="F2779" s="4" t="s">
        <v>3905</v>
      </c>
      <c r="G2779" s="4" t="s">
        <v>3906</v>
      </c>
      <c r="H2779" s="4" t="s">
        <v>32</v>
      </c>
      <c r="I2779" s="4" t="s">
        <v>33</v>
      </c>
      <c r="J2779" s="4">
        <v>0</v>
      </c>
      <c r="K2779" s="4">
        <v>0</v>
      </c>
      <c r="L2779" s="4">
        <f>J2779+K2779</f>
        <v>0</v>
      </c>
      <c r="M2779" s="4" t="s">
        <v>1840</v>
      </c>
      <c r="N2779" s="4"/>
      <c r="O2779" s="4">
        <v>1</v>
      </c>
      <c r="P2779" s="4" t="s">
        <v>135</v>
      </c>
      <c r="Q2779" s="4"/>
      <c r="R2779" s="7">
        <v>153000</v>
      </c>
      <c r="S2779" s="7">
        <v>0</v>
      </c>
      <c r="T2779" s="7">
        <f>R2779-S2779</f>
        <v>0</v>
      </c>
      <c r="U2779" s="7">
        <f>T2779*O2779</f>
        <v>0</v>
      </c>
    </row>
    <row r="2780" spans="1:21">
      <c r="A2780" s="4" t="s">
        <v>3904</v>
      </c>
      <c r="B2780" s="4" t="s">
        <v>39</v>
      </c>
      <c r="C2780" s="5">
        <v>45958.2353125</v>
      </c>
      <c r="D2780" s="5">
        <v>45958</v>
      </c>
      <c r="E2780" s="6">
        <f>IF(AND(C2780&lt;&gt;"",D2780&lt;&gt;""),D2780-C2780,"")</f>
        <v>0</v>
      </c>
      <c r="F2780" s="4" t="s">
        <v>3905</v>
      </c>
      <c r="G2780" s="4" t="s">
        <v>3906</v>
      </c>
      <c r="H2780" s="4" t="s">
        <v>32</v>
      </c>
      <c r="I2780" s="4" t="s">
        <v>33</v>
      </c>
      <c r="J2780" s="4">
        <v>0</v>
      </c>
      <c r="K2780" s="4">
        <v>0</v>
      </c>
      <c r="L2780" s="4">
        <f>J2780+K2780</f>
        <v>0</v>
      </c>
      <c r="M2780" s="4" t="s">
        <v>3900</v>
      </c>
      <c r="N2780" s="4"/>
      <c r="O2780" s="4">
        <v>1</v>
      </c>
      <c r="P2780" s="4" t="s">
        <v>135</v>
      </c>
      <c r="Q2780" s="4"/>
      <c r="R2780" s="7">
        <v>53000</v>
      </c>
      <c r="S2780" s="7">
        <v>0</v>
      </c>
      <c r="T2780" s="7">
        <f>R2780-S2780</f>
        <v>0</v>
      </c>
      <c r="U2780" s="7">
        <f>T2780*O2780</f>
        <v>0</v>
      </c>
    </row>
    <row r="2781" spans="1:21">
      <c r="A2781" s="4" t="s">
        <v>3904</v>
      </c>
      <c r="B2781" s="4" t="s">
        <v>39</v>
      </c>
      <c r="C2781" s="5">
        <v>45958.2353125</v>
      </c>
      <c r="D2781" s="5">
        <v>45958</v>
      </c>
      <c r="E2781" s="6">
        <f>IF(AND(C2781&lt;&gt;"",D2781&lt;&gt;""),D2781-C2781,"")</f>
        <v>0</v>
      </c>
      <c r="F2781" s="4" t="s">
        <v>3905</v>
      </c>
      <c r="G2781" s="4" t="s">
        <v>3906</v>
      </c>
      <c r="H2781" s="4" t="s">
        <v>32</v>
      </c>
      <c r="I2781" s="4" t="s">
        <v>33</v>
      </c>
      <c r="J2781" s="4">
        <v>0</v>
      </c>
      <c r="K2781" s="4">
        <v>0</v>
      </c>
      <c r="L2781" s="4">
        <f>J2781+K2781</f>
        <v>0</v>
      </c>
      <c r="M2781" s="4" t="s">
        <v>3913</v>
      </c>
      <c r="N2781" s="4"/>
      <c r="O2781" s="4">
        <v>1</v>
      </c>
      <c r="P2781" s="4" t="s">
        <v>135</v>
      </c>
      <c r="Q2781" s="4"/>
      <c r="R2781" s="7">
        <v>145000</v>
      </c>
      <c r="S2781" s="7">
        <v>0</v>
      </c>
      <c r="T2781" s="7">
        <f>R2781-S2781</f>
        <v>0</v>
      </c>
      <c r="U2781" s="7">
        <f>T2781*O2781</f>
        <v>0</v>
      </c>
    </row>
    <row r="2782" spans="1:21">
      <c r="A2782" s="4" t="s">
        <v>3904</v>
      </c>
      <c r="B2782" s="4" t="s">
        <v>39</v>
      </c>
      <c r="C2782" s="5">
        <v>45958.2353125</v>
      </c>
      <c r="D2782" s="5">
        <v>45958</v>
      </c>
      <c r="E2782" s="6">
        <f>IF(AND(C2782&lt;&gt;"",D2782&lt;&gt;""),D2782-C2782,"")</f>
        <v>0</v>
      </c>
      <c r="F2782" s="4" t="s">
        <v>3905</v>
      </c>
      <c r="G2782" s="4" t="s">
        <v>3906</v>
      </c>
      <c r="H2782" s="4" t="s">
        <v>32</v>
      </c>
      <c r="I2782" s="4" t="s">
        <v>33</v>
      </c>
      <c r="J2782" s="4">
        <v>0</v>
      </c>
      <c r="K2782" s="4">
        <v>0</v>
      </c>
      <c r="L2782" s="4">
        <f>J2782+K2782</f>
        <v>0</v>
      </c>
      <c r="M2782" s="4" t="s">
        <v>3902</v>
      </c>
      <c r="N2782" s="4"/>
      <c r="O2782" s="4">
        <v>1</v>
      </c>
      <c r="P2782" s="4" t="s">
        <v>135</v>
      </c>
      <c r="Q2782" s="4"/>
      <c r="R2782" s="7">
        <v>121000</v>
      </c>
      <c r="S2782" s="7">
        <v>0</v>
      </c>
      <c r="T2782" s="7">
        <f>R2782-S2782</f>
        <v>0</v>
      </c>
      <c r="U2782" s="7">
        <f>T2782*O2782</f>
        <v>0</v>
      </c>
    </row>
    <row r="2783" spans="1:21">
      <c r="A2783" s="4" t="s">
        <v>3904</v>
      </c>
      <c r="B2783" s="4" t="s">
        <v>39</v>
      </c>
      <c r="C2783" s="5">
        <v>45958.2353125</v>
      </c>
      <c r="D2783" s="5">
        <v>45958</v>
      </c>
      <c r="E2783" s="6">
        <f>IF(AND(C2783&lt;&gt;"",D2783&lt;&gt;""),D2783-C2783,"")</f>
        <v>0</v>
      </c>
      <c r="F2783" s="4" t="s">
        <v>3905</v>
      </c>
      <c r="G2783" s="4" t="s">
        <v>3906</v>
      </c>
      <c r="H2783" s="4" t="s">
        <v>32</v>
      </c>
      <c r="I2783" s="4" t="s">
        <v>33</v>
      </c>
      <c r="J2783" s="4">
        <v>0</v>
      </c>
      <c r="K2783" s="4">
        <v>0</v>
      </c>
      <c r="L2783" s="4">
        <f>J2783+K2783</f>
        <v>0</v>
      </c>
      <c r="M2783" s="4" t="s">
        <v>3914</v>
      </c>
      <c r="N2783" s="4"/>
      <c r="O2783" s="4">
        <v>1</v>
      </c>
      <c r="P2783" s="4" t="s">
        <v>135</v>
      </c>
      <c r="Q2783" s="4"/>
      <c r="R2783" s="7">
        <v>68000</v>
      </c>
      <c r="S2783" s="7">
        <v>0</v>
      </c>
      <c r="T2783" s="7">
        <f>R2783-S2783</f>
        <v>0</v>
      </c>
      <c r="U2783" s="7">
        <f>T2783*O2783</f>
        <v>0</v>
      </c>
    </row>
    <row r="2784" spans="1:21">
      <c r="A2784" s="4" t="s">
        <v>3904</v>
      </c>
      <c r="B2784" s="4" t="s">
        <v>39</v>
      </c>
      <c r="C2784" s="5">
        <v>45958.2353125</v>
      </c>
      <c r="D2784" s="5">
        <v>45958</v>
      </c>
      <c r="E2784" s="6">
        <f>IF(AND(C2784&lt;&gt;"",D2784&lt;&gt;""),D2784-C2784,"")</f>
        <v>0</v>
      </c>
      <c r="F2784" s="4" t="s">
        <v>3905</v>
      </c>
      <c r="G2784" s="4" t="s">
        <v>3906</v>
      </c>
      <c r="H2784" s="4" t="s">
        <v>32</v>
      </c>
      <c r="I2784" s="4" t="s">
        <v>33</v>
      </c>
      <c r="J2784" s="4">
        <v>0</v>
      </c>
      <c r="K2784" s="4">
        <v>0</v>
      </c>
      <c r="L2784" s="4">
        <f>J2784+K2784</f>
        <v>0</v>
      </c>
      <c r="M2784" s="4" t="s">
        <v>3915</v>
      </c>
      <c r="N2784" s="4"/>
      <c r="O2784" s="4">
        <v>1</v>
      </c>
      <c r="P2784" s="4" t="s">
        <v>135</v>
      </c>
      <c r="Q2784" s="4"/>
      <c r="R2784" s="7">
        <v>68000</v>
      </c>
      <c r="S2784" s="7">
        <v>0</v>
      </c>
      <c r="T2784" s="7">
        <f>R2784-S2784</f>
        <v>0</v>
      </c>
      <c r="U2784" s="7">
        <f>T2784*O2784</f>
        <v>0</v>
      </c>
    </row>
    <row r="2785" spans="1:21">
      <c r="A2785" s="4" t="s">
        <v>3904</v>
      </c>
      <c r="B2785" s="4" t="s">
        <v>39</v>
      </c>
      <c r="C2785" s="5">
        <v>45958.2353125</v>
      </c>
      <c r="D2785" s="5">
        <v>45958</v>
      </c>
      <c r="E2785" s="6">
        <f>IF(AND(C2785&lt;&gt;"",D2785&lt;&gt;""),D2785-C2785,"")</f>
        <v>0</v>
      </c>
      <c r="F2785" s="4" t="s">
        <v>3905</v>
      </c>
      <c r="G2785" s="4" t="s">
        <v>3906</v>
      </c>
      <c r="H2785" s="4" t="s">
        <v>32</v>
      </c>
      <c r="I2785" s="4" t="s">
        <v>33</v>
      </c>
      <c r="J2785" s="4">
        <v>0</v>
      </c>
      <c r="K2785" s="4">
        <v>0</v>
      </c>
      <c r="L2785" s="4">
        <f>J2785+K2785</f>
        <v>0</v>
      </c>
      <c r="M2785" s="4" t="s">
        <v>3916</v>
      </c>
      <c r="N2785" s="4"/>
      <c r="O2785" s="4">
        <v>1</v>
      </c>
      <c r="P2785" s="4" t="s">
        <v>135</v>
      </c>
      <c r="Q2785" s="4"/>
      <c r="R2785" s="7">
        <v>106000</v>
      </c>
      <c r="S2785" s="7">
        <v>0</v>
      </c>
      <c r="T2785" s="7">
        <f>R2785-S2785</f>
        <v>0</v>
      </c>
      <c r="U2785" s="7">
        <f>T2785*O2785</f>
        <v>0</v>
      </c>
    </row>
    <row r="2786" spans="1:21">
      <c r="A2786" s="4" t="s">
        <v>3904</v>
      </c>
      <c r="B2786" s="4" t="s">
        <v>39</v>
      </c>
      <c r="C2786" s="5">
        <v>45958.2353125</v>
      </c>
      <c r="D2786" s="5">
        <v>45958</v>
      </c>
      <c r="E2786" s="6">
        <f>IF(AND(C2786&lt;&gt;"",D2786&lt;&gt;""),D2786-C2786,"")</f>
        <v>0</v>
      </c>
      <c r="F2786" s="4" t="s">
        <v>3905</v>
      </c>
      <c r="G2786" s="4" t="s">
        <v>3906</v>
      </c>
      <c r="H2786" s="4" t="s">
        <v>32</v>
      </c>
      <c r="I2786" s="4" t="s">
        <v>33</v>
      </c>
      <c r="J2786" s="4">
        <v>0</v>
      </c>
      <c r="K2786" s="4">
        <v>0</v>
      </c>
      <c r="L2786" s="4">
        <f>J2786+K2786</f>
        <v>0</v>
      </c>
      <c r="M2786" s="4" t="s">
        <v>3917</v>
      </c>
      <c r="N2786" s="4"/>
      <c r="O2786" s="4">
        <v>1</v>
      </c>
      <c r="P2786" s="4" t="s">
        <v>135</v>
      </c>
      <c r="Q2786" s="4"/>
      <c r="R2786" s="7">
        <v>36000</v>
      </c>
      <c r="S2786" s="7">
        <v>0</v>
      </c>
      <c r="T2786" s="7">
        <f>R2786-S2786</f>
        <v>0</v>
      </c>
      <c r="U2786" s="7">
        <f>T2786*O2786</f>
        <v>0</v>
      </c>
    </row>
    <row r="2787" spans="1:21">
      <c r="A2787" s="4" t="s">
        <v>3904</v>
      </c>
      <c r="B2787" s="4" t="s">
        <v>39</v>
      </c>
      <c r="C2787" s="5">
        <v>45958.2353125</v>
      </c>
      <c r="D2787" s="5">
        <v>45958</v>
      </c>
      <c r="E2787" s="6">
        <f>IF(AND(C2787&lt;&gt;"",D2787&lt;&gt;""),D2787-C2787,"")</f>
        <v>0</v>
      </c>
      <c r="F2787" s="4" t="s">
        <v>3905</v>
      </c>
      <c r="G2787" s="4" t="s">
        <v>3906</v>
      </c>
      <c r="H2787" s="4" t="s">
        <v>32</v>
      </c>
      <c r="I2787" s="4" t="s">
        <v>33</v>
      </c>
      <c r="J2787" s="4">
        <v>0</v>
      </c>
      <c r="K2787" s="4">
        <v>0</v>
      </c>
      <c r="L2787" s="4">
        <f>J2787+K2787</f>
        <v>0</v>
      </c>
      <c r="M2787" s="4" t="s">
        <v>3918</v>
      </c>
      <c r="N2787" s="4"/>
      <c r="O2787" s="4">
        <v>1</v>
      </c>
      <c r="P2787" s="4" t="s">
        <v>135</v>
      </c>
      <c r="Q2787" s="4"/>
      <c r="R2787" s="7">
        <v>90000</v>
      </c>
      <c r="S2787" s="7">
        <v>0</v>
      </c>
      <c r="T2787" s="7">
        <f>R2787-S2787</f>
        <v>0</v>
      </c>
      <c r="U2787" s="7">
        <f>T2787*O2787</f>
        <v>0</v>
      </c>
    </row>
    <row r="2788" spans="1:21">
      <c r="A2788" s="4" t="s">
        <v>3904</v>
      </c>
      <c r="B2788" s="4" t="s">
        <v>39</v>
      </c>
      <c r="C2788" s="5">
        <v>45958.2353125</v>
      </c>
      <c r="D2788" s="5">
        <v>45958</v>
      </c>
      <c r="E2788" s="6">
        <f>IF(AND(C2788&lt;&gt;"",D2788&lt;&gt;""),D2788-C2788,"")</f>
        <v>0</v>
      </c>
      <c r="F2788" s="4" t="s">
        <v>3905</v>
      </c>
      <c r="G2788" s="4" t="s">
        <v>3906</v>
      </c>
      <c r="H2788" s="4" t="s">
        <v>32</v>
      </c>
      <c r="I2788" s="4" t="s">
        <v>33</v>
      </c>
      <c r="J2788" s="4">
        <v>0</v>
      </c>
      <c r="K2788" s="4">
        <v>0</v>
      </c>
      <c r="L2788" s="4">
        <f>J2788+K2788</f>
        <v>0</v>
      </c>
      <c r="M2788" s="4" t="s">
        <v>3919</v>
      </c>
      <c r="N2788" s="4"/>
      <c r="O2788" s="4">
        <v>1</v>
      </c>
      <c r="P2788" s="4" t="s">
        <v>135</v>
      </c>
      <c r="Q2788" s="4"/>
      <c r="R2788" s="7">
        <v>90000</v>
      </c>
      <c r="S2788" s="7">
        <v>0</v>
      </c>
      <c r="T2788" s="7">
        <f>R2788-S2788</f>
        <v>0</v>
      </c>
      <c r="U2788" s="7">
        <f>T2788*O2788</f>
        <v>0</v>
      </c>
    </row>
    <row r="2789" spans="1:21">
      <c r="A2789" s="4" t="s">
        <v>3904</v>
      </c>
      <c r="B2789" s="4" t="s">
        <v>39</v>
      </c>
      <c r="C2789" s="5">
        <v>45958.2353125</v>
      </c>
      <c r="D2789" s="5">
        <v>45958</v>
      </c>
      <c r="E2789" s="6">
        <f>IF(AND(C2789&lt;&gt;"",D2789&lt;&gt;""),D2789-C2789,"")</f>
        <v>0</v>
      </c>
      <c r="F2789" s="4" t="s">
        <v>3905</v>
      </c>
      <c r="G2789" s="4" t="s">
        <v>3906</v>
      </c>
      <c r="H2789" s="4" t="s">
        <v>32</v>
      </c>
      <c r="I2789" s="4" t="s">
        <v>33</v>
      </c>
      <c r="J2789" s="4">
        <v>0</v>
      </c>
      <c r="K2789" s="4">
        <v>0</v>
      </c>
      <c r="L2789" s="4">
        <f>J2789+K2789</f>
        <v>0</v>
      </c>
      <c r="M2789" s="4" t="s">
        <v>3920</v>
      </c>
      <c r="N2789" s="4"/>
      <c r="O2789" s="4">
        <v>1</v>
      </c>
      <c r="P2789" s="4" t="s">
        <v>135</v>
      </c>
      <c r="Q2789" s="4"/>
      <c r="R2789" s="7">
        <v>90000</v>
      </c>
      <c r="S2789" s="7">
        <v>0</v>
      </c>
      <c r="T2789" s="7">
        <f>R2789-S2789</f>
        <v>0</v>
      </c>
      <c r="U2789" s="7">
        <f>T2789*O2789</f>
        <v>0</v>
      </c>
    </row>
    <row r="2790" spans="1:21">
      <c r="A2790" s="4" t="s">
        <v>3904</v>
      </c>
      <c r="B2790" s="4" t="s">
        <v>39</v>
      </c>
      <c r="C2790" s="5">
        <v>45958.2353125</v>
      </c>
      <c r="D2790" s="5">
        <v>45958</v>
      </c>
      <c r="E2790" s="6">
        <f>IF(AND(C2790&lt;&gt;"",D2790&lt;&gt;""),D2790-C2790,"")</f>
        <v>0</v>
      </c>
      <c r="F2790" s="4" t="s">
        <v>3905</v>
      </c>
      <c r="G2790" s="4" t="s">
        <v>3906</v>
      </c>
      <c r="H2790" s="4" t="s">
        <v>32</v>
      </c>
      <c r="I2790" s="4" t="s">
        <v>33</v>
      </c>
      <c r="J2790" s="4">
        <v>0</v>
      </c>
      <c r="K2790" s="4">
        <v>0</v>
      </c>
      <c r="L2790" s="4">
        <f>J2790+K2790</f>
        <v>0</v>
      </c>
      <c r="M2790" s="4" t="s">
        <v>3899</v>
      </c>
      <c r="N2790" s="4"/>
      <c r="O2790" s="4">
        <v>1</v>
      </c>
      <c r="P2790" s="4" t="s">
        <v>135</v>
      </c>
      <c r="Q2790" s="4"/>
      <c r="R2790" s="7">
        <v>145000</v>
      </c>
      <c r="S2790" s="7">
        <v>0</v>
      </c>
      <c r="T2790" s="7">
        <f>R2790-S2790</f>
        <v>0</v>
      </c>
      <c r="U2790" s="7">
        <f>T2790*O2790</f>
        <v>0</v>
      </c>
    </row>
    <row r="2791" spans="1:21">
      <c r="A2791" s="4" t="s">
        <v>3904</v>
      </c>
      <c r="B2791" s="4" t="s">
        <v>39</v>
      </c>
      <c r="C2791" s="5">
        <v>45958.2353125</v>
      </c>
      <c r="D2791" s="5">
        <v>45958</v>
      </c>
      <c r="E2791" s="6">
        <f>IF(AND(C2791&lt;&gt;"",D2791&lt;&gt;""),D2791-C2791,"")</f>
        <v>0</v>
      </c>
      <c r="F2791" s="4" t="s">
        <v>3905</v>
      </c>
      <c r="G2791" s="4" t="s">
        <v>3906</v>
      </c>
      <c r="H2791" s="4" t="s">
        <v>32</v>
      </c>
      <c r="I2791" s="4" t="s">
        <v>33</v>
      </c>
      <c r="J2791" s="4">
        <v>0</v>
      </c>
      <c r="K2791" s="4">
        <v>0</v>
      </c>
      <c r="L2791" s="4">
        <f>J2791+K2791</f>
        <v>0</v>
      </c>
      <c r="M2791" s="4" t="s">
        <v>1727</v>
      </c>
      <c r="N2791" s="4"/>
      <c r="O2791" s="4">
        <v>1</v>
      </c>
      <c r="P2791" s="4" t="s">
        <v>135</v>
      </c>
      <c r="Q2791" s="4"/>
      <c r="R2791" s="7">
        <v>64000</v>
      </c>
      <c r="S2791" s="7">
        <v>0</v>
      </c>
      <c r="T2791" s="7">
        <f>R2791-S2791</f>
        <v>0</v>
      </c>
      <c r="U2791" s="7">
        <f>T2791*O2791</f>
        <v>0</v>
      </c>
    </row>
    <row r="2792" spans="1:21">
      <c r="A2792" s="4" t="s">
        <v>3904</v>
      </c>
      <c r="B2792" s="4" t="s">
        <v>39</v>
      </c>
      <c r="C2792" s="5">
        <v>45958.2353125</v>
      </c>
      <c r="D2792" s="5">
        <v>45958</v>
      </c>
      <c r="E2792" s="6">
        <f>IF(AND(C2792&lt;&gt;"",D2792&lt;&gt;""),D2792-C2792,"")</f>
        <v>0</v>
      </c>
      <c r="F2792" s="4" t="s">
        <v>3905</v>
      </c>
      <c r="G2792" s="4" t="s">
        <v>3906</v>
      </c>
      <c r="H2792" s="4" t="s">
        <v>32</v>
      </c>
      <c r="I2792" s="4" t="s">
        <v>33</v>
      </c>
      <c r="J2792" s="4">
        <v>0</v>
      </c>
      <c r="K2792" s="4">
        <v>0</v>
      </c>
      <c r="L2792" s="4">
        <f>J2792+K2792</f>
        <v>0</v>
      </c>
      <c r="M2792" s="4" t="s">
        <v>3840</v>
      </c>
      <c r="N2792" s="4"/>
      <c r="O2792" s="4">
        <v>1</v>
      </c>
      <c r="P2792" s="4" t="s">
        <v>135</v>
      </c>
      <c r="Q2792" s="4"/>
      <c r="R2792" s="7">
        <v>65000</v>
      </c>
      <c r="S2792" s="7">
        <v>0</v>
      </c>
      <c r="T2792" s="7">
        <f>R2792-S2792</f>
        <v>0</v>
      </c>
      <c r="U2792" s="7">
        <f>T2792*O2792</f>
        <v>0</v>
      </c>
    </row>
    <row r="2793" spans="1:21">
      <c r="A2793" s="4" t="s">
        <v>3904</v>
      </c>
      <c r="B2793" s="4" t="s">
        <v>39</v>
      </c>
      <c r="C2793" s="5">
        <v>45958.2353125</v>
      </c>
      <c r="D2793" s="5">
        <v>45958</v>
      </c>
      <c r="E2793" s="6">
        <f>IF(AND(C2793&lt;&gt;"",D2793&lt;&gt;""),D2793-C2793,"")</f>
        <v>0</v>
      </c>
      <c r="F2793" s="4" t="s">
        <v>3905</v>
      </c>
      <c r="G2793" s="4" t="s">
        <v>3906</v>
      </c>
      <c r="H2793" s="4" t="s">
        <v>32</v>
      </c>
      <c r="I2793" s="4" t="s">
        <v>33</v>
      </c>
      <c r="J2793" s="4">
        <v>0</v>
      </c>
      <c r="K2793" s="4">
        <v>0</v>
      </c>
      <c r="L2793" s="4">
        <f>J2793+K2793</f>
        <v>0</v>
      </c>
      <c r="M2793" s="4" t="s">
        <v>3897</v>
      </c>
      <c r="N2793" s="4"/>
      <c r="O2793" s="4">
        <v>1</v>
      </c>
      <c r="P2793" s="4" t="s">
        <v>135</v>
      </c>
      <c r="Q2793" s="4"/>
      <c r="R2793" s="7">
        <v>135000</v>
      </c>
      <c r="S2793" s="7">
        <v>0</v>
      </c>
      <c r="T2793" s="7">
        <f>R2793-S2793</f>
        <v>0</v>
      </c>
      <c r="U2793" s="7">
        <f>T2793*O2793</f>
        <v>0</v>
      </c>
    </row>
    <row r="2794" spans="1:21">
      <c r="A2794" s="4" t="s">
        <v>3904</v>
      </c>
      <c r="B2794" s="4" t="s">
        <v>39</v>
      </c>
      <c r="C2794" s="5">
        <v>45958.2353125</v>
      </c>
      <c r="D2794" s="5">
        <v>45958</v>
      </c>
      <c r="E2794" s="6">
        <f>IF(AND(C2794&lt;&gt;"",D2794&lt;&gt;""),D2794-C2794,"")</f>
        <v>0</v>
      </c>
      <c r="F2794" s="4" t="s">
        <v>3905</v>
      </c>
      <c r="G2794" s="4" t="s">
        <v>3906</v>
      </c>
      <c r="H2794" s="4" t="s">
        <v>32</v>
      </c>
      <c r="I2794" s="4" t="s">
        <v>33</v>
      </c>
      <c r="J2794" s="4">
        <v>0</v>
      </c>
      <c r="K2794" s="4">
        <v>0</v>
      </c>
      <c r="L2794" s="4">
        <f>J2794+K2794</f>
        <v>0</v>
      </c>
      <c r="M2794" s="4" t="s">
        <v>1543</v>
      </c>
      <c r="N2794" s="4"/>
      <c r="O2794" s="4">
        <v>1</v>
      </c>
      <c r="P2794" s="4" t="s">
        <v>135</v>
      </c>
      <c r="Q2794" s="4"/>
      <c r="R2794" s="7">
        <v>84000</v>
      </c>
      <c r="S2794" s="7">
        <v>0</v>
      </c>
      <c r="T2794" s="7">
        <f>R2794-S2794</f>
        <v>0</v>
      </c>
      <c r="U2794" s="7">
        <f>T2794*O2794</f>
        <v>0</v>
      </c>
    </row>
    <row r="2795" spans="1:21">
      <c r="A2795" s="4" t="s">
        <v>3904</v>
      </c>
      <c r="B2795" s="4" t="s">
        <v>39</v>
      </c>
      <c r="C2795" s="5">
        <v>45958.2353125</v>
      </c>
      <c r="D2795" s="5">
        <v>45958</v>
      </c>
      <c r="E2795" s="6">
        <f>IF(AND(C2795&lt;&gt;"",D2795&lt;&gt;""),D2795-C2795,"")</f>
        <v>0</v>
      </c>
      <c r="F2795" s="4" t="s">
        <v>3905</v>
      </c>
      <c r="G2795" s="4" t="s">
        <v>3906</v>
      </c>
      <c r="H2795" s="4" t="s">
        <v>32</v>
      </c>
      <c r="I2795" s="4" t="s">
        <v>33</v>
      </c>
      <c r="J2795" s="4">
        <v>0</v>
      </c>
      <c r="K2795" s="4">
        <v>0</v>
      </c>
      <c r="L2795" s="4">
        <f>J2795+K2795</f>
        <v>0</v>
      </c>
      <c r="M2795" s="4" t="s">
        <v>3896</v>
      </c>
      <c r="N2795" s="4"/>
      <c r="O2795" s="4">
        <v>1</v>
      </c>
      <c r="P2795" s="4" t="s">
        <v>135</v>
      </c>
      <c r="Q2795" s="4"/>
      <c r="R2795" s="7">
        <v>114000</v>
      </c>
      <c r="S2795" s="7">
        <v>0</v>
      </c>
      <c r="T2795" s="7">
        <f>R2795-S2795</f>
        <v>0</v>
      </c>
      <c r="U2795" s="7">
        <f>T2795*O2795</f>
        <v>0</v>
      </c>
    </row>
    <row r="2796" spans="1:21">
      <c r="A2796" s="4" t="s">
        <v>3904</v>
      </c>
      <c r="B2796" s="4" t="s">
        <v>39</v>
      </c>
      <c r="C2796" s="5">
        <v>45958.2353125</v>
      </c>
      <c r="D2796" s="5">
        <v>45958</v>
      </c>
      <c r="E2796" s="6">
        <f>IF(AND(C2796&lt;&gt;"",D2796&lt;&gt;""),D2796-C2796,"")</f>
        <v>0</v>
      </c>
      <c r="F2796" s="4" t="s">
        <v>3905</v>
      </c>
      <c r="G2796" s="4" t="s">
        <v>3906</v>
      </c>
      <c r="H2796" s="4" t="s">
        <v>32</v>
      </c>
      <c r="I2796" s="4" t="s">
        <v>33</v>
      </c>
      <c r="J2796" s="4">
        <v>0</v>
      </c>
      <c r="K2796" s="4">
        <v>0</v>
      </c>
      <c r="L2796" s="4">
        <f>J2796+K2796</f>
        <v>0</v>
      </c>
      <c r="M2796" s="4" t="s">
        <v>3921</v>
      </c>
      <c r="N2796" s="4"/>
      <c r="O2796" s="4">
        <v>1</v>
      </c>
      <c r="P2796" s="4" t="s">
        <v>135</v>
      </c>
      <c r="Q2796" s="4"/>
      <c r="R2796" s="7">
        <v>54000</v>
      </c>
      <c r="S2796" s="7">
        <v>0</v>
      </c>
      <c r="T2796" s="7">
        <f>R2796-S2796</f>
        <v>0</v>
      </c>
      <c r="U2796" s="7">
        <f>T2796*O2796</f>
        <v>0</v>
      </c>
    </row>
    <row r="2797" spans="1:21">
      <c r="A2797" s="4" t="s">
        <v>3904</v>
      </c>
      <c r="B2797" s="4" t="s">
        <v>39</v>
      </c>
      <c r="C2797" s="5">
        <v>45958.2353125</v>
      </c>
      <c r="D2797" s="5">
        <v>45958</v>
      </c>
      <c r="E2797" s="6">
        <f>IF(AND(C2797&lt;&gt;"",D2797&lt;&gt;""),D2797-C2797,"")</f>
        <v>0</v>
      </c>
      <c r="F2797" s="4" t="s">
        <v>3905</v>
      </c>
      <c r="G2797" s="4" t="s">
        <v>3906</v>
      </c>
      <c r="H2797" s="4" t="s">
        <v>32</v>
      </c>
      <c r="I2797" s="4" t="s">
        <v>33</v>
      </c>
      <c r="J2797" s="4">
        <v>0</v>
      </c>
      <c r="K2797" s="4">
        <v>0</v>
      </c>
      <c r="L2797" s="4">
        <f>J2797+K2797</f>
        <v>0</v>
      </c>
      <c r="M2797" s="4" t="s">
        <v>3922</v>
      </c>
      <c r="N2797" s="4"/>
      <c r="O2797" s="4">
        <v>1</v>
      </c>
      <c r="P2797" s="4" t="s">
        <v>135</v>
      </c>
      <c r="Q2797" s="4"/>
      <c r="R2797" s="7">
        <v>21000</v>
      </c>
      <c r="S2797" s="7">
        <v>0</v>
      </c>
      <c r="T2797" s="7">
        <f>R2797-S2797</f>
        <v>0</v>
      </c>
      <c r="U2797" s="7">
        <f>T2797*O2797</f>
        <v>0</v>
      </c>
    </row>
    <row r="2798" spans="1:21">
      <c r="A2798" s="4" t="s">
        <v>3904</v>
      </c>
      <c r="B2798" s="4" t="s">
        <v>39</v>
      </c>
      <c r="C2798" s="5">
        <v>45958.2353125</v>
      </c>
      <c r="D2798" s="5">
        <v>45958</v>
      </c>
      <c r="E2798" s="6">
        <f>IF(AND(C2798&lt;&gt;"",D2798&lt;&gt;""),D2798-C2798,"")</f>
        <v>0</v>
      </c>
      <c r="F2798" s="4" t="s">
        <v>3905</v>
      </c>
      <c r="G2798" s="4" t="s">
        <v>3906</v>
      </c>
      <c r="H2798" s="4" t="s">
        <v>32</v>
      </c>
      <c r="I2798" s="4" t="s">
        <v>33</v>
      </c>
      <c r="J2798" s="4">
        <v>0</v>
      </c>
      <c r="K2798" s="4">
        <v>0</v>
      </c>
      <c r="L2798" s="4">
        <f>J2798+K2798</f>
        <v>0</v>
      </c>
      <c r="M2798" s="4" t="s">
        <v>3923</v>
      </c>
      <c r="N2798" s="4"/>
      <c r="O2798" s="4">
        <v>1</v>
      </c>
      <c r="P2798" s="4" t="s">
        <v>135</v>
      </c>
      <c r="Q2798" s="4"/>
      <c r="R2798" s="7">
        <v>70000</v>
      </c>
      <c r="S2798" s="7">
        <v>0</v>
      </c>
      <c r="T2798" s="7">
        <f>R2798-S2798</f>
        <v>0</v>
      </c>
      <c r="U2798" s="7">
        <f>T2798*O2798</f>
        <v>0</v>
      </c>
    </row>
    <row r="2799" spans="1:21">
      <c r="A2799" s="4" t="s">
        <v>3904</v>
      </c>
      <c r="B2799" s="4" t="s">
        <v>39</v>
      </c>
      <c r="C2799" s="5">
        <v>45958.2353125</v>
      </c>
      <c r="D2799" s="5">
        <v>45958</v>
      </c>
      <c r="E2799" s="6">
        <f>IF(AND(C2799&lt;&gt;"",D2799&lt;&gt;""),D2799-C2799,"")</f>
        <v>0</v>
      </c>
      <c r="F2799" s="4" t="s">
        <v>3905</v>
      </c>
      <c r="G2799" s="4" t="s">
        <v>3906</v>
      </c>
      <c r="H2799" s="4" t="s">
        <v>32</v>
      </c>
      <c r="I2799" s="4" t="s">
        <v>33</v>
      </c>
      <c r="J2799" s="4">
        <v>0</v>
      </c>
      <c r="K2799" s="4">
        <v>0</v>
      </c>
      <c r="L2799" s="4">
        <f>J2799+K2799</f>
        <v>0</v>
      </c>
      <c r="M2799" s="4" t="s">
        <v>3924</v>
      </c>
      <c r="N2799" s="4"/>
      <c r="O2799" s="4">
        <v>1</v>
      </c>
      <c r="P2799" s="4" t="s">
        <v>135</v>
      </c>
      <c r="Q2799" s="4"/>
      <c r="R2799" s="7">
        <v>108000</v>
      </c>
      <c r="S2799" s="7">
        <v>0</v>
      </c>
      <c r="T2799" s="7">
        <f>R2799-S2799</f>
        <v>0</v>
      </c>
      <c r="U2799" s="7">
        <f>T2799*O2799</f>
        <v>0</v>
      </c>
    </row>
    <row r="2800" spans="1:21">
      <c r="A2800" s="4" t="s">
        <v>3904</v>
      </c>
      <c r="B2800" s="4" t="s">
        <v>39</v>
      </c>
      <c r="C2800" s="5">
        <v>45958.2353125</v>
      </c>
      <c r="D2800" s="5">
        <v>45958</v>
      </c>
      <c r="E2800" s="6">
        <f>IF(AND(C2800&lt;&gt;"",D2800&lt;&gt;""),D2800-C2800,"")</f>
        <v>0</v>
      </c>
      <c r="F2800" s="4" t="s">
        <v>3905</v>
      </c>
      <c r="G2800" s="4" t="s">
        <v>3906</v>
      </c>
      <c r="H2800" s="4" t="s">
        <v>32</v>
      </c>
      <c r="I2800" s="4" t="s">
        <v>33</v>
      </c>
      <c r="J2800" s="4">
        <v>0</v>
      </c>
      <c r="K2800" s="4">
        <v>0</v>
      </c>
      <c r="L2800" s="4">
        <f>J2800+K2800</f>
        <v>0</v>
      </c>
      <c r="M2800" s="4" t="s">
        <v>3893</v>
      </c>
      <c r="N2800" s="4"/>
      <c r="O2800" s="4">
        <v>1</v>
      </c>
      <c r="P2800" s="4" t="s">
        <v>135</v>
      </c>
      <c r="Q2800" s="4"/>
      <c r="R2800" s="7">
        <v>48000</v>
      </c>
      <c r="S2800" s="7">
        <v>0</v>
      </c>
      <c r="T2800" s="7">
        <f>R2800-S2800</f>
        <v>0</v>
      </c>
      <c r="U2800" s="7">
        <f>T2800*O2800</f>
        <v>0</v>
      </c>
    </row>
    <row r="2801" spans="1:21">
      <c r="A2801" s="4" t="s">
        <v>3904</v>
      </c>
      <c r="B2801" s="4" t="s">
        <v>39</v>
      </c>
      <c r="C2801" s="5">
        <v>45958.2353125</v>
      </c>
      <c r="D2801" s="5">
        <v>45958</v>
      </c>
      <c r="E2801" s="6">
        <f>IF(AND(C2801&lt;&gt;"",D2801&lt;&gt;""),D2801-C2801,"")</f>
        <v>0</v>
      </c>
      <c r="F2801" s="4" t="s">
        <v>3905</v>
      </c>
      <c r="G2801" s="4" t="s">
        <v>3906</v>
      </c>
      <c r="H2801" s="4" t="s">
        <v>32</v>
      </c>
      <c r="I2801" s="4" t="s">
        <v>33</v>
      </c>
      <c r="J2801" s="4">
        <v>0</v>
      </c>
      <c r="K2801" s="4">
        <v>0</v>
      </c>
      <c r="L2801" s="4">
        <f>J2801+K2801</f>
        <v>0</v>
      </c>
      <c r="M2801" s="4" t="s">
        <v>1607</v>
      </c>
      <c r="N2801" s="4"/>
      <c r="O2801" s="4">
        <v>1</v>
      </c>
      <c r="P2801" s="4" t="s">
        <v>135</v>
      </c>
      <c r="Q2801" s="4"/>
      <c r="R2801" s="7">
        <v>122000</v>
      </c>
      <c r="S2801" s="7">
        <v>0</v>
      </c>
      <c r="T2801" s="7">
        <f>R2801-S2801</f>
        <v>0</v>
      </c>
      <c r="U2801" s="7">
        <f>T2801*O2801</f>
        <v>0</v>
      </c>
    </row>
    <row r="2802" spans="1:21">
      <c r="A2802" s="4" t="s">
        <v>3904</v>
      </c>
      <c r="B2802" s="4" t="s">
        <v>39</v>
      </c>
      <c r="C2802" s="5">
        <v>45958.2353125</v>
      </c>
      <c r="D2802" s="5">
        <v>45958</v>
      </c>
      <c r="E2802" s="6">
        <f>IF(AND(C2802&lt;&gt;"",D2802&lt;&gt;""),D2802-C2802,"")</f>
        <v>0</v>
      </c>
      <c r="F2802" s="4" t="s">
        <v>3905</v>
      </c>
      <c r="G2802" s="4" t="s">
        <v>3906</v>
      </c>
      <c r="H2802" s="4" t="s">
        <v>32</v>
      </c>
      <c r="I2802" s="4" t="s">
        <v>33</v>
      </c>
      <c r="J2802" s="4">
        <v>0</v>
      </c>
      <c r="K2802" s="4">
        <v>0</v>
      </c>
      <c r="L2802" s="4">
        <f>J2802+K2802</f>
        <v>0</v>
      </c>
      <c r="M2802" s="4" t="s">
        <v>3844</v>
      </c>
      <c r="N2802" s="4"/>
      <c r="O2802" s="4">
        <v>1</v>
      </c>
      <c r="P2802" s="4" t="s">
        <v>135</v>
      </c>
      <c r="Q2802" s="4"/>
      <c r="R2802" s="7">
        <v>68000</v>
      </c>
      <c r="S2802" s="7">
        <v>0</v>
      </c>
      <c r="T2802" s="7">
        <f>R2802-S2802</f>
        <v>0</v>
      </c>
      <c r="U2802" s="7">
        <f>T2802*O2802</f>
        <v>0</v>
      </c>
    </row>
    <row r="2803" spans="1:21">
      <c r="A2803" s="4" t="s">
        <v>3904</v>
      </c>
      <c r="B2803" s="4" t="s">
        <v>39</v>
      </c>
      <c r="C2803" s="5">
        <v>45958.2353125</v>
      </c>
      <c r="D2803" s="5">
        <v>45958</v>
      </c>
      <c r="E2803" s="6">
        <f>IF(AND(C2803&lt;&gt;"",D2803&lt;&gt;""),D2803-C2803,"")</f>
        <v>0</v>
      </c>
      <c r="F2803" s="4" t="s">
        <v>3905</v>
      </c>
      <c r="G2803" s="4" t="s">
        <v>3906</v>
      </c>
      <c r="H2803" s="4" t="s">
        <v>32</v>
      </c>
      <c r="I2803" s="4" t="s">
        <v>33</v>
      </c>
      <c r="J2803" s="4">
        <v>0</v>
      </c>
      <c r="K2803" s="4">
        <v>0</v>
      </c>
      <c r="L2803" s="4">
        <f>J2803+K2803</f>
        <v>0</v>
      </c>
      <c r="M2803" s="4" t="s">
        <v>1608</v>
      </c>
      <c r="N2803" s="4"/>
      <c r="O2803" s="4">
        <v>1</v>
      </c>
      <c r="P2803" s="4" t="s">
        <v>135</v>
      </c>
      <c r="Q2803" s="4"/>
      <c r="R2803" s="7">
        <v>90000</v>
      </c>
      <c r="S2803" s="7">
        <v>0</v>
      </c>
      <c r="T2803" s="7">
        <f>R2803-S2803</f>
        <v>0</v>
      </c>
      <c r="U2803" s="7">
        <f>T2803*O2803</f>
        <v>0</v>
      </c>
    </row>
    <row r="2804" spans="1:21">
      <c r="A2804" s="4" t="s">
        <v>3904</v>
      </c>
      <c r="B2804" s="4" t="s">
        <v>39</v>
      </c>
      <c r="C2804" s="5">
        <v>45958.2353125</v>
      </c>
      <c r="D2804" s="5">
        <v>45958</v>
      </c>
      <c r="E2804" s="6">
        <f>IF(AND(C2804&lt;&gt;"",D2804&lt;&gt;""),D2804-C2804,"")</f>
        <v>0</v>
      </c>
      <c r="F2804" s="4" t="s">
        <v>3905</v>
      </c>
      <c r="G2804" s="4" t="s">
        <v>3906</v>
      </c>
      <c r="H2804" s="4" t="s">
        <v>32</v>
      </c>
      <c r="I2804" s="4" t="s">
        <v>33</v>
      </c>
      <c r="J2804" s="4">
        <v>0</v>
      </c>
      <c r="K2804" s="4">
        <v>0</v>
      </c>
      <c r="L2804" s="4">
        <f>J2804+K2804</f>
        <v>0</v>
      </c>
      <c r="M2804" s="4" t="s">
        <v>1335</v>
      </c>
      <c r="N2804" s="4"/>
      <c r="O2804" s="4">
        <v>1</v>
      </c>
      <c r="P2804" s="4" t="s">
        <v>135</v>
      </c>
      <c r="Q2804" s="4"/>
      <c r="R2804" s="7">
        <v>45000</v>
      </c>
      <c r="S2804" s="7">
        <v>0</v>
      </c>
      <c r="T2804" s="7">
        <f>R2804-S2804</f>
        <v>0</v>
      </c>
      <c r="U2804" s="7">
        <f>T2804*O2804</f>
        <v>0</v>
      </c>
    </row>
    <row r="2805" spans="1:21">
      <c r="A2805" s="4" t="s">
        <v>3904</v>
      </c>
      <c r="B2805" s="4" t="s">
        <v>39</v>
      </c>
      <c r="C2805" s="5">
        <v>45958.2353125</v>
      </c>
      <c r="D2805" s="5">
        <v>45958</v>
      </c>
      <c r="E2805" s="6">
        <f>IF(AND(C2805&lt;&gt;"",D2805&lt;&gt;""),D2805-C2805,"")</f>
        <v>0</v>
      </c>
      <c r="F2805" s="4" t="s">
        <v>3905</v>
      </c>
      <c r="G2805" s="4" t="s">
        <v>3906</v>
      </c>
      <c r="H2805" s="4" t="s">
        <v>32</v>
      </c>
      <c r="I2805" s="4" t="s">
        <v>33</v>
      </c>
      <c r="J2805" s="4">
        <v>0</v>
      </c>
      <c r="K2805" s="4">
        <v>0</v>
      </c>
      <c r="L2805" s="4">
        <f>J2805+K2805</f>
        <v>0</v>
      </c>
      <c r="M2805" s="4" t="s">
        <v>3925</v>
      </c>
      <c r="N2805" s="4"/>
      <c r="O2805" s="4">
        <v>1</v>
      </c>
      <c r="P2805" s="4" t="s">
        <v>135</v>
      </c>
      <c r="Q2805" s="4"/>
      <c r="R2805" s="7">
        <v>19000</v>
      </c>
      <c r="S2805" s="7">
        <v>0</v>
      </c>
      <c r="T2805" s="7">
        <f>R2805-S2805</f>
        <v>0</v>
      </c>
      <c r="U2805" s="7">
        <f>T2805*O2805</f>
        <v>0</v>
      </c>
    </row>
    <row r="2806" spans="1:21">
      <c r="A2806" s="4" t="s">
        <v>3904</v>
      </c>
      <c r="B2806" s="4" t="s">
        <v>39</v>
      </c>
      <c r="C2806" s="5">
        <v>45958.2353125</v>
      </c>
      <c r="D2806" s="5">
        <v>45958</v>
      </c>
      <c r="E2806" s="6">
        <f>IF(AND(C2806&lt;&gt;"",D2806&lt;&gt;""),D2806-C2806,"")</f>
        <v>0</v>
      </c>
      <c r="F2806" s="4" t="s">
        <v>3905</v>
      </c>
      <c r="G2806" s="4" t="s">
        <v>3906</v>
      </c>
      <c r="H2806" s="4" t="s">
        <v>32</v>
      </c>
      <c r="I2806" s="4" t="s">
        <v>33</v>
      </c>
      <c r="J2806" s="4">
        <v>0</v>
      </c>
      <c r="K2806" s="4">
        <v>0</v>
      </c>
      <c r="L2806" s="4">
        <f>J2806+K2806</f>
        <v>0</v>
      </c>
      <c r="M2806" s="4" t="s">
        <v>3845</v>
      </c>
      <c r="N2806" s="4"/>
      <c r="O2806" s="4">
        <v>1</v>
      </c>
      <c r="P2806" s="4" t="s">
        <v>135</v>
      </c>
      <c r="Q2806" s="4"/>
      <c r="R2806" s="7">
        <v>122000</v>
      </c>
      <c r="S2806" s="7">
        <v>0</v>
      </c>
      <c r="T2806" s="7">
        <f>R2806-S2806</f>
        <v>0</v>
      </c>
      <c r="U2806" s="7">
        <f>T2806*O2806</f>
        <v>0</v>
      </c>
    </row>
    <row r="2807" spans="1:21">
      <c r="A2807" s="4" t="s">
        <v>3904</v>
      </c>
      <c r="B2807" s="4" t="s">
        <v>39</v>
      </c>
      <c r="C2807" s="5">
        <v>45958.2353125</v>
      </c>
      <c r="D2807" s="5">
        <v>45958</v>
      </c>
      <c r="E2807" s="6">
        <f>IF(AND(C2807&lt;&gt;"",D2807&lt;&gt;""),D2807-C2807,"")</f>
        <v>0</v>
      </c>
      <c r="F2807" s="4" t="s">
        <v>3905</v>
      </c>
      <c r="G2807" s="4" t="s">
        <v>3906</v>
      </c>
      <c r="H2807" s="4" t="s">
        <v>32</v>
      </c>
      <c r="I2807" s="4" t="s">
        <v>33</v>
      </c>
      <c r="J2807" s="4">
        <v>0</v>
      </c>
      <c r="K2807" s="4">
        <v>0</v>
      </c>
      <c r="L2807" s="4">
        <f>J2807+K2807</f>
        <v>0</v>
      </c>
      <c r="M2807" s="4" t="s">
        <v>1726</v>
      </c>
      <c r="N2807" s="4"/>
      <c r="O2807" s="4">
        <v>1</v>
      </c>
      <c r="P2807" s="4" t="s">
        <v>135</v>
      </c>
      <c r="Q2807" s="4"/>
      <c r="R2807" s="7">
        <v>64000</v>
      </c>
      <c r="S2807" s="7">
        <v>0</v>
      </c>
      <c r="T2807" s="7">
        <f>R2807-S2807</f>
        <v>0</v>
      </c>
      <c r="U2807" s="7">
        <f>T2807*O2807</f>
        <v>0</v>
      </c>
    </row>
    <row r="2808" spans="1:21">
      <c r="A2808" s="4" t="s">
        <v>3904</v>
      </c>
      <c r="B2808" s="4" t="s">
        <v>39</v>
      </c>
      <c r="C2808" s="5">
        <v>45958.2353125</v>
      </c>
      <c r="D2808" s="5">
        <v>45958</v>
      </c>
      <c r="E2808" s="6">
        <f>IF(AND(C2808&lt;&gt;"",D2808&lt;&gt;""),D2808-C2808,"")</f>
        <v>0</v>
      </c>
      <c r="F2808" s="4" t="s">
        <v>3905</v>
      </c>
      <c r="G2808" s="4" t="s">
        <v>3906</v>
      </c>
      <c r="H2808" s="4" t="s">
        <v>32</v>
      </c>
      <c r="I2808" s="4" t="s">
        <v>33</v>
      </c>
      <c r="J2808" s="4">
        <v>0</v>
      </c>
      <c r="K2808" s="4">
        <v>0</v>
      </c>
      <c r="L2808" s="4">
        <f>J2808+K2808</f>
        <v>0</v>
      </c>
      <c r="M2808" s="4" t="s">
        <v>3888</v>
      </c>
      <c r="N2808" s="4"/>
      <c r="O2808" s="4">
        <v>1</v>
      </c>
      <c r="P2808" s="4" t="s">
        <v>135</v>
      </c>
      <c r="Q2808" s="4"/>
      <c r="R2808" s="7">
        <v>114000</v>
      </c>
      <c r="S2808" s="7">
        <v>0</v>
      </c>
      <c r="T2808" s="7">
        <f>R2808-S2808</f>
        <v>0</v>
      </c>
      <c r="U2808" s="7">
        <f>T2808*O2808</f>
        <v>0</v>
      </c>
    </row>
    <row r="2809" spans="1:21">
      <c r="A2809" s="4" t="s">
        <v>3904</v>
      </c>
      <c r="B2809" s="4" t="s">
        <v>39</v>
      </c>
      <c r="C2809" s="5">
        <v>45958.2353125</v>
      </c>
      <c r="D2809" s="5">
        <v>45958</v>
      </c>
      <c r="E2809" s="6">
        <f>IF(AND(C2809&lt;&gt;"",D2809&lt;&gt;""),D2809-C2809,"")</f>
        <v>0</v>
      </c>
      <c r="F2809" s="4" t="s">
        <v>3905</v>
      </c>
      <c r="G2809" s="4" t="s">
        <v>3906</v>
      </c>
      <c r="H2809" s="4" t="s">
        <v>32</v>
      </c>
      <c r="I2809" s="4" t="s">
        <v>33</v>
      </c>
      <c r="J2809" s="4">
        <v>0</v>
      </c>
      <c r="K2809" s="4">
        <v>0</v>
      </c>
      <c r="L2809" s="4">
        <f>J2809+K2809</f>
        <v>0</v>
      </c>
      <c r="M2809" s="4" t="s">
        <v>3894</v>
      </c>
      <c r="N2809" s="4"/>
      <c r="O2809" s="4">
        <v>1</v>
      </c>
      <c r="P2809" s="4" t="s">
        <v>135</v>
      </c>
      <c r="Q2809" s="4"/>
      <c r="R2809" s="7">
        <v>44000</v>
      </c>
      <c r="S2809" s="7">
        <v>0</v>
      </c>
      <c r="T2809" s="7">
        <f>R2809-S2809</f>
        <v>0</v>
      </c>
      <c r="U2809" s="7">
        <f>T2809*O2809</f>
        <v>0</v>
      </c>
    </row>
    <row r="2810" spans="1:21">
      <c r="A2810" s="4" t="s">
        <v>3904</v>
      </c>
      <c r="B2810" s="4" t="s">
        <v>39</v>
      </c>
      <c r="C2810" s="5">
        <v>45958.2353125</v>
      </c>
      <c r="D2810" s="5">
        <v>45958</v>
      </c>
      <c r="E2810" s="6">
        <f>IF(AND(C2810&lt;&gt;"",D2810&lt;&gt;""),D2810-C2810,"")</f>
        <v>0</v>
      </c>
      <c r="F2810" s="4" t="s">
        <v>3905</v>
      </c>
      <c r="G2810" s="4" t="s">
        <v>3906</v>
      </c>
      <c r="H2810" s="4" t="s">
        <v>32</v>
      </c>
      <c r="I2810" s="4" t="s">
        <v>33</v>
      </c>
      <c r="J2810" s="4">
        <v>0</v>
      </c>
      <c r="K2810" s="4">
        <v>0</v>
      </c>
      <c r="L2810" s="4">
        <f>J2810+K2810</f>
        <v>0</v>
      </c>
      <c r="M2810" s="4" t="s">
        <v>1558</v>
      </c>
      <c r="N2810" s="4"/>
      <c r="O2810" s="4">
        <v>1</v>
      </c>
      <c r="P2810" s="4" t="s">
        <v>135</v>
      </c>
      <c r="Q2810" s="4"/>
      <c r="R2810" s="7">
        <v>84000</v>
      </c>
      <c r="S2810" s="7">
        <v>0</v>
      </c>
      <c r="T2810" s="7">
        <f>R2810-S2810</f>
        <v>0</v>
      </c>
      <c r="U2810" s="7">
        <f>T2810*O2810</f>
        <v>0</v>
      </c>
    </row>
    <row r="2811" spans="1:21">
      <c r="A2811" s="4" t="s">
        <v>3904</v>
      </c>
      <c r="B2811" s="4" t="s">
        <v>39</v>
      </c>
      <c r="C2811" s="5">
        <v>45958.2353125</v>
      </c>
      <c r="D2811" s="5">
        <v>45958</v>
      </c>
      <c r="E2811" s="6">
        <f>IF(AND(C2811&lt;&gt;"",D2811&lt;&gt;""),D2811-C2811,"")</f>
        <v>0</v>
      </c>
      <c r="F2811" s="4" t="s">
        <v>3905</v>
      </c>
      <c r="G2811" s="4" t="s">
        <v>3906</v>
      </c>
      <c r="H2811" s="4" t="s">
        <v>32</v>
      </c>
      <c r="I2811" s="4" t="s">
        <v>33</v>
      </c>
      <c r="J2811" s="4">
        <v>0</v>
      </c>
      <c r="K2811" s="4">
        <v>0</v>
      </c>
      <c r="L2811" s="4">
        <f>J2811+K2811</f>
        <v>0</v>
      </c>
      <c r="M2811" s="4" t="s">
        <v>1774</v>
      </c>
      <c r="N2811" s="4"/>
      <c r="O2811" s="4">
        <v>1</v>
      </c>
      <c r="P2811" s="4" t="s">
        <v>135</v>
      </c>
      <c r="Q2811" s="4"/>
      <c r="R2811" s="7">
        <v>163000</v>
      </c>
      <c r="S2811" s="7">
        <v>0</v>
      </c>
      <c r="T2811" s="7">
        <f>R2811-S2811</f>
        <v>0</v>
      </c>
      <c r="U2811" s="7">
        <f>T2811*O2811</f>
        <v>0</v>
      </c>
    </row>
    <row r="2812" spans="1:21">
      <c r="A2812" s="4" t="s">
        <v>3904</v>
      </c>
      <c r="B2812" s="4" t="s">
        <v>39</v>
      </c>
      <c r="C2812" s="5">
        <v>45958.2353125</v>
      </c>
      <c r="D2812" s="5">
        <v>45958</v>
      </c>
      <c r="E2812" s="6">
        <f>IF(AND(C2812&lt;&gt;"",D2812&lt;&gt;""),D2812-C2812,"")</f>
        <v>0</v>
      </c>
      <c r="F2812" s="4" t="s">
        <v>3905</v>
      </c>
      <c r="G2812" s="4" t="s">
        <v>3906</v>
      </c>
      <c r="H2812" s="4" t="s">
        <v>32</v>
      </c>
      <c r="I2812" s="4" t="s">
        <v>33</v>
      </c>
      <c r="J2812" s="4">
        <v>0</v>
      </c>
      <c r="K2812" s="4">
        <v>0</v>
      </c>
      <c r="L2812" s="4">
        <f>J2812+K2812</f>
        <v>0</v>
      </c>
      <c r="M2812" s="4" t="s">
        <v>3926</v>
      </c>
      <c r="N2812" s="4"/>
      <c r="O2812" s="4">
        <v>1</v>
      </c>
      <c r="P2812" s="4" t="s">
        <v>135</v>
      </c>
      <c r="Q2812" s="4"/>
      <c r="R2812" s="7">
        <v>53000</v>
      </c>
      <c r="S2812" s="7">
        <v>0</v>
      </c>
      <c r="T2812" s="7">
        <f>R2812-S2812</f>
        <v>0</v>
      </c>
      <c r="U2812" s="7">
        <f>T2812*O2812</f>
        <v>0</v>
      </c>
    </row>
    <row r="2813" spans="1:21">
      <c r="A2813" s="4" t="s">
        <v>3904</v>
      </c>
      <c r="B2813" s="4" t="s">
        <v>39</v>
      </c>
      <c r="C2813" s="5">
        <v>45958.2353125</v>
      </c>
      <c r="D2813" s="5">
        <v>45958</v>
      </c>
      <c r="E2813" s="6">
        <f>IF(AND(C2813&lt;&gt;"",D2813&lt;&gt;""),D2813-C2813,"")</f>
        <v>0</v>
      </c>
      <c r="F2813" s="4" t="s">
        <v>3905</v>
      </c>
      <c r="G2813" s="4" t="s">
        <v>3906</v>
      </c>
      <c r="H2813" s="4" t="s">
        <v>32</v>
      </c>
      <c r="I2813" s="4" t="s">
        <v>33</v>
      </c>
      <c r="J2813" s="4">
        <v>0</v>
      </c>
      <c r="K2813" s="4">
        <v>0</v>
      </c>
      <c r="L2813" s="4">
        <f>J2813+K2813</f>
        <v>0</v>
      </c>
      <c r="M2813" s="4" t="s">
        <v>1828</v>
      </c>
      <c r="N2813" s="4"/>
      <c r="O2813" s="4">
        <v>1</v>
      </c>
      <c r="P2813" s="4" t="s">
        <v>135</v>
      </c>
      <c r="Q2813" s="4"/>
      <c r="R2813" s="7">
        <v>121000</v>
      </c>
      <c r="S2813" s="7">
        <v>0</v>
      </c>
      <c r="T2813" s="7">
        <f>R2813-S2813</f>
        <v>0</v>
      </c>
      <c r="U2813" s="7">
        <f>T2813*O2813</f>
        <v>0</v>
      </c>
    </row>
    <row r="2814" spans="1:21">
      <c r="A2814" s="4" t="s">
        <v>3904</v>
      </c>
      <c r="B2814" s="4" t="s">
        <v>39</v>
      </c>
      <c r="C2814" s="5">
        <v>45958.2353125</v>
      </c>
      <c r="D2814" s="5">
        <v>45958</v>
      </c>
      <c r="E2814" s="6">
        <f>IF(AND(C2814&lt;&gt;"",D2814&lt;&gt;""),D2814-C2814,"")</f>
        <v>0</v>
      </c>
      <c r="F2814" s="4" t="s">
        <v>3905</v>
      </c>
      <c r="G2814" s="4" t="s">
        <v>3906</v>
      </c>
      <c r="H2814" s="4" t="s">
        <v>32</v>
      </c>
      <c r="I2814" s="4" t="s">
        <v>33</v>
      </c>
      <c r="J2814" s="4">
        <v>0</v>
      </c>
      <c r="K2814" s="4">
        <v>0</v>
      </c>
      <c r="L2814" s="4">
        <f>J2814+K2814</f>
        <v>0</v>
      </c>
      <c r="M2814" s="4" t="s">
        <v>3927</v>
      </c>
      <c r="N2814" s="4"/>
      <c r="O2814" s="4">
        <v>1</v>
      </c>
      <c r="P2814" s="4" t="s">
        <v>135</v>
      </c>
      <c r="Q2814" s="4"/>
      <c r="R2814" s="7">
        <v>64000</v>
      </c>
      <c r="S2814" s="7">
        <v>0</v>
      </c>
      <c r="T2814" s="7">
        <f>R2814-S2814</f>
        <v>0</v>
      </c>
      <c r="U2814" s="7">
        <f>T2814*O2814</f>
        <v>0</v>
      </c>
    </row>
    <row r="2815" spans="1:21">
      <c r="A2815" s="4" t="s">
        <v>3904</v>
      </c>
      <c r="B2815" s="4" t="s">
        <v>39</v>
      </c>
      <c r="C2815" s="5">
        <v>45958.2353125</v>
      </c>
      <c r="D2815" s="5">
        <v>45958</v>
      </c>
      <c r="E2815" s="6">
        <f>IF(AND(C2815&lt;&gt;"",D2815&lt;&gt;""),D2815-C2815,"")</f>
        <v>0</v>
      </c>
      <c r="F2815" s="4" t="s">
        <v>3905</v>
      </c>
      <c r="G2815" s="4" t="s">
        <v>3906</v>
      </c>
      <c r="H2815" s="4" t="s">
        <v>32</v>
      </c>
      <c r="I2815" s="4" t="s">
        <v>33</v>
      </c>
      <c r="J2815" s="4">
        <v>0</v>
      </c>
      <c r="K2815" s="4">
        <v>0</v>
      </c>
      <c r="L2815" s="4">
        <f>J2815+K2815</f>
        <v>0</v>
      </c>
      <c r="M2815" s="4" t="s">
        <v>1420</v>
      </c>
      <c r="N2815" s="4"/>
      <c r="O2815" s="4">
        <v>1</v>
      </c>
      <c r="P2815" s="4" t="s">
        <v>135</v>
      </c>
      <c r="Q2815" s="4"/>
      <c r="R2815" s="7">
        <v>108000</v>
      </c>
      <c r="S2815" s="7">
        <v>0</v>
      </c>
      <c r="T2815" s="7">
        <f>R2815-S2815</f>
        <v>0</v>
      </c>
      <c r="U2815" s="7">
        <f>T2815*O2815</f>
        <v>0</v>
      </c>
    </row>
    <row r="2816" spans="1:21">
      <c r="A2816" s="4" t="s">
        <v>3904</v>
      </c>
      <c r="B2816" s="4" t="s">
        <v>39</v>
      </c>
      <c r="C2816" s="5">
        <v>45958.2353125</v>
      </c>
      <c r="D2816" s="5">
        <v>45958</v>
      </c>
      <c r="E2816" s="6">
        <f>IF(AND(C2816&lt;&gt;"",D2816&lt;&gt;""),D2816-C2816,"")</f>
        <v>0</v>
      </c>
      <c r="F2816" s="4" t="s">
        <v>3905</v>
      </c>
      <c r="G2816" s="4" t="s">
        <v>3906</v>
      </c>
      <c r="H2816" s="4" t="s">
        <v>32</v>
      </c>
      <c r="I2816" s="4" t="s">
        <v>33</v>
      </c>
      <c r="J2816" s="4">
        <v>0</v>
      </c>
      <c r="K2816" s="4">
        <v>0</v>
      </c>
      <c r="L2816" s="4">
        <f>J2816+K2816</f>
        <v>0</v>
      </c>
      <c r="M2816" s="4" t="s">
        <v>3889</v>
      </c>
      <c r="N2816" s="4"/>
      <c r="O2816" s="4">
        <v>1</v>
      </c>
      <c r="P2816" s="4" t="s">
        <v>135</v>
      </c>
      <c r="Q2816" s="4"/>
      <c r="R2816" s="7">
        <v>139000</v>
      </c>
      <c r="S2816" s="7">
        <v>0</v>
      </c>
      <c r="T2816" s="7">
        <f>R2816-S2816</f>
        <v>0</v>
      </c>
      <c r="U2816" s="7">
        <f>T2816*O2816</f>
        <v>0</v>
      </c>
    </row>
    <row r="2817" spans="1:21">
      <c r="A2817" s="4" t="s">
        <v>3904</v>
      </c>
      <c r="B2817" s="4" t="s">
        <v>39</v>
      </c>
      <c r="C2817" s="5">
        <v>45958.2353125</v>
      </c>
      <c r="D2817" s="5">
        <v>45958</v>
      </c>
      <c r="E2817" s="6">
        <f>IF(AND(C2817&lt;&gt;"",D2817&lt;&gt;""),D2817-C2817,"")</f>
        <v>0</v>
      </c>
      <c r="F2817" s="4" t="s">
        <v>3905</v>
      </c>
      <c r="G2817" s="4" t="s">
        <v>3906</v>
      </c>
      <c r="H2817" s="4" t="s">
        <v>32</v>
      </c>
      <c r="I2817" s="4" t="s">
        <v>33</v>
      </c>
      <c r="J2817" s="4">
        <v>0</v>
      </c>
      <c r="K2817" s="4">
        <v>0</v>
      </c>
      <c r="L2817" s="4">
        <f>J2817+K2817</f>
        <v>0</v>
      </c>
      <c r="M2817" s="4" t="s">
        <v>3890</v>
      </c>
      <c r="N2817" s="4"/>
      <c r="O2817" s="4">
        <v>1</v>
      </c>
      <c r="P2817" s="4" t="s">
        <v>135</v>
      </c>
      <c r="Q2817" s="4"/>
      <c r="R2817" s="7">
        <v>62000</v>
      </c>
      <c r="S2817" s="7">
        <v>0</v>
      </c>
      <c r="T2817" s="7">
        <f>R2817-S2817</f>
        <v>0</v>
      </c>
      <c r="U2817" s="7">
        <f>T2817*O2817</f>
        <v>0</v>
      </c>
    </row>
    <row r="2818" spans="1:21">
      <c r="A2818" s="4" t="s">
        <v>3904</v>
      </c>
      <c r="B2818" s="4" t="s">
        <v>39</v>
      </c>
      <c r="C2818" s="5">
        <v>45958.2353125</v>
      </c>
      <c r="D2818" s="5">
        <v>45958</v>
      </c>
      <c r="E2818" s="6">
        <f>IF(AND(C2818&lt;&gt;"",D2818&lt;&gt;""),D2818-C2818,"")</f>
        <v>0</v>
      </c>
      <c r="F2818" s="4" t="s">
        <v>3905</v>
      </c>
      <c r="G2818" s="4" t="s">
        <v>3906</v>
      </c>
      <c r="H2818" s="4" t="s">
        <v>32</v>
      </c>
      <c r="I2818" s="4" t="s">
        <v>33</v>
      </c>
      <c r="J2818" s="4">
        <v>0</v>
      </c>
      <c r="K2818" s="4">
        <v>0</v>
      </c>
      <c r="L2818" s="4">
        <f>J2818+K2818</f>
        <v>0</v>
      </c>
      <c r="M2818" s="4" t="s">
        <v>3928</v>
      </c>
      <c r="N2818" s="4"/>
      <c r="O2818" s="4">
        <v>1</v>
      </c>
      <c r="P2818" s="4" t="s">
        <v>135</v>
      </c>
      <c r="Q2818" s="4"/>
      <c r="R2818" s="7">
        <v>60000</v>
      </c>
      <c r="S2818" s="7">
        <v>0</v>
      </c>
      <c r="T2818" s="7">
        <f>R2818-S2818</f>
        <v>0</v>
      </c>
      <c r="U2818" s="7">
        <f>T2818*O2818</f>
        <v>0</v>
      </c>
    </row>
    <row r="2819" spans="1:21">
      <c r="A2819" s="4" t="s">
        <v>3904</v>
      </c>
      <c r="B2819" s="4" t="s">
        <v>39</v>
      </c>
      <c r="C2819" s="5">
        <v>45958.2353125</v>
      </c>
      <c r="D2819" s="5">
        <v>45958</v>
      </c>
      <c r="E2819" s="6">
        <f>IF(AND(C2819&lt;&gt;"",D2819&lt;&gt;""),D2819-C2819,"")</f>
        <v>0</v>
      </c>
      <c r="F2819" s="4" t="s">
        <v>3905</v>
      </c>
      <c r="G2819" s="4" t="s">
        <v>3906</v>
      </c>
      <c r="H2819" s="4" t="s">
        <v>32</v>
      </c>
      <c r="I2819" s="4" t="s">
        <v>33</v>
      </c>
      <c r="J2819" s="4">
        <v>0</v>
      </c>
      <c r="K2819" s="4">
        <v>0</v>
      </c>
      <c r="L2819" s="4">
        <f>J2819+K2819</f>
        <v>0</v>
      </c>
      <c r="M2819" s="4" t="s">
        <v>3929</v>
      </c>
      <c r="N2819" s="4"/>
      <c r="O2819" s="4">
        <v>1</v>
      </c>
      <c r="P2819" s="4" t="s">
        <v>135</v>
      </c>
      <c r="Q2819" s="4"/>
      <c r="R2819" s="7">
        <v>89000</v>
      </c>
      <c r="S2819" s="7">
        <v>0</v>
      </c>
      <c r="T2819" s="7">
        <f>R2819-S2819</f>
        <v>0</v>
      </c>
      <c r="U2819" s="7">
        <f>T2819*O2819</f>
        <v>0</v>
      </c>
    </row>
    <row r="2820" spans="1:21">
      <c r="A2820" s="4" t="s">
        <v>3904</v>
      </c>
      <c r="B2820" s="4" t="s">
        <v>39</v>
      </c>
      <c r="C2820" s="5">
        <v>45958.2353125</v>
      </c>
      <c r="D2820" s="5">
        <v>45958</v>
      </c>
      <c r="E2820" s="6">
        <f>IF(AND(C2820&lt;&gt;"",D2820&lt;&gt;""),D2820-C2820,"")</f>
        <v>0</v>
      </c>
      <c r="F2820" s="4" t="s">
        <v>3905</v>
      </c>
      <c r="G2820" s="4" t="s">
        <v>3906</v>
      </c>
      <c r="H2820" s="4" t="s">
        <v>32</v>
      </c>
      <c r="I2820" s="4" t="s">
        <v>33</v>
      </c>
      <c r="J2820" s="4">
        <v>0</v>
      </c>
      <c r="K2820" s="4">
        <v>0</v>
      </c>
      <c r="L2820" s="4">
        <f>J2820+K2820</f>
        <v>0</v>
      </c>
      <c r="M2820" s="4" t="s">
        <v>3892</v>
      </c>
      <c r="N2820" s="4"/>
      <c r="O2820" s="4">
        <v>1</v>
      </c>
      <c r="P2820" s="4" t="s">
        <v>135</v>
      </c>
      <c r="Q2820" s="4"/>
      <c r="R2820" s="7">
        <v>87000</v>
      </c>
      <c r="S2820" s="7">
        <v>0</v>
      </c>
      <c r="T2820" s="7">
        <f>R2820-S2820</f>
        <v>0</v>
      </c>
      <c r="U2820" s="7">
        <f>T2820*O2820</f>
        <v>0</v>
      </c>
    </row>
    <row r="2821" spans="1:21">
      <c r="A2821" s="4" t="s">
        <v>3904</v>
      </c>
      <c r="B2821" s="4" t="s">
        <v>39</v>
      </c>
      <c r="C2821" s="5">
        <v>45958.2353125</v>
      </c>
      <c r="D2821" s="5">
        <v>45958</v>
      </c>
      <c r="E2821" s="6">
        <f>IF(AND(C2821&lt;&gt;"",D2821&lt;&gt;""),D2821-C2821,"")</f>
        <v>0</v>
      </c>
      <c r="F2821" s="4" t="s">
        <v>3905</v>
      </c>
      <c r="G2821" s="4" t="s">
        <v>3906</v>
      </c>
      <c r="H2821" s="4" t="s">
        <v>32</v>
      </c>
      <c r="I2821" s="4" t="s">
        <v>33</v>
      </c>
      <c r="J2821" s="4">
        <v>0</v>
      </c>
      <c r="K2821" s="4">
        <v>0</v>
      </c>
      <c r="L2821" s="4">
        <f>J2821+K2821</f>
        <v>0</v>
      </c>
      <c r="M2821" s="4" t="s">
        <v>3839</v>
      </c>
      <c r="N2821" s="4"/>
      <c r="O2821" s="4">
        <v>1</v>
      </c>
      <c r="P2821" s="4" t="s">
        <v>135</v>
      </c>
      <c r="Q2821" s="4"/>
      <c r="R2821" s="7">
        <v>102000</v>
      </c>
      <c r="S2821" s="7">
        <v>0</v>
      </c>
      <c r="T2821" s="7">
        <f>R2821-S2821</f>
        <v>0</v>
      </c>
      <c r="U2821" s="7">
        <f>T2821*O2821</f>
        <v>0</v>
      </c>
    </row>
    <row r="2822" spans="1:21">
      <c r="A2822" s="4" t="s">
        <v>3904</v>
      </c>
      <c r="B2822" s="4" t="s">
        <v>39</v>
      </c>
      <c r="C2822" s="5">
        <v>45958.2353125</v>
      </c>
      <c r="D2822" s="5">
        <v>45958</v>
      </c>
      <c r="E2822" s="6">
        <f>IF(AND(C2822&lt;&gt;"",D2822&lt;&gt;""),D2822-C2822,"")</f>
        <v>0</v>
      </c>
      <c r="F2822" s="4" t="s">
        <v>3905</v>
      </c>
      <c r="G2822" s="4" t="s">
        <v>3906</v>
      </c>
      <c r="H2822" s="4" t="s">
        <v>32</v>
      </c>
      <c r="I2822" s="4" t="s">
        <v>33</v>
      </c>
      <c r="J2822" s="4">
        <v>0</v>
      </c>
      <c r="K2822" s="4">
        <v>0</v>
      </c>
      <c r="L2822" s="4">
        <f>J2822+K2822</f>
        <v>0</v>
      </c>
      <c r="M2822" s="4" t="s">
        <v>3803</v>
      </c>
      <c r="N2822" s="4"/>
      <c r="O2822" s="4">
        <v>1</v>
      </c>
      <c r="P2822" s="4" t="s">
        <v>135</v>
      </c>
      <c r="Q2822" s="4"/>
      <c r="R2822" s="7">
        <v>114000</v>
      </c>
      <c r="S2822" s="7">
        <v>0</v>
      </c>
      <c r="T2822" s="7">
        <f>R2822-S2822</f>
        <v>0</v>
      </c>
      <c r="U2822" s="7">
        <f>T2822*O2822</f>
        <v>0</v>
      </c>
    </row>
    <row r="2823" spans="1:21">
      <c r="A2823" s="4" t="s">
        <v>3904</v>
      </c>
      <c r="B2823" s="4" t="s">
        <v>39</v>
      </c>
      <c r="C2823" s="5">
        <v>45958.2353125</v>
      </c>
      <c r="D2823" s="5">
        <v>45958</v>
      </c>
      <c r="E2823" s="6">
        <f>IF(AND(C2823&lt;&gt;"",D2823&lt;&gt;""),D2823-C2823,"")</f>
        <v>0</v>
      </c>
      <c r="F2823" s="4" t="s">
        <v>3905</v>
      </c>
      <c r="G2823" s="4" t="s">
        <v>3906</v>
      </c>
      <c r="H2823" s="4" t="s">
        <v>32</v>
      </c>
      <c r="I2823" s="4" t="s">
        <v>33</v>
      </c>
      <c r="J2823" s="4">
        <v>0</v>
      </c>
      <c r="K2823" s="4">
        <v>0</v>
      </c>
      <c r="L2823" s="4">
        <f>J2823+K2823</f>
        <v>0</v>
      </c>
      <c r="M2823" s="4" t="s">
        <v>1559</v>
      </c>
      <c r="N2823" s="4"/>
      <c r="O2823" s="4">
        <v>1</v>
      </c>
      <c r="P2823" s="4" t="s">
        <v>135</v>
      </c>
      <c r="Q2823" s="4"/>
      <c r="R2823" s="7">
        <v>76000</v>
      </c>
      <c r="S2823" s="7">
        <v>0</v>
      </c>
      <c r="T2823" s="7">
        <f>R2823-S2823</f>
        <v>0</v>
      </c>
      <c r="U2823" s="7">
        <f>T2823*O2823</f>
        <v>0</v>
      </c>
    </row>
    <row r="2824" spans="1:21">
      <c r="A2824" s="4" t="s">
        <v>3904</v>
      </c>
      <c r="B2824" s="4" t="s">
        <v>39</v>
      </c>
      <c r="C2824" s="5">
        <v>45958.2353125</v>
      </c>
      <c r="D2824" s="5">
        <v>45958</v>
      </c>
      <c r="E2824" s="6">
        <f>IF(AND(C2824&lt;&gt;"",D2824&lt;&gt;""),D2824-C2824,"")</f>
        <v>0</v>
      </c>
      <c r="F2824" s="4" t="s">
        <v>3905</v>
      </c>
      <c r="G2824" s="4" t="s">
        <v>3906</v>
      </c>
      <c r="H2824" s="4" t="s">
        <v>32</v>
      </c>
      <c r="I2824" s="4" t="s">
        <v>33</v>
      </c>
      <c r="J2824" s="4">
        <v>0</v>
      </c>
      <c r="K2824" s="4">
        <v>0</v>
      </c>
      <c r="L2824" s="4">
        <f>J2824+K2824</f>
        <v>0</v>
      </c>
      <c r="M2824" s="4" t="s">
        <v>3898</v>
      </c>
      <c r="N2824" s="4"/>
      <c r="O2824" s="4">
        <v>1</v>
      </c>
      <c r="P2824" s="4" t="s">
        <v>135</v>
      </c>
      <c r="Q2824" s="4"/>
      <c r="R2824" s="7">
        <v>44000</v>
      </c>
      <c r="S2824" s="7">
        <v>0</v>
      </c>
      <c r="T2824" s="7">
        <f>R2824-S2824</f>
        <v>0</v>
      </c>
      <c r="U2824" s="7">
        <f>T2824*O2824</f>
        <v>0</v>
      </c>
    </row>
    <row r="2825" spans="1:21">
      <c r="A2825" s="4" t="s">
        <v>3904</v>
      </c>
      <c r="B2825" s="4" t="s">
        <v>39</v>
      </c>
      <c r="C2825" s="5">
        <v>45958.2353125</v>
      </c>
      <c r="D2825" s="5">
        <v>45958</v>
      </c>
      <c r="E2825" s="6">
        <f>IF(AND(C2825&lt;&gt;"",D2825&lt;&gt;""),D2825-C2825,"")</f>
        <v>0</v>
      </c>
      <c r="F2825" s="4" t="s">
        <v>3905</v>
      </c>
      <c r="G2825" s="4" t="s">
        <v>3906</v>
      </c>
      <c r="H2825" s="4" t="s">
        <v>32</v>
      </c>
      <c r="I2825" s="4" t="s">
        <v>33</v>
      </c>
      <c r="J2825" s="4">
        <v>0</v>
      </c>
      <c r="K2825" s="4">
        <v>0</v>
      </c>
      <c r="L2825" s="4">
        <f>J2825+K2825</f>
        <v>0</v>
      </c>
      <c r="M2825" s="4" t="s">
        <v>3930</v>
      </c>
      <c r="N2825" s="4"/>
      <c r="O2825" s="4">
        <v>1</v>
      </c>
      <c r="P2825" s="4" t="s">
        <v>135</v>
      </c>
      <c r="Q2825" s="4"/>
      <c r="R2825" s="7">
        <v>12000</v>
      </c>
      <c r="S2825" s="7">
        <v>0</v>
      </c>
      <c r="T2825" s="7">
        <f>R2825-S2825</f>
        <v>0</v>
      </c>
      <c r="U2825" s="7">
        <f>T2825*O2825</f>
        <v>0</v>
      </c>
    </row>
    <row r="2826" spans="1:21">
      <c r="A2826" s="4" t="s">
        <v>3904</v>
      </c>
      <c r="B2826" s="4" t="s">
        <v>39</v>
      </c>
      <c r="C2826" s="5">
        <v>45958.2353125</v>
      </c>
      <c r="D2826" s="5">
        <v>45958</v>
      </c>
      <c r="E2826" s="6">
        <f>IF(AND(C2826&lt;&gt;"",D2826&lt;&gt;""),D2826-C2826,"")</f>
        <v>0</v>
      </c>
      <c r="F2826" s="4" t="s">
        <v>3905</v>
      </c>
      <c r="G2826" s="4" t="s">
        <v>3906</v>
      </c>
      <c r="H2826" s="4" t="s">
        <v>32</v>
      </c>
      <c r="I2826" s="4" t="s">
        <v>33</v>
      </c>
      <c r="J2826" s="4">
        <v>0</v>
      </c>
      <c r="K2826" s="4">
        <v>0</v>
      </c>
      <c r="L2826" s="4">
        <f>J2826+K2826</f>
        <v>0</v>
      </c>
      <c r="M2826" s="4" t="s">
        <v>1544</v>
      </c>
      <c r="N2826" s="4"/>
      <c r="O2826" s="4">
        <v>1</v>
      </c>
      <c r="P2826" s="4" t="s">
        <v>135</v>
      </c>
      <c r="Q2826" s="4"/>
      <c r="R2826" s="7">
        <v>112000</v>
      </c>
      <c r="S2826" s="7">
        <v>0</v>
      </c>
      <c r="T2826" s="7">
        <f>R2826-S2826</f>
        <v>0</v>
      </c>
      <c r="U2826" s="7">
        <f>T2826*O2826</f>
        <v>0</v>
      </c>
    </row>
    <row r="2827" spans="1:21">
      <c r="A2827" s="4" t="s">
        <v>3904</v>
      </c>
      <c r="B2827" s="4" t="s">
        <v>39</v>
      </c>
      <c r="C2827" s="5">
        <v>45958.2353125</v>
      </c>
      <c r="D2827" s="5">
        <v>45958</v>
      </c>
      <c r="E2827" s="6">
        <f>IF(AND(C2827&lt;&gt;"",D2827&lt;&gt;""),D2827-C2827,"")</f>
        <v>0</v>
      </c>
      <c r="F2827" s="4" t="s">
        <v>3905</v>
      </c>
      <c r="G2827" s="4" t="s">
        <v>3906</v>
      </c>
      <c r="H2827" s="4" t="s">
        <v>32</v>
      </c>
      <c r="I2827" s="4" t="s">
        <v>33</v>
      </c>
      <c r="J2827" s="4">
        <v>0</v>
      </c>
      <c r="K2827" s="4">
        <v>0</v>
      </c>
      <c r="L2827" s="4">
        <f>J2827+K2827</f>
        <v>0</v>
      </c>
      <c r="M2827" s="4" t="s">
        <v>3931</v>
      </c>
      <c r="N2827" s="4"/>
      <c r="O2827" s="4">
        <v>1</v>
      </c>
      <c r="P2827" s="4" t="s">
        <v>135</v>
      </c>
      <c r="Q2827" s="4"/>
      <c r="R2827" s="7">
        <v>18000</v>
      </c>
      <c r="S2827" s="7">
        <v>0</v>
      </c>
      <c r="T2827" s="7">
        <f>R2827-S2827</f>
        <v>0</v>
      </c>
      <c r="U2827" s="7">
        <f>T2827*O2827</f>
        <v>0</v>
      </c>
    </row>
    <row r="2828" spans="1:21">
      <c r="A2828" s="4" t="s">
        <v>3904</v>
      </c>
      <c r="B2828" s="4" t="s">
        <v>39</v>
      </c>
      <c r="C2828" s="5">
        <v>45958.2353125</v>
      </c>
      <c r="D2828" s="5">
        <v>45958</v>
      </c>
      <c r="E2828" s="6">
        <f>IF(AND(C2828&lt;&gt;"",D2828&lt;&gt;""),D2828-C2828,"")</f>
        <v>0</v>
      </c>
      <c r="F2828" s="4" t="s">
        <v>3905</v>
      </c>
      <c r="G2828" s="4" t="s">
        <v>3906</v>
      </c>
      <c r="H2828" s="4" t="s">
        <v>32</v>
      </c>
      <c r="I2828" s="4" t="s">
        <v>33</v>
      </c>
      <c r="J2828" s="4">
        <v>0</v>
      </c>
      <c r="K2828" s="4">
        <v>0</v>
      </c>
      <c r="L2828" s="4">
        <f>J2828+K2828</f>
        <v>0</v>
      </c>
      <c r="M2828" s="4" t="s">
        <v>1533</v>
      </c>
      <c r="N2828" s="4"/>
      <c r="O2828" s="4">
        <v>1</v>
      </c>
      <c r="P2828" s="4" t="s">
        <v>135</v>
      </c>
      <c r="Q2828" s="4"/>
      <c r="R2828" s="7">
        <v>108000</v>
      </c>
      <c r="S2828" s="7">
        <v>0</v>
      </c>
      <c r="T2828" s="7">
        <f>R2828-S2828</f>
        <v>0</v>
      </c>
      <c r="U2828" s="7">
        <f>T2828*O2828</f>
        <v>0</v>
      </c>
    </row>
    <row r="2829" spans="1:21">
      <c r="A2829" s="4" t="s">
        <v>3904</v>
      </c>
      <c r="B2829" s="4" t="s">
        <v>39</v>
      </c>
      <c r="C2829" s="5">
        <v>45958.2353125</v>
      </c>
      <c r="D2829" s="5">
        <v>45958</v>
      </c>
      <c r="E2829" s="6">
        <f>IF(AND(C2829&lt;&gt;"",D2829&lt;&gt;""),D2829-C2829,"")</f>
        <v>0</v>
      </c>
      <c r="F2829" s="4" t="s">
        <v>3905</v>
      </c>
      <c r="G2829" s="4" t="s">
        <v>3906</v>
      </c>
      <c r="H2829" s="4" t="s">
        <v>32</v>
      </c>
      <c r="I2829" s="4" t="s">
        <v>33</v>
      </c>
      <c r="J2829" s="4">
        <v>0</v>
      </c>
      <c r="K2829" s="4">
        <v>0</v>
      </c>
      <c r="L2829" s="4">
        <f>J2829+K2829</f>
        <v>0</v>
      </c>
      <c r="M2829" s="4" t="s">
        <v>3932</v>
      </c>
      <c r="N2829" s="4"/>
      <c r="O2829" s="4">
        <v>1</v>
      </c>
      <c r="P2829" s="4" t="s">
        <v>135</v>
      </c>
      <c r="Q2829" s="4"/>
      <c r="R2829" s="7">
        <v>60000</v>
      </c>
      <c r="S2829" s="7">
        <v>0</v>
      </c>
      <c r="T2829" s="7">
        <f>R2829-S2829</f>
        <v>0</v>
      </c>
      <c r="U2829" s="7">
        <f>T2829*O2829</f>
        <v>0</v>
      </c>
    </row>
    <row r="2830" spans="1:21">
      <c r="A2830" s="4" t="s">
        <v>3904</v>
      </c>
      <c r="B2830" s="4" t="s">
        <v>39</v>
      </c>
      <c r="C2830" s="5">
        <v>45958.2353125</v>
      </c>
      <c r="D2830" s="5">
        <v>45958</v>
      </c>
      <c r="E2830" s="6">
        <f>IF(AND(C2830&lt;&gt;"",D2830&lt;&gt;""),D2830-C2830,"")</f>
        <v>0</v>
      </c>
      <c r="F2830" s="4" t="s">
        <v>3905</v>
      </c>
      <c r="G2830" s="4" t="s">
        <v>3906</v>
      </c>
      <c r="H2830" s="4" t="s">
        <v>32</v>
      </c>
      <c r="I2830" s="4" t="s">
        <v>33</v>
      </c>
      <c r="J2830" s="4">
        <v>0</v>
      </c>
      <c r="K2830" s="4">
        <v>0</v>
      </c>
      <c r="L2830" s="4">
        <f>J2830+K2830</f>
        <v>0</v>
      </c>
      <c r="M2830" s="4" t="s">
        <v>3901</v>
      </c>
      <c r="N2830" s="4"/>
      <c r="O2830" s="4">
        <v>1</v>
      </c>
      <c r="P2830" s="4" t="s">
        <v>135</v>
      </c>
      <c r="Q2830" s="4"/>
      <c r="R2830" s="7">
        <v>44000</v>
      </c>
      <c r="S2830" s="7">
        <v>0</v>
      </c>
      <c r="T2830" s="7">
        <f>R2830-S2830</f>
        <v>0</v>
      </c>
      <c r="U2830" s="7">
        <f>T2830*O2830</f>
        <v>0</v>
      </c>
    </row>
    <row r="2831" spans="1:21">
      <c r="A2831" s="4" t="s">
        <v>3904</v>
      </c>
      <c r="B2831" s="4" t="s">
        <v>39</v>
      </c>
      <c r="C2831" s="5">
        <v>45958.2353125</v>
      </c>
      <c r="D2831" s="5">
        <v>45958</v>
      </c>
      <c r="E2831" s="6">
        <f>IF(AND(C2831&lt;&gt;"",D2831&lt;&gt;""),D2831-C2831,"")</f>
        <v>0</v>
      </c>
      <c r="F2831" s="4" t="s">
        <v>3905</v>
      </c>
      <c r="G2831" s="4" t="s">
        <v>3906</v>
      </c>
      <c r="H2831" s="4" t="s">
        <v>32</v>
      </c>
      <c r="I2831" s="4" t="s">
        <v>33</v>
      </c>
      <c r="J2831" s="4">
        <v>0</v>
      </c>
      <c r="K2831" s="4">
        <v>0</v>
      </c>
      <c r="L2831" s="4">
        <f>J2831+K2831</f>
        <v>0</v>
      </c>
      <c r="M2831" s="4" t="s">
        <v>3895</v>
      </c>
      <c r="N2831" s="4"/>
      <c r="O2831" s="4">
        <v>1</v>
      </c>
      <c r="P2831" s="4" t="s">
        <v>135</v>
      </c>
      <c r="Q2831" s="4"/>
      <c r="R2831" s="7">
        <v>44000</v>
      </c>
      <c r="S2831" s="7">
        <v>0</v>
      </c>
      <c r="T2831" s="7">
        <f>R2831-S2831</f>
        <v>0</v>
      </c>
      <c r="U2831" s="7">
        <f>T2831*O2831</f>
        <v>0</v>
      </c>
    </row>
    <row r="2832" spans="1:21">
      <c r="A2832" s="4" t="s">
        <v>3904</v>
      </c>
      <c r="B2832" s="4" t="s">
        <v>39</v>
      </c>
      <c r="C2832" s="5">
        <v>45958.2353125</v>
      </c>
      <c r="D2832" s="5">
        <v>45958</v>
      </c>
      <c r="E2832" s="6">
        <f>IF(AND(C2832&lt;&gt;"",D2832&lt;&gt;""),D2832-C2832,"")</f>
        <v>0</v>
      </c>
      <c r="F2832" s="4" t="s">
        <v>3905</v>
      </c>
      <c r="G2832" s="4" t="s">
        <v>3906</v>
      </c>
      <c r="H2832" s="4" t="s">
        <v>32</v>
      </c>
      <c r="I2832" s="4" t="s">
        <v>33</v>
      </c>
      <c r="J2832" s="4">
        <v>0</v>
      </c>
      <c r="K2832" s="4">
        <v>0</v>
      </c>
      <c r="L2832" s="4">
        <f>J2832+K2832</f>
        <v>0</v>
      </c>
      <c r="M2832" s="4" t="s">
        <v>3933</v>
      </c>
      <c r="N2832" s="4"/>
      <c r="O2832" s="4">
        <v>1</v>
      </c>
      <c r="P2832" s="4" t="s">
        <v>135</v>
      </c>
      <c r="Q2832" s="4"/>
      <c r="R2832" s="7">
        <v>122000</v>
      </c>
      <c r="S2832" s="7">
        <v>0</v>
      </c>
      <c r="T2832" s="7">
        <f>R2832-S2832</f>
        <v>0</v>
      </c>
      <c r="U2832" s="7">
        <f>T2832*O2832</f>
        <v>0</v>
      </c>
    </row>
    <row r="2833" spans="1:21">
      <c r="A2833" s="4" t="s">
        <v>3904</v>
      </c>
      <c r="B2833" s="4" t="s">
        <v>39</v>
      </c>
      <c r="C2833" s="5">
        <v>45958.2353125</v>
      </c>
      <c r="D2833" s="5">
        <v>45958</v>
      </c>
      <c r="E2833" s="6">
        <f>IF(AND(C2833&lt;&gt;"",D2833&lt;&gt;""),D2833-C2833,"")</f>
        <v>0</v>
      </c>
      <c r="F2833" s="4" t="s">
        <v>3905</v>
      </c>
      <c r="G2833" s="4" t="s">
        <v>3906</v>
      </c>
      <c r="H2833" s="4" t="s">
        <v>32</v>
      </c>
      <c r="I2833" s="4" t="s">
        <v>33</v>
      </c>
      <c r="J2833" s="4">
        <v>0</v>
      </c>
      <c r="K2833" s="4">
        <v>0</v>
      </c>
      <c r="L2833" s="4">
        <f>J2833+K2833</f>
        <v>0</v>
      </c>
      <c r="M2833" s="4" t="s">
        <v>3934</v>
      </c>
      <c r="N2833" s="4"/>
      <c r="O2833" s="4">
        <v>1</v>
      </c>
      <c r="P2833" s="4" t="s">
        <v>135</v>
      </c>
      <c r="Q2833" s="4"/>
      <c r="R2833" s="7">
        <v>19000</v>
      </c>
      <c r="S2833" s="7">
        <v>0</v>
      </c>
      <c r="T2833" s="7">
        <f>R2833-S2833</f>
        <v>0</v>
      </c>
      <c r="U2833" s="7">
        <f>T2833*O2833</f>
        <v>0</v>
      </c>
    </row>
    <row r="2834" spans="1:21">
      <c r="A2834" s="4" t="s">
        <v>3904</v>
      </c>
      <c r="B2834" s="4" t="s">
        <v>39</v>
      </c>
      <c r="C2834" s="5">
        <v>45958.2353125</v>
      </c>
      <c r="D2834" s="5">
        <v>45958</v>
      </c>
      <c r="E2834" s="6">
        <f>IF(AND(C2834&lt;&gt;"",D2834&lt;&gt;""),D2834-C2834,"")</f>
        <v>0</v>
      </c>
      <c r="F2834" s="4" t="s">
        <v>3905</v>
      </c>
      <c r="G2834" s="4" t="s">
        <v>3906</v>
      </c>
      <c r="H2834" s="4" t="s">
        <v>32</v>
      </c>
      <c r="I2834" s="4" t="s">
        <v>33</v>
      </c>
      <c r="J2834" s="4">
        <v>0</v>
      </c>
      <c r="K2834" s="4">
        <v>0</v>
      </c>
      <c r="L2834" s="4">
        <f>J2834+K2834</f>
        <v>0</v>
      </c>
      <c r="M2834" s="4" t="s">
        <v>1777</v>
      </c>
      <c r="N2834" s="4"/>
      <c r="O2834" s="4">
        <v>1</v>
      </c>
      <c r="P2834" s="4" t="s">
        <v>135</v>
      </c>
      <c r="Q2834" s="4"/>
      <c r="R2834" s="7">
        <v>122000</v>
      </c>
      <c r="S2834" s="7">
        <v>0</v>
      </c>
      <c r="T2834" s="7">
        <f>R2834-S2834</f>
        <v>0</v>
      </c>
      <c r="U2834" s="7">
        <f>T2834*O2834</f>
        <v>0</v>
      </c>
    </row>
    <row r="2835" spans="1:21">
      <c r="A2835" s="4" t="s">
        <v>3904</v>
      </c>
      <c r="B2835" s="4" t="s">
        <v>39</v>
      </c>
      <c r="C2835" s="5">
        <v>45958.2353125</v>
      </c>
      <c r="D2835" s="5">
        <v>45958</v>
      </c>
      <c r="E2835" s="6">
        <f>IF(AND(C2835&lt;&gt;"",D2835&lt;&gt;""),D2835-C2835,"")</f>
        <v>0</v>
      </c>
      <c r="F2835" s="4" t="s">
        <v>3905</v>
      </c>
      <c r="G2835" s="4" t="s">
        <v>3906</v>
      </c>
      <c r="H2835" s="4" t="s">
        <v>32</v>
      </c>
      <c r="I2835" s="4" t="s">
        <v>33</v>
      </c>
      <c r="J2835" s="4">
        <v>0</v>
      </c>
      <c r="K2835" s="4">
        <v>0</v>
      </c>
      <c r="L2835" s="4">
        <f>J2835+K2835</f>
        <v>0</v>
      </c>
      <c r="M2835" s="4" t="s">
        <v>3935</v>
      </c>
      <c r="N2835" s="4"/>
      <c r="O2835" s="4">
        <v>1</v>
      </c>
      <c r="P2835" s="4" t="s">
        <v>135</v>
      </c>
      <c r="Q2835" s="4"/>
      <c r="R2835" s="7">
        <v>77000</v>
      </c>
      <c r="S2835" s="7">
        <v>0</v>
      </c>
      <c r="T2835" s="7">
        <f>R2835-S2835</f>
        <v>0</v>
      </c>
      <c r="U2835" s="7">
        <f>T2835*O2835</f>
        <v>0</v>
      </c>
    </row>
    <row r="2836" spans="1:21">
      <c r="A2836" s="4" t="s">
        <v>3904</v>
      </c>
      <c r="B2836" s="4" t="s">
        <v>39</v>
      </c>
      <c r="C2836" s="5">
        <v>45958.2353125</v>
      </c>
      <c r="D2836" s="5">
        <v>45958</v>
      </c>
      <c r="E2836" s="6">
        <f>IF(AND(C2836&lt;&gt;"",D2836&lt;&gt;""),D2836-C2836,"")</f>
        <v>0</v>
      </c>
      <c r="F2836" s="4" t="s">
        <v>3905</v>
      </c>
      <c r="G2836" s="4" t="s">
        <v>3906</v>
      </c>
      <c r="H2836" s="4" t="s">
        <v>32</v>
      </c>
      <c r="I2836" s="4" t="s">
        <v>33</v>
      </c>
      <c r="J2836" s="4">
        <v>0</v>
      </c>
      <c r="K2836" s="4">
        <v>0</v>
      </c>
      <c r="L2836" s="4">
        <f>J2836+K2836</f>
        <v>0</v>
      </c>
      <c r="M2836" s="4" t="s">
        <v>3891</v>
      </c>
      <c r="N2836" s="4"/>
      <c r="O2836" s="4">
        <v>1</v>
      </c>
      <c r="P2836" s="4" t="s">
        <v>135</v>
      </c>
      <c r="Q2836" s="4"/>
      <c r="R2836" s="7">
        <v>48000</v>
      </c>
      <c r="S2836" s="7">
        <v>0</v>
      </c>
      <c r="T2836" s="7">
        <f>R2836-S2836</f>
        <v>0</v>
      </c>
      <c r="U2836" s="7">
        <f>T2836*O2836</f>
        <v>0</v>
      </c>
    </row>
    <row r="2837" spans="1:21">
      <c r="A2837" s="4" t="s">
        <v>3936</v>
      </c>
      <c r="B2837" s="4" t="s">
        <v>39</v>
      </c>
      <c r="C2837" s="5">
        <v>45958.23956018518</v>
      </c>
      <c r="D2837" s="5">
        <v>45958</v>
      </c>
      <c r="E2837" s="6">
        <f>IF(AND(C2837&lt;&gt;"",D2837&lt;&gt;""),D2837-C2837,"")</f>
        <v>0</v>
      </c>
      <c r="F2837" s="4" t="s">
        <v>3937</v>
      </c>
      <c r="G2837" s="4" t="s">
        <v>3938</v>
      </c>
      <c r="H2837" s="4" t="s">
        <v>32</v>
      </c>
      <c r="I2837" s="4" t="s">
        <v>33</v>
      </c>
      <c r="J2837" s="4">
        <v>0</v>
      </c>
      <c r="K2837" s="4">
        <v>0</v>
      </c>
      <c r="L2837" s="4">
        <f>J2837+K2837</f>
        <v>0</v>
      </c>
      <c r="M2837" s="4" t="s">
        <v>3630</v>
      </c>
      <c r="N2837" s="4"/>
      <c r="O2837" s="4">
        <v>1</v>
      </c>
      <c r="P2837" s="4" t="s">
        <v>135</v>
      </c>
      <c r="Q2837" s="4"/>
      <c r="R2837" s="7">
        <v>15000</v>
      </c>
      <c r="S2837" s="7">
        <v>0</v>
      </c>
      <c r="T2837" s="7">
        <f>R2837-S2837</f>
        <v>0</v>
      </c>
      <c r="U2837" s="7">
        <f>T2837*O2837</f>
        <v>0</v>
      </c>
    </row>
    <row r="2838" spans="1:21">
      <c r="A2838" s="4" t="s">
        <v>3936</v>
      </c>
      <c r="B2838" s="4" t="s">
        <v>39</v>
      </c>
      <c r="C2838" s="5">
        <v>45958.23956018518</v>
      </c>
      <c r="D2838" s="5">
        <v>45958</v>
      </c>
      <c r="E2838" s="6">
        <f>IF(AND(C2838&lt;&gt;"",D2838&lt;&gt;""),D2838-C2838,"")</f>
        <v>0</v>
      </c>
      <c r="F2838" s="4" t="s">
        <v>3937</v>
      </c>
      <c r="G2838" s="4" t="s">
        <v>3938</v>
      </c>
      <c r="H2838" s="4" t="s">
        <v>32</v>
      </c>
      <c r="I2838" s="4" t="s">
        <v>33</v>
      </c>
      <c r="J2838" s="4">
        <v>0</v>
      </c>
      <c r="K2838" s="4">
        <v>0</v>
      </c>
      <c r="L2838" s="4">
        <f>J2838+K2838</f>
        <v>0</v>
      </c>
      <c r="M2838" s="4" t="s">
        <v>1551</v>
      </c>
      <c r="N2838" s="4"/>
      <c r="O2838" s="4">
        <v>1</v>
      </c>
      <c r="P2838" s="4" t="s">
        <v>135</v>
      </c>
      <c r="Q2838" s="4"/>
      <c r="R2838" s="7">
        <v>40000</v>
      </c>
      <c r="S2838" s="7">
        <v>0</v>
      </c>
      <c r="T2838" s="7">
        <f>R2838-S2838</f>
        <v>0</v>
      </c>
      <c r="U2838" s="7">
        <f>T2838*O2838</f>
        <v>0</v>
      </c>
    </row>
    <row r="2839" spans="1:21">
      <c r="A2839" s="4" t="s">
        <v>3936</v>
      </c>
      <c r="B2839" s="4" t="s">
        <v>39</v>
      </c>
      <c r="C2839" s="5">
        <v>45958.23956018518</v>
      </c>
      <c r="D2839" s="5">
        <v>45958</v>
      </c>
      <c r="E2839" s="6">
        <f>IF(AND(C2839&lt;&gt;"",D2839&lt;&gt;""),D2839-C2839,"")</f>
        <v>0</v>
      </c>
      <c r="F2839" s="4" t="s">
        <v>3937</v>
      </c>
      <c r="G2839" s="4" t="s">
        <v>3938</v>
      </c>
      <c r="H2839" s="4" t="s">
        <v>32</v>
      </c>
      <c r="I2839" s="4" t="s">
        <v>33</v>
      </c>
      <c r="J2839" s="4">
        <v>0</v>
      </c>
      <c r="K2839" s="4">
        <v>0</v>
      </c>
      <c r="L2839" s="4">
        <f>J2839+K2839</f>
        <v>0</v>
      </c>
      <c r="M2839" s="4" t="s">
        <v>3630</v>
      </c>
      <c r="N2839" s="4"/>
      <c r="O2839" s="4">
        <v>1</v>
      </c>
      <c r="P2839" s="4" t="s">
        <v>135</v>
      </c>
      <c r="Q2839" s="4"/>
      <c r="R2839" s="7">
        <v>15000</v>
      </c>
      <c r="S2839" s="7">
        <v>0</v>
      </c>
      <c r="T2839" s="7">
        <f>R2839-S2839</f>
        <v>0</v>
      </c>
      <c r="U2839" s="7">
        <f>T2839*O2839</f>
        <v>0</v>
      </c>
    </row>
    <row r="2840" spans="1:21">
      <c r="A2840" s="4" t="s">
        <v>3936</v>
      </c>
      <c r="B2840" s="4" t="s">
        <v>39</v>
      </c>
      <c r="C2840" s="5">
        <v>45958.23956018518</v>
      </c>
      <c r="D2840" s="5">
        <v>45958</v>
      </c>
      <c r="E2840" s="6">
        <f>IF(AND(C2840&lt;&gt;"",D2840&lt;&gt;""),D2840-C2840,"")</f>
        <v>0</v>
      </c>
      <c r="F2840" s="4" t="s">
        <v>3937</v>
      </c>
      <c r="G2840" s="4" t="s">
        <v>3938</v>
      </c>
      <c r="H2840" s="4" t="s">
        <v>32</v>
      </c>
      <c r="I2840" s="4" t="s">
        <v>33</v>
      </c>
      <c r="J2840" s="4">
        <v>0</v>
      </c>
      <c r="K2840" s="4">
        <v>0</v>
      </c>
      <c r="L2840" s="4">
        <f>J2840+K2840</f>
        <v>0</v>
      </c>
      <c r="M2840" s="4" t="s">
        <v>3866</v>
      </c>
      <c r="N2840" s="4"/>
      <c r="O2840" s="4">
        <v>1</v>
      </c>
      <c r="P2840" s="4" t="s">
        <v>135</v>
      </c>
      <c r="Q2840" s="4"/>
      <c r="R2840" s="7">
        <v>200000</v>
      </c>
      <c r="S2840" s="7">
        <v>0</v>
      </c>
      <c r="T2840" s="7">
        <f>R2840-S2840</f>
        <v>0</v>
      </c>
      <c r="U2840" s="7">
        <f>T2840*O2840</f>
        <v>0</v>
      </c>
    </row>
    <row r="2841" spans="1:21">
      <c r="A2841" s="4" t="s">
        <v>3936</v>
      </c>
      <c r="B2841" s="4" t="s">
        <v>39</v>
      </c>
      <c r="C2841" s="5">
        <v>45958.23956018518</v>
      </c>
      <c r="D2841" s="5">
        <v>45958</v>
      </c>
      <c r="E2841" s="6">
        <f>IF(AND(C2841&lt;&gt;"",D2841&lt;&gt;""),D2841-C2841,"")</f>
        <v>0</v>
      </c>
      <c r="F2841" s="4" t="s">
        <v>3937</v>
      </c>
      <c r="G2841" s="4" t="s">
        <v>3938</v>
      </c>
      <c r="H2841" s="4" t="s">
        <v>32</v>
      </c>
      <c r="I2841" s="4" t="s">
        <v>33</v>
      </c>
      <c r="J2841" s="4">
        <v>1</v>
      </c>
      <c r="K2841" s="4">
        <v>0</v>
      </c>
      <c r="L2841" s="4">
        <f>J2841+K2841</f>
        <v>0</v>
      </c>
      <c r="M2841" s="4" t="s">
        <v>80</v>
      </c>
      <c r="N2841" s="4"/>
      <c r="O2841" s="4">
        <v>1</v>
      </c>
      <c r="P2841" s="4" t="s">
        <v>135</v>
      </c>
      <c r="Q2841" s="4"/>
      <c r="R2841" s="7">
        <v>610000</v>
      </c>
      <c r="S2841" s="7">
        <v>0</v>
      </c>
      <c r="T2841" s="7">
        <f>R2841-S2841</f>
        <v>0</v>
      </c>
      <c r="U2841" s="7">
        <f>T2841*O2841</f>
        <v>0</v>
      </c>
    </row>
    <row r="2842" spans="1:21">
      <c r="A2842" s="4" t="s">
        <v>3936</v>
      </c>
      <c r="B2842" s="4" t="s">
        <v>39</v>
      </c>
      <c r="C2842" s="5">
        <v>45958.23956018518</v>
      </c>
      <c r="D2842" s="5">
        <v>45958</v>
      </c>
      <c r="E2842" s="6">
        <f>IF(AND(C2842&lt;&gt;"",D2842&lt;&gt;""),D2842-C2842,"")</f>
        <v>0</v>
      </c>
      <c r="F2842" s="4" t="s">
        <v>3937</v>
      </c>
      <c r="G2842" s="4" t="s">
        <v>3938</v>
      </c>
      <c r="H2842" s="4" t="s">
        <v>32</v>
      </c>
      <c r="I2842" s="4" t="s">
        <v>33</v>
      </c>
      <c r="J2842" s="4">
        <v>0</v>
      </c>
      <c r="K2842" s="4">
        <v>0</v>
      </c>
      <c r="L2842" s="4">
        <f>J2842+K2842</f>
        <v>0</v>
      </c>
      <c r="M2842" s="4" t="s">
        <v>1551</v>
      </c>
      <c r="N2842" s="4"/>
      <c r="O2842" s="4">
        <v>1</v>
      </c>
      <c r="P2842" s="4" t="s">
        <v>135</v>
      </c>
      <c r="Q2842" s="4"/>
      <c r="R2842" s="7">
        <v>40000</v>
      </c>
      <c r="S2842" s="7">
        <v>0</v>
      </c>
      <c r="T2842" s="7">
        <f>R2842-S2842</f>
        <v>0</v>
      </c>
      <c r="U2842" s="7">
        <f>T2842*O2842</f>
        <v>0</v>
      </c>
    </row>
    <row r="2843" spans="1:21">
      <c r="A2843" s="4" t="s">
        <v>3936</v>
      </c>
      <c r="B2843" s="4" t="s">
        <v>39</v>
      </c>
      <c r="C2843" s="5">
        <v>45958.23956018518</v>
      </c>
      <c r="D2843" s="5">
        <v>45958</v>
      </c>
      <c r="E2843" s="6">
        <f>IF(AND(C2843&lt;&gt;"",D2843&lt;&gt;""),D2843-C2843,"")</f>
        <v>0</v>
      </c>
      <c r="F2843" s="4" t="s">
        <v>3937</v>
      </c>
      <c r="G2843" s="4" t="s">
        <v>3938</v>
      </c>
      <c r="H2843" s="4" t="s">
        <v>32</v>
      </c>
      <c r="I2843" s="4" t="s">
        <v>33</v>
      </c>
      <c r="J2843" s="4">
        <v>1</v>
      </c>
      <c r="K2843" s="4">
        <v>0</v>
      </c>
      <c r="L2843" s="4">
        <f>J2843+K2843</f>
        <v>0</v>
      </c>
      <c r="M2843" s="4" t="s">
        <v>80</v>
      </c>
      <c r="N2843" s="4"/>
      <c r="O2843" s="4">
        <v>1</v>
      </c>
      <c r="P2843" s="4" t="s">
        <v>135</v>
      </c>
      <c r="Q2843" s="4"/>
      <c r="R2843" s="7">
        <v>610000</v>
      </c>
      <c r="S2843" s="7">
        <v>0</v>
      </c>
      <c r="T2843" s="7">
        <f>R2843-S2843</f>
        <v>0</v>
      </c>
      <c r="U2843" s="7">
        <f>T2843*O2843</f>
        <v>0</v>
      </c>
    </row>
    <row r="2844" spans="1:21">
      <c r="A2844" s="4" t="s">
        <v>3936</v>
      </c>
      <c r="B2844" s="4" t="s">
        <v>39</v>
      </c>
      <c r="C2844" s="5">
        <v>45958.23956018518</v>
      </c>
      <c r="D2844" s="5">
        <v>45958</v>
      </c>
      <c r="E2844" s="6">
        <f>IF(AND(C2844&lt;&gt;"",D2844&lt;&gt;""),D2844-C2844,"")</f>
        <v>0</v>
      </c>
      <c r="F2844" s="4" t="s">
        <v>3937</v>
      </c>
      <c r="G2844" s="4" t="s">
        <v>3938</v>
      </c>
      <c r="H2844" s="4" t="s">
        <v>32</v>
      </c>
      <c r="I2844" s="4" t="s">
        <v>33</v>
      </c>
      <c r="J2844" s="4">
        <v>1</v>
      </c>
      <c r="K2844" s="4">
        <v>0</v>
      </c>
      <c r="L2844" s="4">
        <f>J2844+K2844</f>
        <v>0</v>
      </c>
      <c r="M2844" s="4" t="s">
        <v>80</v>
      </c>
      <c r="N2844" s="4"/>
      <c r="O2844" s="4">
        <v>1</v>
      </c>
      <c r="P2844" s="4" t="s">
        <v>135</v>
      </c>
      <c r="Q2844" s="4"/>
      <c r="R2844" s="7">
        <v>610000</v>
      </c>
      <c r="S2844" s="7">
        <v>0</v>
      </c>
      <c r="T2844" s="7">
        <f>R2844-S2844</f>
        <v>0</v>
      </c>
      <c r="U2844" s="7">
        <f>T2844*O2844</f>
        <v>0</v>
      </c>
    </row>
    <row r="2845" spans="1:21">
      <c r="A2845" s="4" t="s">
        <v>3936</v>
      </c>
      <c r="B2845" s="4" t="s">
        <v>39</v>
      </c>
      <c r="C2845" s="5">
        <v>45958.23956018518</v>
      </c>
      <c r="D2845" s="5">
        <v>45958</v>
      </c>
      <c r="E2845" s="6">
        <f>IF(AND(C2845&lt;&gt;"",D2845&lt;&gt;""),D2845-C2845,"")</f>
        <v>0</v>
      </c>
      <c r="F2845" s="4" t="s">
        <v>3937</v>
      </c>
      <c r="G2845" s="4" t="s">
        <v>3938</v>
      </c>
      <c r="H2845" s="4" t="s">
        <v>32</v>
      </c>
      <c r="I2845" s="4" t="s">
        <v>33</v>
      </c>
      <c r="J2845" s="4">
        <v>1</v>
      </c>
      <c r="K2845" s="4">
        <v>0</v>
      </c>
      <c r="L2845" s="4">
        <f>J2845+K2845</f>
        <v>0</v>
      </c>
      <c r="M2845" s="4" t="s">
        <v>80</v>
      </c>
      <c r="N2845" s="4"/>
      <c r="O2845" s="4">
        <v>1</v>
      </c>
      <c r="P2845" s="4" t="s">
        <v>135</v>
      </c>
      <c r="Q2845" s="4"/>
      <c r="R2845" s="7">
        <v>610000</v>
      </c>
      <c r="S2845" s="7">
        <v>0</v>
      </c>
      <c r="T2845" s="7">
        <f>R2845-S2845</f>
        <v>0</v>
      </c>
      <c r="U2845" s="7">
        <f>T2845*O2845</f>
        <v>0</v>
      </c>
    </row>
    <row r="2846" spans="1:21">
      <c r="A2846" s="4" t="s">
        <v>3936</v>
      </c>
      <c r="B2846" s="4" t="s">
        <v>39</v>
      </c>
      <c r="C2846" s="5">
        <v>45958.23956018518</v>
      </c>
      <c r="D2846" s="5">
        <v>45958</v>
      </c>
      <c r="E2846" s="6">
        <f>IF(AND(C2846&lt;&gt;"",D2846&lt;&gt;""),D2846-C2846,"")</f>
        <v>0</v>
      </c>
      <c r="F2846" s="4" t="s">
        <v>3937</v>
      </c>
      <c r="G2846" s="4" t="s">
        <v>3938</v>
      </c>
      <c r="H2846" s="4" t="s">
        <v>32</v>
      </c>
      <c r="I2846" s="4" t="s">
        <v>33</v>
      </c>
      <c r="J2846" s="4">
        <v>0</v>
      </c>
      <c r="K2846" s="4">
        <v>0</v>
      </c>
      <c r="L2846" s="4">
        <f>J2846+K2846</f>
        <v>0</v>
      </c>
      <c r="M2846" s="4" t="s">
        <v>3866</v>
      </c>
      <c r="N2846" s="4"/>
      <c r="O2846" s="4">
        <v>1</v>
      </c>
      <c r="P2846" s="4" t="s">
        <v>135</v>
      </c>
      <c r="Q2846" s="4"/>
      <c r="R2846" s="7">
        <v>200000</v>
      </c>
      <c r="S2846" s="7">
        <v>0</v>
      </c>
      <c r="T2846" s="7">
        <f>R2846-S2846</f>
        <v>0</v>
      </c>
      <c r="U2846" s="7">
        <f>T2846*O2846</f>
        <v>0</v>
      </c>
    </row>
    <row r="2847" spans="1:21">
      <c r="A2847" s="4" t="s">
        <v>3936</v>
      </c>
      <c r="B2847" s="4" t="s">
        <v>39</v>
      </c>
      <c r="C2847" s="5">
        <v>45958.23956018518</v>
      </c>
      <c r="D2847" s="5">
        <v>45958</v>
      </c>
      <c r="E2847" s="6">
        <f>IF(AND(C2847&lt;&gt;"",D2847&lt;&gt;""),D2847-C2847,"")</f>
        <v>0</v>
      </c>
      <c r="F2847" s="4" t="s">
        <v>3937</v>
      </c>
      <c r="G2847" s="4" t="s">
        <v>3938</v>
      </c>
      <c r="H2847" s="4" t="s">
        <v>32</v>
      </c>
      <c r="I2847" s="4" t="s">
        <v>33</v>
      </c>
      <c r="J2847" s="4">
        <v>1</v>
      </c>
      <c r="K2847" s="4">
        <v>0</v>
      </c>
      <c r="L2847" s="4">
        <f>J2847+K2847</f>
        <v>0</v>
      </c>
      <c r="M2847" s="4" t="s">
        <v>80</v>
      </c>
      <c r="N2847" s="4"/>
      <c r="O2847" s="4">
        <v>1</v>
      </c>
      <c r="P2847" s="4" t="s">
        <v>135</v>
      </c>
      <c r="Q2847" s="4"/>
      <c r="R2847" s="7">
        <v>610000</v>
      </c>
      <c r="S2847" s="7">
        <v>0</v>
      </c>
      <c r="T2847" s="7">
        <f>R2847-S2847</f>
        <v>0</v>
      </c>
      <c r="U2847" s="7">
        <f>T2847*O2847</f>
        <v>0</v>
      </c>
    </row>
    <row r="2848" spans="1:21">
      <c r="A2848" s="4" t="s">
        <v>3936</v>
      </c>
      <c r="B2848" s="4" t="s">
        <v>39</v>
      </c>
      <c r="C2848" s="5">
        <v>45958.23956018518</v>
      </c>
      <c r="D2848" s="5">
        <v>45958</v>
      </c>
      <c r="E2848" s="6">
        <f>IF(AND(C2848&lt;&gt;"",D2848&lt;&gt;""),D2848-C2848,"")</f>
        <v>0</v>
      </c>
      <c r="F2848" s="4" t="s">
        <v>3937</v>
      </c>
      <c r="G2848" s="4" t="s">
        <v>3938</v>
      </c>
      <c r="H2848" s="4" t="s">
        <v>32</v>
      </c>
      <c r="I2848" s="4" t="s">
        <v>33</v>
      </c>
      <c r="J2848" s="4">
        <v>0</v>
      </c>
      <c r="K2848" s="4">
        <v>0</v>
      </c>
      <c r="L2848" s="4">
        <f>J2848+K2848</f>
        <v>0</v>
      </c>
      <c r="M2848" s="4" t="s">
        <v>1551</v>
      </c>
      <c r="N2848" s="4"/>
      <c r="O2848" s="4">
        <v>1</v>
      </c>
      <c r="P2848" s="4" t="s">
        <v>135</v>
      </c>
      <c r="Q2848" s="4"/>
      <c r="R2848" s="7">
        <v>40000</v>
      </c>
      <c r="S2848" s="7">
        <v>0</v>
      </c>
      <c r="T2848" s="7">
        <f>R2848-S2848</f>
        <v>0</v>
      </c>
      <c r="U2848" s="7">
        <f>T2848*O2848</f>
        <v>0</v>
      </c>
    </row>
    <row r="2849" spans="1:21">
      <c r="A2849" s="4" t="s">
        <v>3936</v>
      </c>
      <c r="B2849" s="4" t="s">
        <v>39</v>
      </c>
      <c r="C2849" s="5">
        <v>45958.23956018518</v>
      </c>
      <c r="D2849" s="5">
        <v>45958</v>
      </c>
      <c r="E2849" s="6">
        <f>IF(AND(C2849&lt;&gt;"",D2849&lt;&gt;""),D2849-C2849,"")</f>
        <v>0</v>
      </c>
      <c r="F2849" s="4" t="s">
        <v>3937</v>
      </c>
      <c r="G2849" s="4" t="s">
        <v>3938</v>
      </c>
      <c r="H2849" s="4" t="s">
        <v>32</v>
      </c>
      <c r="I2849" s="4" t="s">
        <v>33</v>
      </c>
      <c r="J2849" s="4">
        <v>0</v>
      </c>
      <c r="K2849" s="4">
        <v>0</v>
      </c>
      <c r="L2849" s="4">
        <f>J2849+K2849</f>
        <v>0</v>
      </c>
      <c r="M2849" s="4" t="s">
        <v>3630</v>
      </c>
      <c r="N2849" s="4"/>
      <c r="O2849" s="4">
        <v>1</v>
      </c>
      <c r="P2849" s="4" t="s">
        <v>135</v>
      </c>
      <c r="Q2849" s="4"/>
      <c r="R2849" s="7">
        <v>15000</v>
      </c>
      <c r="S2849" s="7">
        <v>0</v>
      </c>
      <c r="T2849" s="7">
        <f>R2849-S2849</f>
        <v>0</v>
      </c>
      <c r="U2849" s="7">
        <f>T2849*O2849</f>
        <v>0</v>
      </c>
    </row>
    <row r="2850" spans="1:21">
      <c r="A2850" s="4" t="s">
        <v>3936</v>
      </c>
      <c r="B2850" s="4" t="s">
        <v>39</v>
      </c>
      <c r="C2850" s="5">
        <v>45958.23956018518</v>
      </c>
      <c r="D2850" s="5">
        <v>45958</v>
      </c>
      <c r="E2850" s="6">
        <f>IF(AND(C2850&lt;&gt;"",D2850&lt;&gt;""),D2850-C2850,"")</f>
        <v>0</v>
      </c>
      <c r="F2850" s="4" t="s">
        <v>3937</v>
      </c>
      <c r="G2850" s="4" t="s">
        <v>3938</v>
      </c>
      <c r="H2850" s="4" t="s">
        <v>32</v>
      </c>
      <c r="I2850" s="4" t="s">
        <v>33</v>
      </c>
      <c r="J2850" s="4">
        <v>0</v>
      </c>
      <c r="K2850" s="4">
        <v>0</v>
      </c>
      <c r="L2850" s="4">
        <f>J2850+K2850</f>
        <v>0</v>
      </c>
      <c r="M2850" s="4" t="s">
        <v>3630</v>
      </c>
      <c r="N2850" s="4"/>
      <c r="O2850" s="4">
        <v>1</v>
      </c>
      <c r="P2850" s="4" t="s">
        <v>135</v>
      </c>
      <c r="Q2850" s="4"/>
      <c r="R2850" s="7">
        <v>15000</v>
      </c>
      <c r="S2850" s="7">
        <v>0</v>
      </c>
      <c r="T2850" s="7">
        <f>R2850-S2850</f>
        <v>0</v>
      </c>
      <c r="U2850" s="7">
        <f>T2850*O2850</f>
        <v>0</v>
      </c>
    </row>
    <row r="2851" spans="1:21">
      <c r="A2851" s="4" t="s">
        <v>3936</v>
      </c>
      <c r="B2851" s="4" t="s">
        <v>39</v>
      </c>
      <c r="C2851" s="5">
        <v>45958.23956018518</v>
      </c>
      <c r="D2851" s="5">
        <v>45958</v>
      </c>
      <c r="E2851" s="6">
        <f>IF(AND(C2851&lt;&gt;"",D2851&lt;&gt;""),D2851-C2851,"")</f>
        <v>0</v>
      </c>
      <c r="F2851" s="4" t="s">
        <v>3937</v>
      </c>
      <c r="G2851" s="4" t="s">
        <v>3938</v>
      </c>
      <c r="H2851" s="4" t="s">
        <v>32</v>
      </c>
      <c r="I2851" s="4" t="s">
        <v>33</v>
      </c>
      <c r="J2851" s="4">
        <v>1</v>
      </c>
      <c r="K2851" s="4">
        <v>0</v>
      </c>
      <c r="L2851" s="4">
        <f>J2851+K2851</f>
        <v>0</v>
      </c>
      <c r="M2851" s="4" t="s">
        <v>80</v>
      </c>
      <c r="N2851" s="4"/>
      <c r="O2851" s="4">
        <v>1</v>
      </c>
      <c r="P2851" s="4" t="s">
        <v>135</v>
      </c>
      <c r="Q2851" s="4"/>
      <c r="R2851" s="7">
        <v>610000</v>
      </c>
      <c r="S2851" s="7">
        <v>0</v>
      </c>
      <c r="T2851" s="7">
        <f>R2851-S2851</f>
        <v>0</v>
      </c>
      <c r="U2851" s="7">
        <f>T2851*O2851</f>
        <v>0</v>
      </c>
    </row>
    <row r="2852" spans="1:21">
      <c r="A2852" s="4" t="s">
        <v>3939</v>
      </c>
      <c r="B2852" s="4" t="s">
        <v>39</v>
      </c>
      <c r="C2852" s="5">
        <v>45958.24533564815</v>
      </c>
      <c r="D2852" s="5">
        <v>45958</v>
      </c>
      <c r="E2852" s="6">
        <f>IF(AND(C2852&lt;&gt;"",D2852&lt;&gt;""),D2852-C2852,"")</f>
        <v>0</v>
      </c>
      <c r="F2852" s="4" t="s">
        <v>3940</v>
      </c>
      <c r="G2852" s="4" t="s">
        <v>3941</v>
      </c>
      <c r="H2852" s="4" t="s">
        <v>32</v>
      </c>
      <c r="I2852" s="4" t="s">
        <v>33</v>
      </c>
      <c r="J2852" s="4">
        <v>0</v>
      </c>
      <c r="K2852" s="4">
        <v>0</v>
      </c>
      <c r="L2852" s="4">
        <f>J2852+K2852</f>
        <v>0</v>
      </c>
      <c r="M2852" s="4" t="s">
        <v>3942</v>
      </c>
      <c r="N2852" s="4"/>
      <c r="O2852" s="4">
        <v>1</v>
      </c>
      <c r="P2852" s="4" t="s">
        <v>135</v>
      </c>
      <c r="Q2852" s="4"/>
      <c r="R2852" s="7">
        <v>1</v>
      </c>
      <c r="S2852" s="7">
        <v>0</v>
      </c>
      <c r="T2852" s="7">
        <f>R2852-S2852</f>
        <v>0</v>
      </c>
      <c r="U2852" s="7">
        <f>T2852*O2852</f>
        <v>0</v>
      </c>
    </row>
    <row r="2853" spans="1:21">
      <c r="A2853" s="4" t="s">
        <v>3939</v>
      </c>
      <c r="B2853" s="4" t="s">
        <v>39</v>
      </c>
      <c r="C2853" s="5">
        <v>45958.24533564815</v>
      </c>
      <c r="D2853" s="5">
        <v>45958</v>
      </c>
      <c r="E2853" s="6">
        <f>IF(AND(C2853&lt;&gt;"",D2853&lt;&gt;""),D2853-C2853,"")</f>
        <v>0</v>
      </c>
      <c r="F2853" s="4" t="s">
        <v>3940</v>
      </c>
      <c r="G2853" s="4" t="s">
        <v>3941</v>
      </c>
      <c r="H2853" s="4" t="s">
        <v>32</v>
      </c>
      <c r="I2853" s="4" t="s">
        <v>33</v>
      </c>
      <c r="J2853" s="4">
        <v>1</v>
      </c>
      <c r="K2853" s="4">
        <v>0</v>
      </c>
      <c r="L2853" s="4">
        <f>J2853+K2853</f>
        <v>0</v>
      </c>
      <c r="M2853" s="4" t="s">
        <v>80</v>
      </c>
      <c r="N2853" s="4"/>
      <c r="O2853" s="4">
        <v>1</v>
      </c>
      <c r="P2853" s="4" t="s">
        <v>135</v>
      </c>
      <c r="Q2853" s="4"/>
      <c r="R2853" s="7">
        <v>610000</v>
      </c>
      <c r="S2853" s="7">
        <v>0</v>
      </c>
      <c r="T2853" s="7">
        <f>R2853-S2853</f>
        <v>0</v>
      </c>
      <c r="U2853" s="7">
        <f>T2853*O2853</f>
        <v>0</v>
      </c>
    </row>
    <row r="2854" spans="1:21">
      <c r="A2854" s="4" t="s">
        <v>3939</v>
      </c>
      <c r="B2854" s="4" t="s">
        <v>39</v>
      </c>
      <c r="C2854" s="5">
        <v>45958.24533564815</v>
      </c>
      <c r="D2854" s="5">
        <v>45958</v>
      </c>
      <c r="E2854" s="6">
        <f>IF(AND(C2854&lt;&gt;"",D2854&lt;&gt;""),D2854-C2854,"")</f>
        <v>0</v>
      </c>
      <c r="F2854" s="4" t="s">
        <v>3940</v>
      </c>
      <c r="G2854" s="4" t="s">
        <v>3941</v>
      </c>
      <c r="H2854" s="4" t="s">
        <v>32</v>
      </c>
      <c r="I2854" s="4" t="s">
        <v>33</v>
      </c>
      <c r="J2854" s="4">
        <v>0</v>
      </c>
      <c r="K2854" s="4">
        <v>0</v>
      </c>
      <c r="L2854" s="4">
        <f>J2854+K2854</f>
        <v>0</v>
      </c>
      <c r="M2854" s="4" t="s">
        <v>3869</v>
      </c>
      <c r="N2854" s="4"/>
      <c r="O2854" s="4">
        <v>1</v>
      </c>
      <c r="P2854" s="4" t="s">
        <v>135</v>
      </c>
      <c r="Q2854" s="4"/>
      <c r="R2854" s="7">
        <v>10000</v>
      </c>
      <c r="S2854" s="7">
        <v>0</v>
      </c>
      <c r="T2854" s="7">
        <f>R2854-S2854</f>
        <v>0</v>
      </c>
      <c r="U2854" s="7">
        <f>T2854*O2854</f>
        <v>0</v>
      </c>
    </row>
    <row r="2855" spans="1:21">
      <c r="A2855" s="4" t="s">
        <v>3939</v>
      </c>
      <c r="B2855" s="4" t="s">
        <v>39</v>
      </c>
      <c r="C2855" s="5">
        <v>45958.24533564815</v>
      </c>
      <c r="D2855" s="5">
        <v>45958</v>
      </c>
      <c r="E2855" s="6">
        <f>IF(AND(C2855&lt;&gt;"",D2855&lt;&gt;""),D2855-C2855,"")</f>
        <v>0</v>
      </c>
      <c r="F2855" s="4" t="s">
        <v>3940</v>
      </c>
      <c r="G2855" s="4" t="s">
        <v>3941</v>
      </c>
      <c r="H2855" s="4" t="s">
        <v>32</v>
      </c>
      <c r="I2855" s="4" t="s">
        <v>33</v>
      </c>
      <c r="J2855" s="4">
        <v>0</v>
      </c>
      <c r="K2855" s="4">
        <v>0</v>
      </c>
      <c r="L2855" s="4">
        <f>J2855+K2855</f>
        <v>0</v>
      </c>
      <c r="M2855" s="4" t="s">
        <v>3942</v>
      </c>
      <c r="N2855" s="4"/>
      <c r="O2855" s="4">
        <v>1</v>
      </c>
      <c r="P2855" s="4" t="s">
        <v>135</v>
      </c>
      <c r="Q2855" s="4"/>
      <c r="R2855" s="7">
        <v>1</v>
      </c>
      <c r="S2855" s="7">
        <v>0</v>
      </c>
      <c r="T2855" s="7">
        <f>R2855-S2855</f>
        <v>0</v>
      </c>
      <c r="U2855" s="7">
        <f>T2855*O2855</f>
        <v>0</v>
      </c>
    </row>
    <row r="2856" spans="1:21">
      <c r="A2856" s="4" t="s">
        <v>3939</v>
      </c>
      <c r="B2856" s="4" t="s">
        <v>39</v>
      </c>
      <c r="C2856" s="5">
        <v>45958.24533564815</v>
      </c>
      <c r="D2856" s="5">
        <v>45958</v>
      </c>
      <c r="E2856" s="6">
        <f>IF(AND(C2856&lt;&gt;"",D2856&lt;&gt;""),D2856-C2856,"")</f>
        <v>0</v>
      </c>
      <c r="F2856" s="4" t="s">
        <v>3940</v>
      </c>
      <c r="G2856" s="4" t="s">
        <v>3941</v>
      </c>
      <c r="H2856" s="4" t="s">
        <v>32</v>
      </c>
      <c r="I2856" s="4" t="s">
        <v>33</v>
      </c>
      <c r="J2856" s="4">
        <v>1</v>
      </c>
      <c r="K2856" s="4">
        <v>0</v>
      </c>
      <c r="L2856" s="4">
        <f>J2856+K2856</f>
        <v>0</v>
      </c>
      <c r="M2856" s="4" t="s">
        <v>80</v>
      </c>
      <c r="N2856" s="4"/>
      <c r="O2856" s="4">
        <v>1</v>
      </c>
      <c r="P2856" s="4" t="s">
        <v>135</v>
      </c>
      <c r="Q2856" s="4"/>
      <c r="R2856" s="7">
        <v>610000</v>
      </c>
      <c r="S2856" s="7">
        <v>0</v>
      </c>
      <c r="T2856" s="7">
        <f>R2856-S2856</f>
        <v>0</v>
      </c>
      <c r="U2856" s="7">
        <f>T2856*O2856</f>
        <v>0</v>
      </c>
    </row>
    <row r="2857" spans="1:21">
      <c r="A2857" s="4" t="s">
        <v>3939</v>
      </c>
      <c r="B2857" s="4" t="s">
        <v>39</v>
      </c>
      <c r="C2857" s="5">
        <v>45958.24533564815</v>
      </c>
      <c r="D2857" s="5">
        <v>45958</v>
      </c>
      <c r="E2857" s="6">
        <f>IF(AND(C2857&lt;&gt;"",D2857&lt;&gt;""),D2857-C2857,"")</f>
        <v>0</v>
      </c>
      <c r="F2857" s="4" t="s">
        <v>3940</v>
      </c>
      <c r="G2857" s="4" t="s">
        <v>3941</v>
      </c>
      <c r="H2857" s="4" t="s">
        <v>32</v>
      </c>
      <c r="I2857" s="4" t="s">
        <v>33</v>
      </c>
      <c r="J2857" s="4">
        <v>0</v>
      </c>
      <c r="K2857" s="4">
        <v>0</v>
      </c>
      <c r="L2857" s="4">
        <f>J2857+K2857</f>
        <v>0</v>
      </c>
      <c r="M2857" s="4" t="s">
        <v>3630</v>
      </c>
      <c r="N2857" s="4"/>
      <c r="O2857" s="4">
        <v>1</v>
      </c>
      <c r="P2857" s="4" t="s">
        <v>135</v>
      </c>
      <c r="Q2857" s="4"/>
      <c r="R2857" s="7">
        <v>15000</v>
      </c>
      <c r="S2857" s="7">
        <v>0</v>
      </c>
      <c r="T2857" s="7">
        <f>R2857-S2857</f>
        <v>0</v>
      </c>
      <c r="U2857" s="7">
        <f>T2857*O2857</f>
        <v>0</v>
      </c>
    </row>
    <row r="2858" spans="1:21">
      <c r="A2858" s="4" t="s">
        <v>3939</v>
      </c>
      <c r="B2858" s="4" t="s">
        <v>39</v>
      </c>
      <c r="C2858" s="5">
        <v>45958.24533564815</v>
      </c>
      <c r="D2858" s="5">
        <v>45958</v>
      </c>
      <c r="E2858" s="6">
        <f>IF(AND(C2858&lt;&gt;"",D2858&lt;&gt;""),D2858-C2858,"")</f>
        <v>0</v>
      </c>
      <c r="F2858" s="4" t="s">
        <v>3940</v>
      </c>
      <c r="G2858" s="4" t="s">
        <v>3941</v>
      </c>
      <c r="H2858" s="4" t="s">
        <v>32</v>
      </c>
      <c r="I2858" s="4" t="s">
        <v>33</v>
      </c>
      <c r="J2858" s="4">
        <v>0</v>
      </c>
      <c r="K2858" s="4">
        <v>0</v>
      </c>
      <c r="L2858" s="4">
        <f>J2858+K2858</f>
        <v>0</v>
      </c>
      <c r="M2858" s="4" t="s">
        <v>3942</v>
      </c>
      <c r="N2858" s="4"/>
      <c r="O2858" s="4">
        <v>1</v>
      </c>
      <c r="P2858" s="4" t="s">
        <v>135</v>
      </c>
      <c r="Q2858" s="4"/>
      <c r="R2858" s="7">
        <v>1</v>
      </c>
      <c r="S2858" s="7">
        <v>0</v>
      </c>
      <c r="T2858" s="7">
        <f>R2858-S2858</f>
        <v>0</v>
      </c>
      <c r="U2858" s="7">
        <f>T2858*O2858</f>
        <v>0</v>
      </c>
    </row>
    <row r="2859" spans="1:21">
      <c r="A2859" s="4" t="s">
        <v>3939</v>
      </c>
      <c r="B2859" s="4" t="s">
        <v>39</v>
      </c>
      <c r="C2859" s="5">
        <v>45958.24533564815</v>
      </c>
      <c r="D2859" s="5">
        <v>45958</v>
      </c>
      <c r="E2859" s="6">
        <f>IF(AND(C2859&lt;&gt;"",D2859&lt;&gt;""),D2859-C2859,"")</f>
        <v>0</v>
      </c>
      <c r="F2859" s="4" t="s">
        <v>3940</v>
      </c>
      <c r="G2859" s="4" t="s">
        <v>3941</v>
      </c>
      <c r="H2859" s="4" t="s">
        <v>32</v>
      </c>
      <c r="I2859" s="4" t="s">
        <v>33</v>
      </c>
      <c r="J2859" s="4">
        <v>0</v>
      </c>
      <c r="K2859" s="4">
        <v>0</v>
      </c>
      <c r="L2859" s="4">
        <f>J2859+K2859</f>
        <v>0</v>
      </c>
      <c r="M2859" s="4" t="s">
        <v>3942</v>
      </c>
      <c r="N2859" s="4"/>
      <c r="O2859" s="4">
        <v>1</v>
      </c>
      <c r="P2859" s="4" t="s">
        <v>135</v>
      </c>
      <c r="Q2859" s="4"/>
      <c r="R2859" s="7">
        <v>1</v>
      </c>
      <c r="S2859" s="7">
        <v>0</v>
      </c>
      <c r="T2859" s="7">
        <f>R2859-S2859</f>
        <v>0</v>
      </c>
      <c r="U2859" s="7">
        <f>T2859*O2859</f>
        <v>0</v>
      </c>
    </row>
    <row r="2860" spans="1:21">
      <c r="A2860" s="4" t="s">
        <v>3939</v>
      </c>
      <c r="B2860" s="4" t="s">
        <v>39</v>
      </c>
      <c r="C2860" s="5">
        <v>45958.24533564815</v>
      </c>
      <c r="D2860" s="5">
        <v>45958</v>
      </c>
      <c r="E2860" s="6">
        <f>IF(AND(C2860&lt;&gt;"",D2860&lt;&gt;""),D2860-C2860,"")</f>
        <v>0</v>
      </c>
      <c r="F2860" s="4" t="s">
        <v>3940</v>
      </c>
      <c r="G2860" s="4" t="s">
        <v>3941</v>
      </c>
      <c r="H2860" s="4" t="s">
        <v>32</v>
      </c>
      <c r="I2860" s="4" t="s">
        <v>33</v>
      </c>
      <c r="J2860" s="4">
        <v>0</v>
      </c>
      <c r="K2860" s="4">
        <v>0</v>
      </c>
      <c r="L2860" s="4">
        <f>J2860+K2860</f>
        <v>0</v>
      </c>
      <c r="M2860" s="4" t="s">
        <v>3630</v>
      </c>
      <c r="N2860" s="4"/>
      <c r="O2860" s="4">
        <v>1</v>
      </c>
      <c r="P2860" s="4" t="s">
        <v>135</v>
      </c>
      <c r="Q2860" s="4"/>
      <c r="R2860" s="7">
        <v>15000</v>
      </c>
      <c r="S2860" s="7">
        <v>0</v>
      </c>
      <c r="T2860" s="7">
        <f>R2860-S2860</f>
        <v>0</v>
      </c>
      <c r="U2860" s="7">
        <f>T2860*O2860</f>
        <v>0</v>
      </c>
    </row>
    <row r="2861" spans="1:21">
      <c r="A2861" s="4" t="s">
        <v>3939</v>
      </c>
      <c r="B2861" s="4" t="s">
        <v>39</v>
      </c>
      <c r="C2861" s="5">
        <v>45958.24533564815</v>
      </c>
      <c r="D2861" s="5">
        <v>45958</v>
      </c>
      <c r="E2861" s="6">
        <f>IF(AND(C2861&lt;&gt;"",D2861&lt;&gt;""),D2861-C2861,"")</f>
        <v>0</v>
      </c>
      <c r="F2861" s="4" t="s">
        <v>3940</v>
      </c>
      <c r="G2861" s="4" t="s">
        <v>3941</v>
      </c>
      <c r="H2861" s="4" t="s">
        <v>32</v>
      </c>
      <c r="I2861" s="4" t="s">
        <v>33</v>
      </c>
      <c r="J2861" s="4">
        <v>0</v>
      </c>
      <c r="K2861" s="4">
        <v>0</v>
      </c>
      <c r="L2861" s="4">
        <f>J2861+K2861</f>
        <v>0</v>
      </c>
      <c r="M2861" s="4" t="s">
        <v>3869</v>
      </c>
      <c r="N2861" s="4"/>
      <c r="O2861" s="4">
        <v>1</v>
      </c>
      <c r="P2861" s="4" t="s">
        <v>135</v>
      </c>
      <c r="Q2861" s="4"/>
      <c r="R2861" s="7">
        <v>10000</v>
      </c>
      <c r="S2861" s="7">
        <v>0</v>
      </c>
      <c r="T2861" s="7">
        <f>R2861-S2861</f>
        <v>0</v>
      </c>
      <c r="U2861" s="7">
        <f>T2861*O2861</f>
        <v>0</v>
      </c>
    </row>
    <row r="2862" spans="1:21">
      <c r="A2862" s="4" t="s">
        <v>3939</v>
      </c>
      <c r="B2862" s="4" t="s">
        <v>39</v>
      </c>
      <c r="C2862" s="5">
        <v>45958.24533564815</v>
      </c>
      <c r="D2862" s="5">
        <v>45958</v>
      </c>
      <c r="E2862" s="6">
        <f>IF(AND(C2862&lt;&gt;"",D2862&lt;&gt;""),D2862-C2862,"")</f>
        <v>0</v>
      </c>
      <c r="F2862" s="4" t="s">
        <v>3940</v>
      </c>
      <c r="G2862" s="4" t="s">
        <v>3941</v>
      </c>
      <c r="H2862" s="4" t="s">
        <v>32</v>
      </c>
      <c r="I2862" s="4" t="s">
        <v>33</v>
      </c>
      <c r="J2862" s="4">
        <v>1</v>
      </c>
      <c r="K2862" s="4">
        <v>0</v>
      </c>
      <c r="L2862" s="4">
        <f>J2862+K2862</f>
        <v>0</v>
      </c>
      <c r="M2862" s="4" t="s">
        <v>80</v>
      </c>
      <c r="N2862" s="4"/>
      <c r="O2862" s="4">
        <v>1</v>
      </c>
      <c r="P2862" s="4" t="s">
        <v>135</v>
      </c>
      <c r="Q2862" s="4"/>
      <c r="R2862" s="7">
        <v>610000</v>
      </c>
      <c r="S2862" s="7">
        <v>0</v>
      </c>
      <c r="T2862" s="7">
        <f>R2862-S2862</f>
        <v>0</v>
      </c>
      <c r="U2862" s="7">
        <f>T2862*O2862</f>
        <v>0</v>
      </c>
    </row>
    <row r="2863" spans="1:21">
      <c r="A2863" s="4" t="s">
        <v>3939</v>
      </c>
      <c r="B2863" s="4" t="s">
        <v>39</v>
      </c>
      <c r="C2863" s="5">
        <v>45958.24533564815</v>
      </c>
      <c r="D2863" s="5">
        <v>45958</v>
      </c>
      <c r="E2863" s="6">
        <f>IF(AND(C2863&lt;&gt;"",D2863&lt;&gt;""),D2863-C2863,"")</f>
        <v>0</v>
      </c>
      <c r="F2863" s="4" t="s">
        <v>3940</v>
      </c>
      <c r="G2863" s="4" t="s">
        <v>3941</v>
      </c>
      <c r="H2863" s="4" t="s">
        <v>32</v>
      </c>
      <c r="I2863" s="4" t="s">
        <v>33</v>
      </c>
      <c r="J2863" s="4">
        <v>1</v>
      </c>
      <c r="K2863" s="4">
        <v>0</v>
      </c>
      <c r="L2863" s="4">
        <f>J2863+K2863</f>
        <v>0</v>
      </c>
      <c r="M2863" s="4" t="s">
        <v>80</v>
      </c>
      <c r="N2863" s="4"/>
      <c r="O2863" s="4">
        <v>1</v>
      </c>
      <c r="P2863" s="4" t="s">
        <v>135</v>
      </c>
      <c r="Q2863" s="4"/>
      <c r="R2863" s="7">
        <v>610000</v>
      </c>
      <c r="S2863" s="7">
        <v>0</v>
      </c>
      <c r="T2863" s="7">
        <f>R2863-S2863</f>
        <v>0</v>
      </c>
      <c r="U2863" s="7">
        <f>T2863*O2863</f>
        <v>0</v>
      </c>
    </row>
    <row r="2864" spans="1:21">
      <c r="A2864" s="4" t="s">
        <v>3939</v>
      </c>
      <c r="B2864" s="4" t="s">
        <v>39</v>
      </c>
      <c r="C2864" s="5">
        <v>45958.24533564815</v>
      </c>
      <c r="D2864" s="5">
        <v>45958</v>
      </c>
      <c r="E2864" s="6">
        <f>IF(AND(C2864&lt;&gt;"",D2864&lt;&gt;""),D2864-C2864,"")</f>
        <v>0</v>
      </c>
      <c r="F2864" s="4" t="s">
        <v>3940</v>
      </c>
      <c r="G2864" s="4" t="s">
        <v>3941</v>
      </c>
      <c r="H2864" s="4" t="s">
        <v>32</v>
      </c>
      <c r="I2864" s="4" t="s">
        <v>33</v>
      </c>
      <c r="J2864" s="4">
        <v>0</v>
      </c>
      <c r="K2864" s="4">
        <v>0</v>
      </c>
      <c r="L2864" s="4">
        <f>J2864+K2864</f>
        <v>0</v>
      </c>
      <c r="M2864" s="4" t="s">
        <v>3942</v>
      </c>
      <c r="N2864" s="4"/>
      <c r="O2864" s="4">
        <v>1</v>
      </c>
      <c r="P2864" s="4" t="s">
        <v>135</v>
      </c>
      <c r="Q2864" s="4"/>
      <c r="R2864" s="7">
        <v>1</v>
      </c>
      <c r="S2864" s="7">
        <v>0</v>
      </c>
      <c r="T2864" s="7">
        <f>R2864-S2864</f>
        <v>0</v>
      </c>
      <c r="U2864" s="7">
        <f>T2864*O2864</f>
        <v>0</v>
      </c>
    </row>
    <row r="2865" spans="1:21">
      <c r="A2865" s="4" t="s">
        <v>3939</v>
      </c>
      <c r="B2865" s="4" t="s">
        <v>39</v>
      </c>
      <c r="C2865" s="5">
        <v>45958.24533564815</v>
      </c>
      <c r="D2865" s="5">
        <v>45958</v>
      </c>
      <c r="E2865" s="6">
        <f>IF(AND(C2865&lt;&gt;"",D2865&lt;&gt;""),D2865-C2865,"")</f>
        <v>0</v>
      </c>
      <c r="F2865" s="4" t="s">
        <v>3940</v>
      </c>
      <c r="G2865" s="4" t="s">
        <v>3941</v>
      </c>
      <c r="H2865" s="4" t="s">
        <v>32</v>
      </c>
      <c r="I2865" s="4" t="s">
        <v>33</v>
      </c>
      <c r="J2865" s="4">
        <v>0</v>
      </c>
      <c r="K2865" s="4">
        <v>0</v>
      </c>
      <c r="L2865" s="4">
        <f>J2865+K2865</f>
        <v>0</v>
      </c>
      <c r="M2865" s="4" t="s">
        <v>3942</v>
      </c>
      <c r="N2865" s="4"/>
      <c r="O2865" s="4">
        <v>1</v>
      </c>
      <c r="P2865" s="4" t="s">
        <v>135</v>
      </c>
      <c r="Q2865" s="4"/>
      <c r="R2865" s="7">
        <v>1</v>
      </c>
      <c r="S2865" s="7">
        <v>0</v>
      </c>
      <c r="T2865" s="7">
        <f>R2865-S2865</f>
        <v>0</v>
      </c>
      <c r="U2865" s="7">
        <f>T2865*O2865</f>
        <v>0</v>
      </c>
    </row>
    <row r="2866" spans="1:21">
      <c r="A2866" s="4" t="s">
        <v>3939</v>
      </c>
      <c r="B2866" s="4" t="s">
        <v>39</v>
      </c>
      <c r="C2866" s="5">
        <v>45958.24533564815</v>
      </c>
      <c r="D2866" s="5">
        <v>45958</v>
      </c>
      <c r="E2866" s="6">
        <f>IF(AND(C2866&lt;&gt;"",D2866&lt;&gt;""),D2866-C2866,"")</f>
        <v>0</v>
      </c>
      <c r="F2866" s="4" t="s">
        <v>3940</v>
      </c>
      <c r="G2866" s="4" t="s">
        <v>3941</v>
      </c>
      <c r="H2866" s="4" t="s">
        <v>32</v>
      </c>
      <c r="I2866" s="4" t="s">
        <v>33</v>
      </c>
      <c r="J2866" s="4">
        <v>1</v>
      </c>
      <c r="K2866" s="4">
        <v>0</v>
      </c>
      <c r="L2866" s="4">
        <f>J2866+K2866</f>
        <v>0</v>
      </c>
      <c r="M2866" s="4" t="s">
        <v>80</v>
      </c>
      <c r="N2866" s="4"/>
      <c r="O2866" s="4">
        <v>1</v>
      </c>
      <c r="P2866" s="4" t="s">
        <v>135</v>
      </c>
      <c r="Q2866" s="4"/>
      <c r="R2866" s="7">
        <v>610000</v>
      </c>
      <c r="S2866" s="7">
        <v>0</v>
      </c>
      <c r="T2866" s="7">
        <f>R2866-S2866</f>
        <v>0</v>
      </c>
      <c r="U2866" s="7">
        <f>T2866*O2866</f>
        <v>0</v>
      </c>
    </row>
    <row r="2867" spans="1:21">
      <c r="A2867" s="4" t="s">
        <v>3939</v>
      </c>
      <c r="B2867" s="4" t="s">
        <v>39</v>
      </c>
      <c r="C2867" s="5">
        <v>45958.24533564815</v>
      </c>
      <c r="D2867" s="5">
        <v>45958</v>
      </c>
      <c r="E2867" s="6">
        <f>IF(AND(C2867&lt;&gt;"",D2867&lt;&gt;""),D2867-C2867,"")</f>
        <v>0</v>
      </c>
      <c r="F2867" s="4" t="s">
        <v>3940</v>
      </c>
      <c r="G2867" s="4" t="s">
        <v>3941</v>
      </c>
      <c r="H2867" s="4" t="s">
        <v>32</v>
      </c>
      <c r="I2867" s="4" t="s">
        <v>33</v>
      </c>
      <c r="J2867" s="4">
        <v>1</v>
      </c>
      <c r="K2867" s="4">
        <v>0</v>
      </c>
      <c r="L2867" s="4">
        <f>J2867+K2867</f>
        <v>0</v>
      </c>
      <c r="M2867" s="4" t="s">
        <v>80</v>
      </c>
      <c r="N2867" s="4"/>
      <c r="O2867" s="4">
        <v>1</v>
      </c>
      <c r="P2867" s="4" t="s">
        <v>135</v>
      </c>
      <c r="Q2867" s="4"/>
      <c r="R2867" s="7">
        <v>610000</v>
      </c>
      <c r="S2867" s="7">
        <v>0</v>
      </c>
      <c r="T2867" s="7">
        <f>R2867-S2867</f>
        <v>0</v>
      </c>
      <c r="U2867" s="7">
        <f>T2867*O2867</f>
        <v>0</v>
      </c>
    </row>
    <row r="2868" spans="1:21">
      <c r="A2868" s="4" t="s">
        <v>3939</v>
      </c>
      <c r="B2868" s="4" t="s">
        <v>39</v>
      </c>
      <c r="C2868" s="5">
        <v>45958.24533564815</v>
      </c>
      <c r="D2868" s="5">
        <v>45958</v>
      </c>
      <c r="E2868" s="6">
        <f>IF(AND(C2868&lt;&gt;"",D2868&lt;&gt;""),D2868-C2868,"")</f>
        <v>0</v>
      </c>
      <c r="F2868" s="4" t="s">
        <v>3940</v>
      </c>
      <c r="G2868" s="4" t="s">
        <v>3941</v>
      </c>
      <c r="H2868" s="4" t="s">
        <v>32</v>
      </c>
      <c r="I2868" s="4" t="s">
        <v>33</v>
      </c>
      <c r="J2868" s="4">
        <v>0</v>
      </c>
      <c r="K2868" s="4">
        <v>0</v>
      </c>
      <c r="L2868" s="4">
        <f>J2868+K2868</f>
        <v>0</v>
      </c>
      <c r="M2868" s="4" t="s">
        <v>3942</v>
      </c>
      <c r="N2868" s="4"/>
      <c r="O2868" s="4">
        <v>1</v>
      </c>
      <c r="P2868" s="4" t="s">
        <v>135</v>
      </c>
      <c r="Q2868" s="4"/>
      <c r="R2868" s="7">
        <v>1</v>
      </c>
      <c r="S2868" s="7">
        <v>0</v>
      </c>
      <c r="T2868" s="7">
        <f>R2868-S2868</f>
        <v>0</v>
      </c>
      <c r="U2868" s="7">
        <f>T2868*O2868</f>
        <v>0</v>
      </c>
    </row>
    <row r="2869" spans="1:21">
      <c r="A2869" s="4" t="s">
        <v>3939</v>
      </c>
      <c r="B2869" s="4" t="s">
        <v>39</v>
      </c>
      <c r="C2869" s="5">
        <v>45958.24533564815</v>
      </c>
      <c r="D2869" s="5">
        <v>45958</v>
      </c>
      <c r="E2869" s="6">
        <f>IF(AND(C2869&lt;&gt;"",D2869&lt;&gt;""),D2869-C2869,"")</f>
        <v>0</v>
      </c>
      <c r="F2869" s="4" t="s">
        <v>3940</v>
      </c>
      <c r="G2869" s="4" t="s">
        <v>3941</v>
      </c>
      <c r="H2869" s="4" t="s">
        <v>32</v>
      </c>
      <c r="I2869" s="4" t="s">
        <v>33</v>
      </c>
      <c r="J2869" s="4">
        <v>0</v>
      </c>
      <c r="K2869" s="4">
        <v>0</v>
      </c>
      <c r="L2869" s="4">
        <f>J2869+K2869</f>
        <v>0</v>
      </c>
      <c r="M2869" s="4" t="s">
        <v>3630</v>
      </c>
      <c r="N2869" s="4"/>
      <c r="O2869" s="4">
        <v>1</v>
      </c>
      <c r="P2869" s="4" t="s">
        <v>135</v>
      </c>
      <c r="Q2869" s="4"/>
      <c r="R2869" s="7">
        <v>15000</v>
      </c>
      <c r="S2869" s="7">
        <v>0</v>
      </c>
      <c r="T2869" s="7">
        <f>R2869-S2869</f>
        <v>0</v>
      </c>
      <c r="U2869" s="7">
        <f>T2869*O2869</f>
        <v>0</v>
      </c>
    </row>
    <row r="2870" spans="1:21">
      <c r="A2870" s="4" t="s">
        <v>3939</v>
      </c>
      <c r="B2870" s="4" t="s">
        <v>39</v>
      </c>
      <c r="C2870" s="5">
        <v>45958.24533564815</v>
      </c>
      <c r="D2870" s="5">
        <v>45958</v>
      </c>
      <c r="E2870" s="6">
        <f>IF(AND(C2870&lt;&gt;"",D2870&lt;&gt;""),D2870-C2870,"")</f>
        <v>0</v>
      </c>
      <c r="F2870" s="4" t="s">
        <v>3940</v>
      </c>
      <c r="G2870" s="4" t="s">
        <v>3941</v>
      </c>
      <c r="H2870" s="4" t="s">
        <v>32</v>
      </c>
      <c r="I2870" s="4" t="s">
        <v>33</v>
      </c>
      <c r="J2870" s="4">
        <v>0</v>
      </c>
      <c r="K2870" s="4">
        <v>0</v>
      </c>
      <c r="L2870" s="4">
        <f>J2870+K2870</f>
        <v>0</v>
      </c>
      <c r="M2870" s="4" t="s">
        <v>3869</v>
      </c>
      <c r="N2870" s="4"/>
      <c r="O2870" s="4">
        <v>1</v>
      </c>
      <c r="P2870" s="4" t="s">
        <v>135</v>
      </c>
      <c r="Q2870" s="4"/>
      <c r="R2870" s="7">
        <v>10000</v>
      </c>
      <c r="S2870" s="7">
        <v>0</v>
      </c>
      <c r="T2870" s="7">
        <f>R2870-S2870</f>
        <v>0</v>
      </c>
      <c r="U2870" s="7">
        <f>T2870*O2870</f>
        <v>0</v>
      </c>
    </row>
    <row r="2871" spans="1:21">
      <c r="A2871" s="4" t="s">
        <v>3939</v>
      </c>
      <c r="B2871" s="4" t="s">
        <v>39</v>
      </c>
      <c r="C2871" s="5">
        <v>45958.24533564815</v>
      </c>
      <c r="D2871" s="5">
        <v>45958</v>
      </c>
      <c r="E2871" s="6">
        <f>IF(AND(C2871&lt;&gt;"",D2871&lt;&gt;""),D2871-C2871,"")</f>
        <v>0</v>
      </c>
      <c r="F2871" s="4" t="s">
        <v>3940</v>
      </c>
      <c r="G2871" s="4" t="s">
        <v>3941</v>
      </c>
      <c r="H2871" s="4" t="s">
        <v>32</v>
      </c>
      <c r="I2871" s="4" t="s">
        <v>33</v>
      </c>
      <c r="J2871" s="4">
        <v>0</v>
      </c>
      <c r="K2871" s="4">
        <v>0</v>
      </c>
      <c r="L2871" s="4">
        <f>J2871+K2871</f>
        <v>0</v>
      </c>
      <c r="M2871" s="4" t="s">
        <v>3630</v>
      </c>
      <c r="N2871" s="4"/>
      <c r="O2871" s="4">
        <v>1</v>
      </c>
      <c r="P2871" s="4" t="s">
        <v>135</v>
      </c>
      <c r="Q2871" s="4"/>
      <c r="R2871" s="7">
        <v>15000</v>
      </c>
      <c r="S2871" s="7">
        <v>0</v>
      </c>
      <c r="T2871" s="7">
        <f>R2871-S2871</f>
        <v>0</v>
      </c>
      <c r="U2871" s="7">
        <f>T2871*O2871</f>
        <v>0</v>
      </c>
    </row>
    <row r="2872" spans="1:21">
      <c r="A2872" s="4" t="s">
        <v>3939</v>
      </c>
      <c r="B2872" s="4" t="s">
        <v>39</v>
      </c>
      <c r="C2872" s="5">
        <v>45958.24533564815</v>
      </c>
      <c r="D2872" s="5">
        <v>45958</v>
      </c>
      <c r="E2872" s="6">
        <f>IF(AND(C2872&lt;&gt;"",D2872&lt;&gt;""),D2872-C2872,"")</f>
        <v>0</v>
      </c>
      <c r="F2872" s="4" t="s">
        <v>3940</v>
      </c>
      <c r="G2872" s="4" t="s">
        <v>3941</v>
      </c>
      <c r="H2872" s="4" t="s">
        <v>32</v>
      </c>
      <c r="I2872" s="4" t="s">
        <v>33</v>
      </c>
      <c r="J2872" s="4">
        <v>0</v>
      </c>
      <c r="K2872" s="4">
        <v>0</v>
      </c>
      <c r="L2872" s="4">
        <f>J2872+K2872</f>
        <v>0</v>
      </c>
      <c r="M2872" s="4" t="s">
        <v>3942</v>
      </c>
      <c r="N2872" s="4"/>
      <c r="O2872" s="4">
        <v>1</v>
      </c>
      <c r="P2872" s="4" t="s">
        <v>135</v>
      </c>
      <c r="Q2872" s="4"/>
      <c r="R2872" s="7">
        <v>1</v>
      </c>
      <c r="S2872" s="7">
        <v>0</v>
      </c>
      <c r="T2872" s="7">
        <f>R2872-S2872</f>
        <v>0</v>
      </c>
      <c r="U2872" s="7">
        <f>T2872*O2872</f>
        <v>0</v>
      </c>
    </row>
    <row r="2873" spans="1:21">
      <c r="A2873" s="4" t="s">
        <v>3943</v>
      </c>
      <c r="B2873" s="4" t="s">
        <v>39</v>
      </c>
      <c r="C2873" s="5">
        <v>45958.2536574074</v>
      </c>
      <c r="D2873" s="5">
        <v>45958</v>
      </c>
      <c r="E2873" s="6">
        <f>IF(AND(C2873&lt;&gt;"",D2873&lt;&gt;""),D2873-C2873,"")</f>
        <v>0</v>
      </c>
      <c r="F2873" s="4" t="s">
        <v>3944</v>
      </c>
      <c r="G2873" s="4" t="s">
        <v>3945</v>
      </c>
      <c r="H2873" s="4" t="s">
        <v>32</v>
      </c>
      <c r="I2873" s="4" t="s">
        <v>33</v>
      </c>
      <c r="J2873" s="4">
        <v>0</v>
      </c>
      <c r="K2873" s="4">
        <v>0</v>
      </c>
      <c r="L2873" s="4">
        <f>J2873+K2873</f>
        <v>0</v>
      </c>
      <c r="M2873" s="4" t="s">
        <v>3630</v>
      </c>
      <c r="N2873" s="4"/>
      <c r="O2873" s="4">
        <v>1</v>
      </c>
      <c r="P2873" s="4" t="s">
        <v>135</v>
      </c>
      <c r="Q2873" s="4"/>
      <c r="R2873" s="7">
        <v>15000</v>
      </c>
      <c r="S2873" s="7">
        <v>0</v>
      </c>
      <c r="T2873" s="7">
        <f>R2873-S2873</f>
        <v>0</v>
      </c>
      <c r="U2873" s="7">
        <f>T2873*O2873</f>
        <v>0</v>
      </c>
    </row>
    <row r="2874" spans="1:21">
      <c r="A2874" s="4" t="s">
        <v>3943</v>
      </c>
      <c r="B2874" s="4" t="s">
        <v>39</v>
      </c>
      <c r="C2874" s="5">
        <v>45958.2536574074</v>
      </c>
      <c r="D2874" s="5">
        <v>45958</v>
      </c>
      <c r="E2874" s="6">
        <f>IF(AND(C2874&lt;&gt;"",D2874&lt;&gt;""),D2874-C2874,"")</f>
        <v>0</v>
      </c>
      <c r="F2874" s="4" t="s">
        <v>3944</v>
      </c>
      <c r="G2874" s="4" t="s">
        <v>3945</v>
      </c>
      <c r="H2874" s="4" t="s">
        <v>32</v>
      </c>
      <c r="I2874" s="4" t="s">
        <v>33</v>
      </c>
      <c r="J2874" s="4">
        <v>1</v>
      </c>
      <c r="K2874" s="4">
        <v>0</v>
      </c>
      <c r="L2874" s="4">
        <f>J2874+K2874</f>
        <v>0</v>
      </c>
      <c r="M2874" s="4" t="s">
        <v>80</v>
      </c>
      <c r="N2874" s="4"/>
      <c r="O2874" s="4">
        <v>1</v>
      </c>
      <c r="P2874" s="4" t="s">
        <v>135</v>
      </c>
      <c r="Q2874" s="4"/>
      <c r="R2874" s="7">
        <v>610000</v>
      </c>
      <c r="S2874" s="7">
        <v>0</v>
      </c>
      <c r="T2874" s="7">
        <f>R2874-S2874</f>
        <v>0</v>
      </c>
      <c r="U2874" s="7">
        <f>T2874*O2874</f>
        <v>0</v>
      </c>
    </row>
    <row r="2875" spans="1:21">
      <c r="A2875" s="4" t="s">
        <v>3943</v>
      </c>
      <c r="B2875" s="4" t="s">
        <v>39</v>
      </c>
      <c r="C2875" s="5">
        <v>45958.2536574074</v>
      </c>
      <c r="D2875" s="5">
        <v>45958</v>
      </c>
      <c r="E2875" s="6">
        <f>IF(AND(C2875&lt;&gt;"",D2875&lt;&gt;""),D2875-C2875,"")</f>
        <v>0</v>
      </c>
      <c r="F2875" s="4" t="s">
        <v>3944</v>
      </c>
      <c r="G2875" s="4" t="s">
        <v>3945</v>
      </c>
      <c r="H2875" s="4" t="s">
        <v>32</v>
      </c>
      <c r="I2875" s="4" t="s">
        <v>33</v>
      </c>
      <c r="J2875" s="4">
        <v>0</v>
      </c>
      <c r="K2875" s="4">
        <v>0</v>
      </c>
      <c r="L2875" s="4">
        <f>J2875+K2875</f>
        <v>0</v>
      </c>
      <c r="M2875" s="4" t="s">
        <v>3869</v>
      </c>
      <c r="N2875" s="4"/>
      <c r="O2875" s="4">
        <v>1</v>
      </c>
      <c r="P2875" s="4" t="s">
        <v>135</v>
      </c>
      <c r="Q2875" s="4"/>
      <c r="R2875" s="7">
        <v>10000</v>
      </c>
      <c r="S2875" s="7">
        <v>0</v>
      </c>
      <c r="T2875" s="7">
        <f>R2875-S2875</f>
        <v>0</v>
      </c>
      <c r="U2875" s="7">
        <f>T2875*O2875</f>
        <v>0</v>
      </c>
    </row>
    <row r="2876" spans="1:21">
      <c r="A2876" s="4" t="s">
        <v>3943</v>
      </c>
      <c r="B2876" s="4" t="s">
        <v>39</v>
      </c>
      <c r="C2876" s="5">
        <v>45958.2536574074</v>
      </c>
      <c r="D2876" s="5">
        <v>45958</v>
      </c>
      <c r="E2876" s="6">
        <f>IF(AND(C2876&lt;&gt;"",D2876&lt;&gt;""),D2876-C2876,"")</f>
        <v>0</v>
      </c>
      <c r="F2876" s="4" t="s">
        <v>3944</v>
      </c>
      <c r="G2876" s="4" t="s">
        <v>3945</v>
      </c>
      <c r="H2876" s="4" t="s">
        <v>32</v>
      </c>
      <c r="I2876" s="4" t="s">
        <v>33</v>
      </c>
      <c r="J2876" s="4">
        <v>0</v>
      </c>
      <c r="K2876" s="4">
        <v>0</v>
      </c>
      <c r="L2876" s="4">
        <f>J2876+K2876</f>
        <v>0</v>
      </c>
      <c r="M2876" s="4" t="s">
        <v>3630</v>
      </c>
      <c r="N2876" s="4"/>
      <c r="O2876" s="4">
        <v>1</v>
      </c>
      <c r="P2876" s="4" t="s">
        <v>135</v>
      </c>
      <c r="Q2876" s="4"/>
      <c r="R2876" s="7">
        <v>15000</v>
      </c>
      <c r="S2876" s="7">
        <v>0</v>
      </c>
      <c r="T2876" s="7">
        <f>R2876-S2876</f>
        <v>0</v>
      </c>
      <c r="U2876" s="7">
        <f>T2876*O2876</f>
        <v>0</v>
      </c>
    </row>
    <row r="2877" spans="1:21">
      <c r="A2877" s="4" t="s">
        <v>3943</v>
      </c>
      <c r="B2877" s="4" t="s">
        <v>39</v>
      </c>
      <c r="C2877" s="5">
        <v>45958.2536574074</v>
      </c>
      <c r="D2877" s="5">
        <v>45958</v>
      </c>
      <c r="E2877" s="6">
        <f>IF(AND(C2877&lt;&gt;"",D2877&lt;&gt;""),D2877-C2877,"")</f>
        <v>0</v>
      </c>
      <c r="F2877" s="4" t="s">
        <v>3944</v>
      </c>
      <c r="G2877" s="4" t="s">
        <v>3945</v>
      </c>
      <c r="H2877" s="4" t="s">
        <v>32</v>
      </c>
      <c r="I2877" s="4" t="s">
        <v>33</v>
      </c>
      <c r="J2877" s="4">
        <v>0</v>
      </c>
      <c r="K2877" s="4">
        <v>0</v>
      </c>
      <c r="L2877" s="4">
        <f>J2877+K2877</f>
        <v>0</v>
      </c>
      <c r="M2877" s="4" t="s">
        <v>1551</v>
      </c>
      <c r="N2877" s="4"/>
      <c r="O2877" s="4">
        <v>1</v>
      </c>
      <c r="P2877" s="4" t="s">
        <v>135</v>
      </c>
      <c r="Q2877" s="4"/>
      <c r="R2877" s="7">
        <v>40000</v>
      </c>
      <c r="S2877" s="7">
        <v>0</v>
      </c>
      <c r="T2877" s="7">
        <f>R2877-S2877</f>
        <v>0</v>
      </c>
      <c r="U2877" s="7">
        <f>T2877*O2877</f>
        <v>0</v>
      </c>
    </row>
    <row r="2878" spans="1:21">
      <c r="A2878" s="4" t="s">
        <v>3943</v>
      </c>
      <c r="B2878" s="4" t="s">
        <v>39</v>
      </c>
      <c r="C2878" s="5">
        <v>45958.2536574074</v>
      </c>
      <c r="D2878" s="5">
        <v>45958</v>
      </c>
      <c r="E2878" s="6">
        <f>IF(AND(C2878&lt;&gt;"",D2878&lt;&gt;""),D2878-C2878,"")</f>
        <v>0</v>
      </c>
      <c r="F2878" s="4" t="s">
        <v>3944</v>
      </c>
      <c r="G2878" s="4" t="s">
        <v>3945</v>
      </c>
      <c r="H2878" s="4" t="s">
        <v>32</v>
      </c>
      <c r="I2878" s="4" t="s">
        <v>33</v>
      </c>
      <c r="J2878" s="4">
        <v>1</v>
      </c>
      <c r="K2878" s="4">
        <v>0</v>
      </c>
      <c r="L2878" s="4">
        <f>J2878+K2878</f>
        <v>0</v>
      </c>
      <c r="M2878" s="4" t="s">
        <v>80</v>
      </c>
      <c r="N2878" s="4"/>
      <c r="O2878" s="4">
        <v>1</v>
      </c>
      <c r="P2878" s="4" t="s">
        <v>135</v>
      </c>
      <c r="Q2878" s="4"/>
      <c r="R2878" s="7">
        <v>610000</v>
      </c>
      <c r="S2878" s="7">
        <v>0</v>
      </c>
      <c r="T2878" s="7">
        <f>R2878-S2878</f>
        <v>0</v>
      </c>
      <c r="U2878" s="7">
        <f>T2878*O2878</f>
        <v>0</v>
      </c>
    </row>
    <row r="2879" spans="1:21">
      <c r="A2879" s="4" t="s">
        <v>3943</v>
      </c>
      <c r="B2879" s="4" t="s">
        <v>39</v>
      </c>
      <c r="C2879" s="5">
        <v>45958.2536574074</v>
      </c>
      <c r="D2879" s="5">
        <v>45958</v>
      </c>
      <c r="E2879" s="6">
        <f>IF(AND(C2879&lt;&gt;"",D2879&lt;&gt;""),D2879-C2879,"")</f>
        <v>0</v>
      </c>
      <c r="F2879" s="4" t="s">
        <v>3944</v>
      </c>
      <c r="G2879" s="4" t="s">
        <v>3945</v>
      </c>
      <c r="H2879" s="4" t="s">
        <v>32</v>
      </c>
      <c r="I2879" s="4" t="s">
        <v>33</v>
      </c>
      <c r="J2879" s="4">
        <v>0</v>
      </c>
      <c r="K2879" s="4">
        <v>0</v>
      </c>
      <c r="L2879" s="4">
        <f>J2879+K2879</f>
        <v>0</v>
      </c>
      <c r="M2879" s="4" t="s">
        <v>3869</v>
      </c>
      <c r="N2879" s="4"/>
      <c r="O2879" s="4">
        <v>1</v>
      </c>
      <c r="P2879" s="4" t="s">
        <v>135</v>
      </c>
      <c r="Q2879" s="4"/>
      <c r="R2879" s="7">
        <v>10000</v>
      </c>
      <c r="S2879" s="7">
        <v>0</v>
      </c>
      <c r="T2879" s="7">
        <f>R2879-S2879</f>
        <v>0</v>
      </c>
      <c r="U2879" s="7">
        <f>T2879*O2879</f>
        <v>0</v>
      </c>
    </row>
    <row r="2880" spans="1:21">
      <c r="A2880" s="4" t="s">
        <v>3943</v>
      </c>
      <c r="B2880" s="4" t="s">
        <v>39</v>
      </c>
      <c r="C2880" s="5">
        <v>45958.2536574074</v>
      </c>
      <c r="D2880" s="5">
        <v>45958</v>
      </c>
      <c r="E2880" s="6">
        <f>IF(AND(C2880&lt;&gt;"",D2880&lt;&gt;""),D2880-C2880,"")</f>
        <v>0</v>
      </c>
      <c r="F2880" s="4" t="s">
        <v>3944</v>
      </c>
      <c r="G2880" s="4" t="s">
        <v>3945</v>
      </c>
      <c r="H2880" s="4" t="s">
        <v>32</v>
      </c>
      <c r="I2880" s="4" t="s">
        <v>33</v>
      </c>
      <c r="J2880" s="4">
        <v>0</v>
      </c>
      <c r="K2880" s="4">
        <v>0</v>
      </c>
      <c r="L2880" s="4">
        <f>J2880+K2880</f>
        <v>0</v>
      </c>
      <c r="M2880" s="4" t="s">
        <v>3630</v>
      </c>
      <c r="N2880" s="4"/>
      <c r="O2880" s="4">
        <v>1</v>
      </c>
      <c r="P2880" s="4" t="s">
        <v>135</v>
      </c>
      <c r="Q2880" s="4"/>
      <c r="R2880" s="7">
        <v>15000</v>
      </c>
      <c r="S2880" s="7">
        <v>0</v>
      </c>
      <c r="T2880" s="7">
        <f>R2880-S2880</f>
        <v>0</v>
      </c>
      <c r="U2880" s="7">
        <f>T2880*O2880</f>
        <v>0</v>
      </c>
    </row>
    <row r="2881" spans="1:21">
      <c r="A2881" s="4" t="s">
        <v>3943</v>
      </c>
      <c r="B2881" s="4" t="s">
        <v>39</v>
      </c>
      <c r="C2881" s="5">
        <v>45958.2536574074</v>
      </c>
      <c r="D2881" s="5">
        <v>45958</v>
      </c>
      <c r="E2881" s="6">
        <f>IF(AND(C2881&lt;&gt;"",D2881&lt;&gt;""),D2881-C2881,"")</f>
        <v>0</v>
      </c>
      <c r="F2881" s="4" t="s">
        <v>3944</v>
      </c>
      <c r="G2881" s="4" t="s">
        <v>3945</v>
      </c>
      <c r="H2881" s="4" t="s">
        <v>32</v>
      </c>
      <c r="I2881" s="4" t="s">
        <v>33</v>
      </c>
      <c r="J2881" s="4">
        <v>0</v>
      </c>
      <c r="K2881" s="4">
        <v>0</v>
      </c>
      <c r="L2881" s="4">
        <f>J2881+K2881</f>
        <v>0</v>
      </c>
      <c r="M2881" s="4" t="s">
        <v>3869</v>
      </c>
      <c r="N2881" s="4"/>
      <c r="O2881" s="4">
        <v>1</v>
      </c>
      <c r="P2881" s="4" t="s">
        <v>135</v>
      </c>
      <c r="Q2881" s="4"/>
      <c r="R2881" s="7">
        <v>10000</v>
      </c>
      <c r="S2881" s="7">
        <v>0</v>
      </c>
      <c r="T2881" s="7">
        <f>R2881-S2881</f>
        <v>0</v>
      </c>
      <c r="U2881" s="7">
        <f>T2881*O2881</f>
        <v>0</v>
      </c>
    </row>
    <row r="2882" spans="1:21">
      <c r="A2882" s="4" t="s">
        <v>3943</v>
      </c>
      <c r="B2882" s="4" t="s">
        <v>39</v>
      </c>
      <c r="C2882" s="5">
        <v>45958.2536574074</v>
      </c>
      <c r="D2882" s="5">
        <v>45958</v>
      </c>
      <c r="E2882" s="6">
        <f>IF(AND(C2882&lt;&gt;"",D2882&lt;&gt;""),D2882-C2882,"")</f>
        <v>0</v>
      </c>
      <c r="F2882" s="4" t="s">
        <v>3944</v>
      </c>
      <c r="G2882" s="4" t="s">
        <v>3945</v>
      </c>
      <c r="H2882" s="4" t="s">
        <v>32</v>
      </c>
      <c r="I2882" s="4" t="s">
        <v>33</v>
      </c>
      <c r="J2882" s="4">
        <v>1</v>
      </c>
      <c r="K2882" s="4">
        <v>0</v>
      </c>
      <c r="L2882" s="4">
        <f>J2882+K2882</f>
        <v>0</v>
      </c>
      <c r="M2882" s="4" t="s">
        <v>80</v>
      </c>
      <c r="N2882" s="4"/>
      <c r="O2882" s="4">
        <v>1</v>
      </c>
      <c r="P2882" s="4" t="s">
        <v>135</v>
      </c>
      <c r="Q2882" s="4"/>
      <c r="R2882" s="7">
        <v>610000</v>
      </c>
      <c r="S2882" s="7">
        <v>0</v>
      </c>
      <c r="T2882" s="7">
        <f>R2882-S2882</f>
        <v>0</v>
      </c>
      <c r="U2882" s="7">
        <f>T2882*O2882</f>
        <v>0</v>
      </c>
    </row>
    <row r="2883" spans="1:21">
      <c r="A2883" s="4" t="s">
        <v>3943</v>
      </c>
      <c r="B2883" s="4" t="s">
        <v>39</v>
      </c>
      <c r="C2883" s="5">
        <v>45958.2536574074</v>
      </c>
      <c r="D2883" s="5">
        <v>45958</v>
      </c>
      <c r="E2883" s="6">
        <f>IF(AND(C2883&lt;&gt;"",D2883&lt;&gt;""),D2883-C2883,"")</f>
        <v>0</v>
      </c>
      <c r="F2883" s="4" t="s">
        <v>3944</v>
      </c>
      <c r="G2883" s="4" t="s">
        <v>3945</v>
      </c>
      <c r="H2883" s="4" t="s">
        <v>32</v>
      </c>
      <c r="I2883" s="4" t="s">
        <v>33</v>
      </c>
      <c r="J2883" s="4">
        <v>1</v>
      </c>
      <c r="K2883" s="4">
        <v>0</v>
      </c>
      <c r="L2883" s="4">
        <f>J2883+K2883</f>
        <v>0</v>
      </c>
      <c r="M2883" s="4" t="s">
        <v>80</v>
      </c>
      <c r="N2883" s="4"/>
      <c r="O2883" s="4">
        <v>1</v>
      </c>
      <c r="P2883" s="4" t="s">
        <v>135</v>
      </c>
      <c r="Q2883" s="4"/>
      <c r="R2883" s="7">
        <v>610000</v>
      </c>
      <c r="S2883" s="7">
        <v>0</v>
      </c>
      <c r="T2883" s="7">
        <f>R2883-S2883</f>
        <v>0</v>
      </c>
      <c r="U2883" s="7">
        <f>T2883*O2883</f>
        <v>0</v>
      </c>
    </row>
    <row r="2884" spans="1:21">
      <c r="A2884" s="4" t="s">
        <v>3943</v>
      </c>
      <c r="B2884" s="4" t="s">
        <v>39</v>
      </c>
      <c r="C2884" s="5">
        <v>45958.2536574074</v>
      </c>
      <c r="D2884" s="5">
        <v>45958</v>
      </c>
      <c r="E2884" s="6">
        <f>IF(AND(C2884&lt;&gt;"",D2884&lt;&gt;""),D2884-C2884,"")</f>
        <v>0</v>
      </c>
      <c r="F2884" s="4" t="s">
        <v>3944</v>
      </c>
      <c r="G2884" s="4" t="s">
        <v>3945</v>
      </c>
      <c r="H2884" s="4" t="s">
        <v>32</v>
      </c>
      <c r="I2884" s="4" t="s">
        <v>33</v>
      </c>
      <c r="J2884" s="4">
        <v>1</v>
      </c>
      <c r="K2884" s="4">
        <v>0</v>
      </c>
      <c r="L2884" s="4">
        <f>J2884+K2884</f>
        <v>0</v>
      </c>
      <c r="M2884" s="4" t="s">
        <v>80</v>
      </c>
      <c r="N2884" s="4"/>
      <c r="O2884" s="4">
        <v>1</v>
      </c>
      <c r="P2884" s="4" t="s">
        <v>135</v>
      </c>
      <c r="Q2884" s="4"/>
      <c r="R2884" s="7">
        <v>610000</v>
      </c>
      <c r="S2884" s="7">
        <v>0</v>
      </c>
      <c r="T2884" s="7">
        <f>R2884-S2884</f>
        <v>0</v>
      </c>
      <c r="U2884" s="7">
        <f>T2884*O2884</f>
        <v>0</v>
      </c>
    </row>
    <row r="2885" spans="1:21">
      <c r="A2885" s="4" t="s">
        <v>3943</v>
      </c>
      <c r="B2885" s="4" t="s">
        <v>39</v>
      </c>
      <c r="C2885" s="5">
        <v>45958.2536574074</v>
      </c>
      <c r="D2885" s="5">
        <v>45958</v>
      </c>
      <c r="E2885" s="6">
        <f>IF(AND(C2885&lt;&gt;"",D2885&lt;&gt;""),D2885-C2885,"")</f>
        <v>0</v>
      </c>
      <c r="F2885" s="4" t="s">
        <v>3944</v>
      </c>
      <c r="G2885" s="4" t="s">
        <v>3945</v>
      </c>
      <c r="H2885" s="4" t="s">
        <v>32</v>
      </c>
      <c r="I2885" s="4" t="s">
        <v>33</v>
      </c>
      <c r="J2885" s="4">
        <v>0</v>
      </c>
      <c r="K2885" s="4">
        <v>0</v>
      </c>
      <c r="L2885" s="4">
        <f>J2885+K2885</f>
        <v>0</v>
      </c>
      <c r="M2885" s="4" t="s">
        <v>3942</v>
      </c>
      <c r="N2885" s="4"/>
      <c r="O2885" s="4">
        <v>1</v>
      </c>
      <c r="P2885" s="4" t="s">
        <v>135</v>
      </c>
      <c r="Q2885" s="4"/>
      <c r="R2885" s="7">
        <v>1</v>
      </c>
      <c r="S2885" s="7">
        <v>0</v>
      </c>
      <c r="T2885" s="7">
        <f>R2885-S2885</f>
        <v>0</v>
      </c>
      <c r="U2885" s="7">
        <f>T2885*O2885</f>
        <v>0</v>
      </c>
    </row>
    <row r="2886" spans="1:21">
      <c r="A2886" s="4" t="s">
        <v>3943</v>
      </c>
      <c r="B2886" s="4" t="s">
        <v>39</v>
      </c>
      <c r="C2886" s="5">
        <v>45958.2536574074</v>
      </c>
      <c r="D2886" s="5">
        <v>45958</v>
      </c>
      <c r="E2886" s="6">
        <f>IF(AND(C2886&lt;&gt;"",D2886&lt;&gt;""),D2886-C2886,"")</f>
        <v>0</v>
      </c>
      <c r="F2886" s="4" t="s">
        <v>3944</v>
      </c>
      <c r="G2886" s="4" t="s">
        <v>3945</v>
      </c>
      <c r="H2886" s="4" t="s">
        <v>32</v>
      </c>
      <c r="I2886" s="4" t="s">
        <v>33</v>
      </c>
      <c r="J2886" s="4">
        <v>0</v>
      </c>
      <c r="K2886" s="4">
        <v>0</v>
      </c>
      <c r="L2886" s="4">
        <f>J2886+K2886</f>
        <v>0</v>
      </c>
      <c r="M2886" s="4" t="s">
        <v>3630</v>
      </c>
      <c r="N2886" s="4"/>
      <c r="O2886" s="4">
        <v>1</v>
      </c>
      <c r="P2886" s="4" t="s">
        <v>135</v>
      </c>
      <c r="Q2886" s="4"/>
      <c r="R2886" s="7">
        <v>15000</v>
      </c>
      <c r="S2886" s="7">
        <v>0</v>
      </c>
      <c r="T2886" s="7">
        <f>R2886-S2886</f>
        <v>0</v>
      </c>
      <c r="U2886" s="7">
        <f>T2886*O2886</f>
        <v>0</v>
      </c>
    </row>
    <row r="2887" spans="1:21">
      <c r="A2887" s="4" t="s">
        <v>3943</v>
      </c>
      <c r="B2887" s="4" t="s">
        <v>39</v>
      </c>
      <c r="C2887" s="5">
        <v>45958.2536574074</v>
      </c>
      <c r="D2887" s="5">
        <v>45958</v>
      </c>
      <c r="E2887" s="6">
        <f>IF(AND(C2887&lt;&gt;"",D2887&lt;&gt;""),D2887-C2887,"")</f>
        <v>0</v>
      </c>
      <c r="F2887" s="4" t="s">
        <v>3944</v>
      </c>
      <c r="G2887" s="4" t="s">
        <v>3945</v>
      </c>
      <c r="H2887" s="4" t="s">
        <v>32</v>
      </c>
      <c r="I2887" s="4" t="s">
        <v>33</v>
      </c>
      <c r="J2887" s="4">
        <v>0</v>
      </c>
      <c r="K2887" s="4">
        <v>0</v>
      </c>
      <c r="L2887" s="4">
        <f>J2887+K2887</f>
        <v>0</v>
      </c>
      <c r="M2887" s="4" t="s">
        <v>3942</v>
      </c>
      <c r="N2887" s="4"/>
      <c r="O2887" s="4">
        <v>1</v>
      </c>
      <c r="P2887" s="4" t="s">
        <v>135</v>
      </c>
      <c r="Q2887" s="4"/>
      <c r="R2887" s="7">
        <v>1</v>
      </c>
      <c r="S2887" s="7">
        <v>0</v>
      </c>
      <c r="T2887" s="7">
        <f>R2887-S2887</f>
        <v>0</v>
      </c>
      <c r="U2887" s="7">
        <f>T2887*O2887</f>
        <v>0</v>
      </c>
    </row>
    <row r="2888" spans="1:21">
      <c r="A2888" s="4" t="s">
        <v>3943</v>
      </c>
      <c r="B2888" s="4" t="s">
        <v>39</v>
      </c>
      <c r="C2888" s="5">
        <v>45958.2536574074</v>
      </c>
      <c r="D2888" s="5">
        <v>45958</v>
      </c>
      <c r="E2888" s="6">
        <f>IF(AND(C2888&lt;&gt;"",D2888&lt;&gt;""),D2888-C2888,"")</f>
        <v>0</v>
      </c>
      <c r="F2888" s="4" t="s">
        <v>3944</v>
      </c>
      <c r="G2888" s="4" t="s">
        <v>3945</v>
      </c>
      <c r="H2888" s="4" t="s">
        <v>32</v>
      </c>
      <c r="I2888" s="4" t="s">
        <v>33</v>
      </c>
      <c r="J2888" s="4">
        <v>0</v>
      </c>
      <c r="K2888" s="4">
        <v>0</v>
      </c>
      <c r="L2888" s="4">
        <f>J2888+K2888</f>
        <v>0</v>
      </c>
      <c r="M2888" s="4" t="s">
        <v>3869</v>
      </c>
      <c r="N2888" s="4"/>
      <c r="O2888" s="4">
        <v>1</v>
      </c>
      <c r="P2888" s="4" t="s">
        <v>135</v>
      </c>
      <c r="Q2888" s="4"/>
      <c r="R2888" s="7">
        <v>10000</v>
      </c>
      <c r="S2888" s="7">
        <v>0</v>
      </c>
      <c r="T2888" s="7">
        <f>R2888-S2888</f>
        <v>0</v>
      </c>
      <c r="U2888" s="7">
        <f>T2888*O2888</f>
        <v>0</v>
      </c>
    </row>
    <row r="2889" spans="1:21">
      <c r="A2889" s="4" t="s">
        <v>3943</v>
      </c>
      <c r="B2889" s="4" t="s">
        <v>39</v>
      </c>
      <c r="C2889" s="5">
        <v>45958.2536574074</v>
      </c>
      <c r="D2889" s="5">
        <v>45958</v>
      </c>
      <c r="E2889" s="6">
        <f>IF(AND(C2889&lt;&gt;"",D2889&lt;&gt;""),D2889-C2889,"")</f>
        <v>0</v>
      </c>
      <c r="F2889" s="4" t="s">
        <v>3944</v>
      </c>
      <c r="G2889" s="4" t="s">
        <v>3945</v>
      </c>
      <c r="H2889" s="4" t="s">
        <v>32</v>
      </c>
      <c r="I2889" s="4" t="s">
        <v>33</v>
      </c>
      <c r="J2889" s="4">
        <v>0</v>
      </c>
      <c r="K2889" s="4">
        <v>0</v>
      </c>
      <c r="L2889" s="4">
        <f>J2889+K2889</f>
        <v>0</v>
      </c>
      <c r="M2889" s="4" t="s">
        <v>3942</v>
      </c>
      <c r="N2889" s="4"/>
      <c r="O2889" s="4">
        <v>1</v>
      </c>
      <c r="P2889" s="4" t="s">
        <v>135</v>
      </c>
      <c r="Q2889" s="4"/>
      <c r="R2889" s="7">
        <v>1</v>
      </c>
      <c r="S2889" s="7">
        <v>0</v>
      </c>
      <c r="T2889" s="7">
        <f>R2889-S2889</f>
        <v>0</v>
      </c>
      <c r="U2889" s="7">
        <f>T2889*O2889</f>
        <v>0</v>
      </c>
    </row>
    <row r="2890" spans="1:21">
      <c r="A2890" s="4" t="s">
        <v>3943</v>
      </c>
      <c r="B2890" s="4" t="s">
        <v>39</v>
      </c>
      <c r="C2890" s="5">
        <v>45958.2536574074</v>
      </c>
      <c r="D2890" s="5">
        <v>45958</v>
      </c>
      <c r="E2890" s="6">
        <f>IF(AND(C2890&lt;&gt;"",D2890&lt;&gt;""),D2890-C2890,"")</f>
        <v>0</v>
      </c>
      <c r="F2890" s="4" t="s">
        <v>3944</v>
      </c>
      <c r="G2890" s="4" t="s">
        <v>3945</v>
      </c>
      <c r="H2890" s="4" t="s">
        <v>32</v>
      </c>
      <c r="I2890" s="4" t="s">
        <v>33</v>
      </c>
      <c r="J2890" s="4">
        <v>0</v>
      </c>
      <c r="K2890" s="4">
        <v>0</v>
      </c>
      <c r="L2890" s="4">
        <f>J2890+K2890</f>
        <v>0</v>
      </c>
      <c r="M2890" s="4" t="s">
        <v>3630</v>
      </c>
      <c r="N2890" s="4"/>
      <c r="O2890" s="4">
        <v>1</v>
      </c>
      <c r="P2890" s="4" t="s">
        <v>135</v>
      </c>
      <c r="Q2890" s="4"/>
      <c r="R2890" s="7">
        <v>15000</v>
      </c>
      <c r="S2890" s="7">
        <v>0</v>
      </c>
      <c r="T2890" s="7">
        <f>R2890-S2890</f>
        <v>0</v>
      </c>
      <c r="U2890" s="7">
        <f>T2890*O2890</f>
        <v>0</v>
      </c>
    </row>
    <row r="2891" spans="1:21">
      <c r="A2891" s="4" t="s">
        <v>3943</v>
      </c>
      <c r="B2891" s="4" t="s">
        <v>39</v>
      </c>
      <c r="C2891" s="5">
        <v>45958.2536574074</v>
      </c>
      <c r="D2891" s="5">
        <v>45958</v>
      </c>
      <c r="E2891" s="6">
        <f>IF(AND(C2891&lt;&gt;"",D2891&lt;&gt;""),D2891-C2891,"")</f>
        <v>0</v>
      </c>
      <c r="F2891" s="4" t="s">
        <v>3944</v>
      </c>
      <c r="G2891" s="4" t="s">
        <v>3945</v>
      </c>
      <c r="H2891" s="4" t="s">
        <v>32</v>
      </c>
      <c r="I2891" s="4" t="s">
        <v>33</v>
      </c>
      <c r="J2891" s="4">
        <v>0</v>
      </c>
      <c r="K2891" s="4">
        <v>0</v>
      </c>
      <c r="L2891" s="4">
        <f>J2891+K2891</f>
        <v>0</v>
      </c>
      <c r="M2891" s="4" t="s">
        <v>1551</v>
      </c>
      <c r="N2891" s="4"/>
      <c r="O2891" s="4">
        <v>1</v>
      </c>
      <c r="P2891" s="4" t="s">
        <v>135</v>
      </c>
      <c r="Q2891" s="4"/>
      <c r="R2891" s="7">
        <v>40000</v>
      </c>
      <c r="S2891" s="7">
        <v>0</v>
      </c>
      <c r="T2891" s="7">
        <f>R2891-S2891</f>
        <v>0</v>
      </c>
      <c r="U2891" s="7">
        <f>T2891*O2891</f>
        <v>0</v>
      </c>
    </row>
    <row r="2892" spans="1:21">
      <c r="A2892" s="4" t="s">
        <v>3943</v>
      </c>
      <c r="B2892" s="4" t="s">
        <v>39</v>
      </c>
      <c r="C2892" s="5">
        <v>45958.2536574074</v>
      </c>
      <c r="D2892" s="5">
        <v>45958</v>
      </c>
      <c r="E2892" s="6">
        <f>IF(AND(C2892&lt;&gt;"",D2892&lt;&gt;""),D2892-C2892,"")</f>
        <v>0</v>
      </c>
      <c r="F2892" s="4" t="s">
        <v>3944</v>
      </c>
      <c r="G2892" s="4" t="s">
        <v>3945</v>
      </c>
      <c r="H2892" s="4" t="s">
        <v>32</v>
      </c>
      <c r="I2892" s="4" t="s">
        <v>33</v>
      </c>
      <c r="J2892" s="4">
        <v>0</v>
      </c>
      <c r="K2892" s="4">
        <v>0</v>
      </c>
      <c r="L2892" s="4">
        <f>J2892+K2892</f>
        <v>0</v>
      </c>
      <c r="M2892" s="4" t="s">
        <v>3942</v>
      </c>
      <c r="N2892" s="4"/>
      <c r="O2892" s="4">
        <v>1</v>
      </c>
      <c r="P2892" s="4" t="s">
        <v>135</v>
      </c>
      <c r="Q2892" s="4"/>
      <c r="R2892" s="7">
        <v>1</v>
      </c>
      <c r="S2892" s="7">
        <v>0</v>
      </c>
      <c r="T2892" s="7">
        <f>R2892-S2892</f>
        <v>0</v>
      </c>
      <c r="U2892" s="7">
        <f>T2892*O2892</f>
        <v>0</v>
      </c>
    </row>
    <row r="2893" spans="1:21">
      <c r="A2893" s="4" t="s">
        <v>3943</v>
      </c>
      <c r="B2893" s="4" t="s">
        <v>39</v>
      </c>
      <c r="C2893" s="5">
        <v>45958.2536574074</v>
      </c>
      <c r="D2893" s="5">
        <v>45958</v>
      </c>
      <c r="E2893" s="6">
        <f>IF(AND(C2893&lt;&gt;"",D2893&lt;&gt;""),D2893-C2893,"")</f>
        <v>0</v>
      </c>
      <c r="F2893" s="4" t="s">
        <v>3944</v>
      </c>
      <c r="G2893" s="4" t="s">
        <v>3945</v>
      </c>
      <c r="H2893" s="4" t="s">
        <v>32</v>
      </c>
      <c r="I2893" s="4" t="s">
        <v>33</v>
      </c>
      <c r="J2893" s="4">
        <v>0</v>
      </c>
      <c r="K2893" s="4">
        <v>0</v>
      </c>
      <c r="L2893" s="4">
        <f>J2893+K2893</f>
        <v>0</v>
      </c>
      <c r="M2893" s="4" t="s">
        <v>3869</v>
      </c>
      <c r="N2893" s="4"/>
      <c r="O2893" s="4">
        <v>1</v>
      </c>
      <c r="P2893" s="4" t="s">
        <v>135</v>
      </c>
      <c r="Q2893" s="4"/>
      <c r="R2893" s="7">
        <v>10000</v>
      </c>
      <c r="S2893" s="7">
        <v>0</v>
      </c>
      <c r="T2893" s="7">
        <f>R2893-S2893</f>
        <v>0</v>
      </c>
      <c r="U2893" s="7">
        <f>T2893*O2893</f>
        <v>0</v>
      </c>
    </row>
    <row r="2894" spans="1:21">
      <c r="A2894" s="4" t="s">
        <v>3943</v>
      </c>
      <c r="B2894" s="4" t="s">
        <v>39</v>
      </c>
      <c r="C2894" s="5">
        <v>45958.2536574074</v>
      </c>
      <c r="D2894" s="5">
        <v>45958</v>
      </c>
      <c r="E2894" s="6">
        <f>IF(AND(C2894&lt;&gt;"",D2894&lt;&gt;""),D2894-C2894,"")</f>
        <v>0</v>
      </c>
      <c r="F2894" s="4" t="s">
        <v>3944</v>
      </c>
      <c r="G2894" s="4" t="s">
        <v>3945</v>
      </c>
      <c r="H2894" s="4" t="s">
        <v>32</v>
      </c>
      <c r="I2894" s="4" t="s">
        <v>33</v>
      </c>
      <c r="J2894" s="4">
        <v>1</v>
      </c>
      <c r="K2894" s="4">
        <v>0</v>
      </c>
      <c r="L2894" s="4">
        <f>J2894+K2894</f>
        <v>0</v>
      </c>
      <c r="M2894" s="4" t="s">
        <v>80</v>
      </c>
      <c r="N2894" s="4"/>
      <c r="O2894" s="4">
        <v>1</v>
      </c>
      <c r="P2894" s="4" t="s">
        <v>135</v>
      </c>
      <c r="Q2894" s="4"/>
      <c r="R2894" s="7">
        <v>610000</v>
      </c>
      <c r="S2894" s="7">
        <v>0</v>
      </c>
      <c r="T2894" s="7">
        <f>R2894-S2894</f>
        <v>0</v>
      </c>
      <c r="U2894" s="7">
        <f>T2894*O2894</f>
        <v>0</v>
      </c>
    </row>
    <row r="2895" spans="1:21">
      <c r="A2895" s="4" t="s">
        <v>3946</v>
      </c>
      <c r="B2895" s="4" t="s">
        <v>39</v>
      </c>
      <c r="C2895" s="5">
        <v>45958.25769675926</v>
      </c>
      <c r="D2895" s="5">
        <v>45958</v>
      </c>
      <c r="E2895" s="6">
        <f>IF(AND(C2895&lt;&gt;"",D2895&lt;&gt;""),D2895-C2895,"")</f>
        <v>0</v>
      </c>
      <c r="F2895" s="4" t="s">
        <v>2887</v>
      </c>
      <c r="G2895" s="4" t="s">
        <v>2888</v>
      </c>
      <c r="H2895" s="4" t="s">
        <v>32</v>
      </c>
      <c r="I2895" s="4" t="s">
        <v>33</v>
      </c>
      <c r="J2895" s="4">
        <v>0</v>
      </c>
      <c r="K2895" s="4">
        <v>0</v>
      </c>
      <c r="L2895" s="4">
        <f>J2895+K2895</f>
        <v>0</v>
      </c>
      <c r="M2895" s="4" t="s">
        <v>370</v>
      </c>
      <c r="N2895" s="4"/>
      <c r="O2895" s="4">
        <v>1</v>
      </c>
      <c r="P2895" s="4" t="s">
        <v>43</v>
      </c>
      <c r="Q2895" s="4" t="s">
        <v>44</v>
      </c>
      <c r="R2895" s="7">
        <v>5900000</v>
      </c>
      <c r="S2895" s="7">
        <v>0</v>
      </c>
      <c r="T2895" s="7">
        <f>R2895-S2895</f>
        <v>0</v>
      </c>
      <c r="U2895" s="7">
        <f>T2895*O2895</f>
        <v>0</v>
      </c>
    </row>
    <row r="2896" spans="1:21">
      <c r="A2896" s="4" t="s">
        <v>3947</v>
      </c>
      <c r="B2896" s="4" t="s">
        <v>39</v>
      </c>
      <c r="C2896" s="5">
        <v>45958.26591435185</v>
      </c>
      <c r="D2896" s="5">
        <v>45958</v>
      </c>
      <c r="E2896" s="6">
        <f>IF(AND(C2896&lt;&gt;"",D2896&lt;&gt;""),D2896-C2896,"")</f>
        <v>0</v>
      </c>
      <c r="F2896" s="4" t="s">
        <v>3948</v>
      </c>
      <c r="G2896" s="4" t="s">
        <v>3949</v>
      </c>
      <c r="H2896" s="4" t="s">
        <v>32</v>
      </c>
      <c r="I2896" s="4" t="s">
        <v>33</v>
      </c>
      <c r="J2896" s="4">
        <v>0</v>
      </c>
      <c r="K2896" s="4">
        <v>0</v>
      </c>
      <c r="L2896" s="4">
        <f>J2896+K2896</f>
        <v>0</v>
      </c>
      <c r="M2896" s="4" t="s">
        <v>3630</v>
      </c>
      <c r="N2896" s="4"/>
      <c r="O2896" s="4">
        <v>1</v>
      </c>
      <c r="P2896" s="4" t="s">
        <v>135</v>
      </c>
      <c r="Q2896" s="4"/>
      <c r="R2896" s="7">
        <v>15000</v>
      </c>
      <c r="S2896" s="7">
        <v>0</v>
      </c>
      <c r="T2896" s="7">
        <f>R2896-S2896</f>
        <v>0</v>
      </c>
      <c r="U2896" s="7">
        <f>T2896*O2896</f>
        <v>0</v>
      </c>
    </row>
    <row r="2897" spans="1:21">
      <c r="A2897" s="4" t="s">
        <v>3947</v>
      </c>
      <c r="B2897" s="4" t="s">
        <v>39</v>
      </c>
      <c r="C2897" s="5">
        <v>45958.26591435185</v>
      </c>
      <c r="D2897" s="5">
        <v>45958</v>
      </c>
      <c r="E2897" s="6">
        <f>IF(AND(C2897&lt;&gt;"",D2897&lt;&gt;""),D2897-C2897,"")</f>
        <v>0</v>
      </c>
      <c r="F2897" s="4" t="s">
        <v>3948</v>
      </c>
      <c r="G2897" s="4" t="s">
        <v>3949</v>
      </c>
      <c r="H2897" s="4" t="s">
        <v>32</v>
      </c>
      <c r="I2897" s="4" t="s">
        <v>33</v>
      </c>
      <c r="J2897" s="4">
        <v>0</v>
      </c>
      <c r="K2897" s="4">
        <v>0</v>
      </c>
      <c r="L2897" s="4">
        <f>J2897+K2897</f>
        <v>0</v>
      </c>
      <c r="M2897" s="4" t="s">
        <v>3950</v>
      </c>
      <c r="N2897" s="4"/>
      <c r="O2897" s="4">
        <v>1</v>
      </c>
      <c r="P2897" s="4" t="s">
        <v>135</v>
      </c>
      <c r="Q2897" s="4"/>
      <c r="R2897" s="7">
        <v>45000</v>
      </c>
      <c r="S2897" s="7">
        <v>0</v>
      </c>
      <c r="T2897" s="7">
        <f>R2897-S2897</f>
        <v>0</v>
      </c>
      <c r="U2897" s="7">
        <f>T2897*O2897</f>
        <v>0</v>
      </c>
    </row>
    <row r="2898" spans="1:21">
      <c r="A2898" s="4" t="s">
        <v>3947</v>
      </c>
      <c r="B2898" s="4" t="s">
        <v>39</v>
      </c>
      <c r="C2898" s="5">
        <v>45958.26591435185</v>
      </c>
      <c r="D2898" s="5">
        <v>45958</v>
      </c>
      <c r="E2898" s="6">
        <f>IF(AND(C2898&lt;&gt;"",D2898&lt;&gt;""),D2898-C2898,"")</f>
        <v>0</v>
      </c>
      <c r="F2898" s="4" t="s">
        <v>3948</v>
      </c>
      <c r="G2898" s="4" t="s">
        <v>3949</v>
      </c>
      <c r="H2898" s="4" t="s">
        <v>32</v>
      </c>
      <c r="I2898" s="4" t="s">
        <v>33</v>
      </c>
      <c r="J2898" s="4">
        <v>0</v>
      </c>
      <c r="K2898" s="4">
        <v>0</v>
      </c>
      <c r="L2898" s="4">
        <f>J2898+K2898</f>
        <v>0</v>
      </c>
      <c r="M2898" s="4" t="s">
        <v>3950</v>
      </c>
      <c r="N2898" s="4"/>
      <c r="O2898" s="4">
        <v>1</v>
      </c>
      <c r="P2898" s="4" t="s">
        <v>135</v>
      </c>
      <c r="Q2898" s="4"/>
      <c r="R2898" s="7">
        <v>45000</v>
      </c>
      <c r="S2898" s="7">
        <v>0</v>
      </c>
      <c r="T2898" s="7">
        <f>R2898-S2898</f>
        <v>0</v>
      </c>
      <c r="U2898" s="7">
        <f>T2898*O2898</f>
        <v>0</v>
      </c>
    </row>
    <row r="2899" spans="1:21">
      <c r="A2899" s="4" t="s">
        <v>3947</v>
      </c>
      <c r="B2899" s="4" t="s">
        <v>39</v>
      </c>
      <c r="C2899" s="5">
        <v>45958.26591435185</v>
      </c>
      <c r="D2899" s="5">
        <v>45958</v>
      </c>
      <c r="E2899" s="6">
        <f>IF(AND(C2899&lt;&gt;"",D2899&lt;&gt;""),D2899-C2899,"")</f>
        <v>0</v>
      </c>
      <c r="F2899" s="4" t="s">
        <v>3948</v>
      </c>
      <c r="G2899" s="4" t="s">
        <v>3949</v>
      </c>
      <c r="H2899" s="4" t="s">
        <v>32</v>
      </c>
      <c r="I2899" s="4" t="s">
        <v>33</v>
      </c>
      <c r="J2899" s="4">
        <v>0</v>
      </c>
      <c r="K2899" s="4">
        <v>0</v>
      </c>
      <c r="L2899" s="4">
        <f>J2899+K2899</f>
        <v>0</v>
      </c>
      <c r="M2899" s="4" t="s">
        <v>3630</v>
      </c>
      <c r="N2899" s="4"/>
      <c r="O2899" s="4">
        <v>1</v>
      </c>
      <c r="P2899" s="4" t="s">
        <v>135</v>
      </c>
      <c r="Q2899" s="4"/>
      <c r="R2899" s="7">
        <v>15000</v>
      </c>
      <c r="S2899" s="7">
        <v>0</v>
      </c>
      <c r="T2899" s="7">
        <f>R2899-S2899</f>
        <v>0</v>
      </c>
      <c r="U2899" s="7">
        <f>T2899*O2899</f>
        <v>0</v>
      </c>
    </row>
    <row r="2900" spans="1:21">
      <c r="A2900" s="4" t="s">
        <v>3947</v>
      </c>
      <c r="B2900" s="4" t="s">
        <v>39</v>
      </c>
      <c r="C2900" s="5">
        <v>45958.26591435185</v>
      </c>
      <c r="D2900" s="5">
        <v>45958</v>
      </c>
      <c r="E2900" s="6">
        <f>IF(AND(C2900&lt;&gt;"",D2900&lt;&gt;""),D2900-C2900,"")</f>
        <v>0</v>
      </c>
      <c r="F2900" s="4" t="s">
        <v>3948</v>
      </c>
      <c r="G2900" s="4" t="s">
        <v>3949</v>
      </c>
      <c r="H2900" s="4" t="s">
        <v>32</v>
      </c>
      <c r="I2900" s="4" t="s">
        <v>33</v>
      </c>
      <c r="J2900" s="4">
        <v>1</v>
      </c>
      <c r="K2900" s="4">
        <v>0</v>
      </c>
      <c r="L2900" s="4">
        <f>J2900+K2900</f>
        <v>0</v>
      </c>
      <c r="M2900" s="4" t="s">
        <v>80</v>
      </c>
      <c r="N2900" s="4"/>
      <c r="O2900" s="4">
        <v>1</v>
      </c>
      <c r="P2900" s="4" t="s">
        <v>135</v>
      </c>
      <c r="Q2900" s="4"/>
      <c r="R2900" s="7">
        <v>610000</v>
      </c>
      <c r="S2900" s="7">
        <v>0</v>
      </c>
      <c r="T2900" s="7">
        <f>R2900-S2900</f>
        <v>0</v>
      </c>
      <c r="U2900" s="7">
        <f>T2900*O2900</f>
        <v>0</v>
      </c>
    </row>
    <row r="2901" spans="1:21">
      <c r="A2901" s="4" t="s">
        <v>3947</v>
      </c>
      <c r="B2901" s="4" t="s">
        <v>39</v>
      </c>
      <c r="C2901" s="5">
        <v>45958.26591435185</v>
      </c>
      <c r="D2901" s="5">
        <v>45958</v>
      </c>
      <c r="E2901" s="6">
        <f>IF(AND(C2901&lt;&gt;"",D2901&lt;&gt;""),D2901-C2901,"")</f>
        <v>0</v>
      </c>
      <c r="F2901" s="4" t="s">
        <v>3948</v>
      </c>
      <c r="G2901" s="4" t="s">
        <v>3949</v>
      </c>
      <c r="H2901" s="4" t="s">
        <v>32</v>
      </c>
      <c r="I2901" s="4" t="s">
        <v>33</v>
      </c>
      <c r="J2901" s="4">
        <v>1</v>
      </c>
      <c r="K2901" s="4">
        <v>0</v>
      </c>
      <c r="L2901" s="4">
        <f>J2901+K2901</f>
        <v>0</v>
      </c>
      <c r="M2901" s="4" t="s">
        <v>80</v>
      </c>
      <c r="N2901" s="4"/>
      <c r="O2901" s="4">
        <v>1</v>
      </c>
      <c r="P2901" s="4" t="s">
        <v>135</v>
      </c>
      <c r="Q2901" s="4"/>
      <c r="R2901" s="7">
        <v>610000</v>
      </c>
      <c r="S2901" s="7">
        <v>0</v>
      </c>
      <c r="T2901" s="7">
        <f>R2901-S2901</f>
        <v>0</v>
      </c>
      <c r="U2901" s="7">
        <f>T2901*O2901</f>
        <v>0</v>
      </c>
    </row>
    <row r="2902" spans="1:21">
      <c r="A2902" s="4" t="s">
        <v>3947</v>
      </c>
      <c r="B2902" s="4" t="s">
        <v>39</v>
      </c>
      <c r="C2902" s="5">
        <v>45958.26591435185</v>
      </c>
      <c r="D2902" s="5">
        <v>45958</v>
      </c>
      <c r="E2902" s="6">
        <f>IF(AND(C2902&lt;&gt;"",D2902&lt;&gt;""),D2902-C2902,"")</f>
        <v>0</v>
      </c>
      <c r="F2902" s="4" t="s">
        <v>3948</v>
      </c>
      <c r="G2902" s="4" t="s">
        <v>3949</v>
      </c>
      <c r="H2902" s="4" t="s">
        <v>32</v>
      </c>
      <c r="I2902" s="4" t="s">
        <v>33</v>
      </c>
      <c r="J2902" s="4">
        <v>1</v>
      </c>
      <c r="K2902" s="4">
        <v>0</v>
      </c>
      <c r="L2902" s="4">
        <f>J2902+K2902</f>
        <v>0</v>
      </c>
      <c r="M2902" s="4" t="s">
        <v>80</v>
      </c>
      <c r="N2902" s="4"/>
      <c r="O2902" s="4">
        <v>1</v>
      </c>
      <c r="P2902" s="4" t="s">
        <v>135</v>
      </c>
      <c r="Q2902" s="4"/>
      <c r="R2902" s="7">
        <v>610000</v>
      </c>
      <c r="S2902" s="7">
        <v>0</v>
      </c>
      <c r="T2902" s="7">
        <f>R2902-S2902</f>
        <v>0</v>
      </c>
      <c r="U2902" s="7">
        <f>T2902*O2902</f>
        <v>0</v>
      </c>
    </row>
    <row r="2903" spans="1:21">
      <c r="A2903" s="4" t="s">
        <v>3947</v>
      </c>
      <c r="B2903" s="4" t="s">
        <v>39</v>
      </c>
      <c r="C2903" s="5">
        <v>45958.26591435185</v>
      </c>
      <c r="D2903" s="5">
        <v>45958</v>
      </c>
      <c r="E2903" s="6">
        <f>IF(AND(C2903&lt;&gt;"",D2903&lt;&gt;""),D2903-C2903,"")</f>
        <v>0</v>
      </c>
      <c r="F2903" s="4" t="s">
        <v>3948</v>
      </c>
      <c r="G2903" s="4" t="s">
        <v>3949</v>
      </c>
      <c r="H2903" s="4" t="s">
        <v>32</v>
      </c>
      <c r="I2903" s="4" t="s">
        <v>33</v>
      </c>
      <c r="J2903" s="4">
        <v>0</v>
      </c>
      <c r="K2903" s="4">
        <v>0</v>
      </c>
      <c r="L2903" s="4">
        <f>J2903+K2903</f>
        <v>0</v>
      </c>
      <c r="M2903" s="4" t="s">
        <v>3630</v>
      </c>
      <c r="N2903" s="4"/>
      <c r="O2903" s="4">
        <v>1</v>
      </c>
      <c r="P2903" s="4" t="s">
        <v>135</v>
      </c>
      <c r="Q2903" s="4"/>
      <c r="R2903" s="7">
        <v>15000</v>
      </c>
      <c r="S2903" s="7">
        <v>0</v>
      </c>
      <c r="T2903" s="7">
        <f>R2903-S2903</f>
        <v>0</v>
      </c>
      <c r="U2903" s="7">
        <f>T2903*O2903</f>
        <v>0</v>
      </c>
    </row>
    <row r="2904" spans="1:21">
      <c r="A2904" s="4" t="s">
        <v>3947</v>
      </c>
      <c r="B2904" s="4" t="s">
        <v>39</v>
      </c>
      <c r="C2904" s="5">
        <v>45958.26591435185</v>
      </c>
      <c r="D2904" s="5">
        <v>45958</v>
      </c>
      <c r="E2904" s="6">
        <f>IF(AND(C2904&lt;&gt;"",D2904&lt;&gt;""),D2904-C2904,"")</f>
        <v>0</v>
      </c>
      <c r="F2904" s="4" t="s">
        <v>3948</v>
      </c>
      <c r="G2904" s="4" t="s">
        <v>3949</v>
      </c>
      <c r="H2904" s="4" t="s">
        <v>32</v>
      </c>
      <c r="I2904" s="4" t="s">
        <v>33</v>
      </c>
      <c r="J2904" s="4">
        <v>1</v>
      </c>
      <c r="K2904" s="4">
        <v>0</v>
      </c>
      <c r="L2904" s="4">
        <f>J2904+K2904</f>
        <v>0</v>
      </c>
      <c r="M2904" s="4" t="s">
        <v>80</v>
      </c>
      <c r="N2904" s="4"/>
      <c r="O2904" s="4">
        <v>1</v>
      </c>
      <c r="P2904" s="4" t="s">
        <v>135</v>
      </c>
      <c r="Q2904" s="4"/>
      <c r="R2904" s="7">
        <v>610000</v>
      </c>
      <c r="S2904" s="7">
        <v>0</v>
      </c>
      <c r="T2904" s="7">
        <f>R2904-S2904</f>
        <v>0</v>
      </c>
      <c r="U2904" s="7">
        <f>T2904*O2904</f>
        <v>0</v>
      </c>
    </row>
    <row r="2905" spans="1:21">
      <c r="A2905" s="4" t="s">
        <v>3947</v>
      </c>
      <c r="B2905" s="4" t="s">
        <v>39</v>
      </c>
      <c r="C2905" s="5">
        <v>45958.26591435185</v>
      </c>
      <c r="D2905" s="5">
        <v>45958</v>
      </c>
      <c r="E2905" s="6">
        <f>IF(AND(C2905&lt;&gt;"",D2905&lt;&gt;""),D2905-C2905,"")</f>
        <v>0</v>
      </c>
      <c r="F2905" s="4" t="s">
        <v>3948</v>
      </c>
      <c r="G2905" s="4" t="s">
        <v>3949</v>
      </c>
      <c r="H2905" s="4" t="s">
        <v>32</v>
      </c>
      <c r="I2905" s="4" t="s">
        <v>33</v>
      </c>
      <c r="J2905" s="4">
        <v>1</v>
      </c>
      <c r="K2905" s="4">
        <v>0</v>
      </c>
      <c r="L2905" s="4">
        <f>J2905+K2905</f>
        <v>0</v>
      </c>
      <c r="M2905" s="4" t="s">
        <v>80</v>
      </c>
      <c r="N2905" s="4"/>
      <c r="O2905" s="4">
        <v>1</v>
      </c>
      <c r="P2905" s="4" t="s">
        <v>135</v>
      </c>
      <c r="Q2905" s="4"/>
      <c r="R2905" s="7">
        <v>610000</v>
      </c>
      <c r="S2905" s="7">
        <v>0</v>
      </c>
      <c r="T2905" s="7">
        <f>R2905-S2905</f>
        <v>0</v>
      </c>
      <c r="U2905" s="7">
        <f>T2905*O2905</f>
        <v>0</v>
      </c>
    </row>
    <row r="2906" spans="1:21">
      <c r="A2906" s="4" t="s">
        <v>3947</v>
      </c>
      <c r="B2906" s="4" t="s">
        <v>39</v>
      </c>
      <c r="C2906" s="5">
        <v>45958.26591435185</v>
      </c>
      <c r="D2906" s="5">
        <v>45958</v>
      </c>
      <c r="E2906" s="6">
        <f>IF(AND(C2906&lt;&gt;"",D2906&lt;&gt;""),D2906-C2906,"")</f>
        <v>0</v>
      </c>
      <c r="F2906" s="4" t="s">
        <v>3948</v>
      </c>
      <c r="G2906" s="4" t="s">
        <v>3949</v>
      </c>
      <c r="H2906" s="4" t="s">
        <v>32</v>
      </c>
      <c r="I2906" s="4" t="s">
        <v>33</v>
      </c>
      <c r="J2906" s="4">
        <v>0</v>
      </c>
      <c r="K2906" s="4">
        <v>0</v>
      </c>
      <c r="L2906" s="4">
        <f>J2906+K2906</f>
        <v>0</v>
      </c>
      <c r="M2906" s="4" t="s">
        <v>3630</v>
      </c>
      <c r="N2906" s="4"/>
      <c r="O2906" s="4">
        <v>1</v>
      </c>
      <c r="P2906" s="4" t="s">
        <v>135</v>
      </c>
      <c r="Q2906" s="4"/>
      <c r="R2906" s="7">
        <v>15000</v>
      </c>
      <c r="S2906" s="7">
        <v>0</v>
      </c>
      <c r="T2906" s="7">
        <f>R2906-S2906</f>
        <v>0</v>
      </c>
      <c r="U2906" s="7">
        <f>T2906*O2906</f>
        <v>0</v>
      </c>
    </row>
    <row r="2907" spans="1:21">
      <c r="A2907" s="4" t="s">
        <v>3947</v>
      </c>
      <c r="B2907" s="4" t="s">
        <v>39</v>
      </c>
      <c r="C2907" s="5">
        <v>45958.26591435185</v>
      </c>
      <c r="D2907" s="5">
        <v>45958</v>
      </c>
      <c r="E2907" s="6">
        <f>IF(AND(C2907&lt;&gt;"",D2907&lt;&gt;""),D2907-C2907,"")</f>
        <v>0</v>
      </c>
      <c r="F2907" s="4" t="s">
        <v>3948</v>
      </c>
      <c r="G2907" s="4" t="s">
        <v>3949</v>
      </c>
      <c r="H2907" s="4" t="s">
        <v>32</v>
      </c>
      <c r="I2907" s="4" t="s">
        <v>33</v>
      </c>
      <c r="J2907" s="4">
        <v>0</v>
      </c>
      <c r="K2907" s="4">
        <v>0</v>
      </c>
      <c r="L2907" s="4">
        <f>J2907+K2907</f>
        <v>0</v>
      </c>
      <c r="M2907" s="4" t="s">
        <v>3950</v>
      </c>
      <c r="N2907" s="4"/>
      <c r="O2907" s="4">
        <v>1</v>
      </c>
      <c r="P2907" s="4" t="s">
        <v>135</v>
      </c>
      <c r="Q2907" s="4"/>
      <c r="R2907" s="7">
        <v>45000</v>
      </c>
      <c r="S2907" s="7">
        <v>0</v>
      </c>
      <c r="T2907" s="7">
        <f>R2907-S2907</f>
        <v>0</v>
      </c>
      <c r="U2907" s="7">
        <f>T2907*O2907</f>
        <v>0</v>
      </c>
    </row>
    <row r="2908" spans="1:21">
      <c r="A2908" s="4" t="s">
        <v>3947</v>
      </c>
      <c r="B2908" s="4" t="s">
        <v>39</v>
      </c>
      <c r="C2908" s="5">
        <v>45958.26591435185</v>
      </c>
      <c r="D2908" s="5">
        <v>45958</v>
      </c>
      <c r="E2908" s="6">
        <f>IF(AND(C2908&lt;&gt;"",D2908&lt;&gt;""),D2908-C2908,"")</f>
        <v>0</v>
      </c>
      <c r="F2908" s="4" t="s">
        <v>3948</v>
      </c>
      <c r="G2908" s="4" t="s">
        <v>3949</v>
      </c>
      <c r="H2908" s="4" t="s">
        <v>32</v>
      </c>
      <c r="I2908" s="4" t="s">
        <v>33</v>
      </c>
      <c r="J2908" s="4">
        <v>0</v>
      </c>
      <c r="K2908" s="4">
        <v>0</v>
      </c>
      <c r="L2908" s="4">
        <f>J2908+K2908</f>
        <v>0</v>
      </c>
      <c r="M2908" s="4" t="s">
        <v>3630</v>
      </c>
      <c r="N2908" s="4"/>
      <c r="O2908" s="4">
        <v>1</v>
      </c>
      <c r="P2908" s="4" t="s">
        <v>135</v>
      </c>
      <c r="Q2908" s="4"/>
      <c r="R2908" s="7">
        <v>15000</v>
      </c>
      <c r="S2908" s="7">
        <v>0</v>
      </c>
      <c r="T2908" s="7">
        <f>R2908-S2908</f>
        <v>0</v>
      </c>
      <c r="U2908" s="7">
        <f>T2908*O2908</f>
        <v>0</v>
      </c>
    </row>
    <row r="2909" spans="1:21">
      <c r="A2909" s="4" t="s">
        <v>3947</v>
      </c>
      <c r="B2909" s="4" t="s">
        <v>39</v>
      </c>
      <c r="C2909" s="5">
        <v>45958.26591435185</v>
      </c>
      <c r="D2909" s="5">
        <v>45958</v>
      </c>
      <c r="E2909" s="6">
        <f>IF(AND(C2909&lt;&gt;"",D2909&lt;&gt;""),D2909-C2909,"")</f>
        <v>0</v>
      </c>
      <c r="F2909" s="4" t="s">
        <v>3948</v>
      </c>
      <c r="G2909" s="4" t="s">
        <v>3949</v>
      </c>
      <c r="H2909" s="4" t="s">
        <v>32</v>
      </c>
      <c r="I2909" s="4" t="s">
        <v>33</v>
      </c>
      <c r="J2909" s="4">
        <v>1</v>
      </c>
      <c r="K2909" s="4">
        <v>0</v>
      </c>
      <c r="L2909" s="4">
        <f>J2909+K2909</f>
        <v>0</v>
      </c>
      <c r="M2909" s="4" t="s">
        <v>80</v>
      </c>
      <c r="N2909" s="4"/>
      <c r="O2909" s="4">
        <v>1</v>
      </c>
      <c r="P2909" s="4" t="s">
        <v>135</v>
      </c>
      <c r="Q2909" s="4"/>
      <c r="R2909" s="7">
        <v>610000</v>
      </c>
      <c r="S2909" s="7">
        <v>0</v>
      </c>
      <c r="T2909" s="7">
        <f>R2909-S2909</f>
        <v>0</v>
      </c>
      <c r="U2909" s="7">
        <f>T2909*O2909</f>
        <v>0</v>
      </c>
    </row>
    <row r="2910" spans="1:21">
      <c r="A2910" s="4" t="s">
        <v>3947</v>
      </c>
      <c r="B2910" s="4" t="s">
        <v>39</v>
      </c>
      <c r="C2910" s="5">
        <v>45958.26591435185</v>
      </c>
      <c r="D2910" s="5">
        <v>45958</v>
      </c>
      <c r="E2910" s="6">
        <f>IF(AND(C2910&lt;&gt;"",D2910&lt;&gt;""),D2910-C2910,"")</f>
        <v>0</v>
      </c>
      <c r="F2910" s="4" t="s">
        <v>3948</v>
      </c>
      <c r="G2910" s="4" t="s">
        <v>3949</v>
      </c>
      <c r="H2910" s="4" t="s">
        <v>32</v>
      </c>
      <c r="I2910" s="4" t="s">
        <v>33</v>
      </c>
      <c r="J2910" s="4">
        <v>0</v>
      </c>
      <c r="K2910" s="4">
        <v>0</v>
      </c>
      <c r="L2910" s="4">
        <f>J2910+K2910</f>
        <v>0</v>
      </c>
      <c r="M2910" s="4" t="s">
        <v>3950</v>
      </c>
      <c r="N2910" s="4"/>
      <c r="O2910" s="4">
        <v>1</v>
      </c>
      <c r="P2910" s="4" t="s">
        <v>135</v>
      </c>
      <c r="Q2910" s="4"/>
      <c r="R2910" s="7">
        <v>45000</v>
      </c>
      <c r="S2910" s="7">
        <v>0</v>
      </c>
      <c r="T2910" s="7">
        <f>R2910-S2910</f>
        <v>0</v>
      </c>
      <c r="U2910" s="7">
        <f>T2910*O2910</f>
        <v>0</v>
      </c>
    </row>
    <row r="2911" spans="1:21">
      <c r="A2911" s="4" t="s">
        <v>3951</v>
      </c>
      <c r="B2911" s="4" t="s">
        <v>39</v>
      </c>
      <c r="C2911" s="5">
        <v>45958.27355324074</v>
      </c>
      <c r="D2911" s="5">
        <v>45958</v>
      </c>
      <c r="E2911" s="6">
        <f>IF(AND(C2911&lt;&gt;"",D2911&lt;&gt;""),D2911-C2911,"")</f>
        <v>0</v>
      </c>
      <c r="F2911" s="4" t="s">
        <v>3952</v>
      </c>
      <c r="G2911" s="4" t="s">
        <v>3953</v>
      </c>
      <c r="H2911" s="4" t="s">
        <v>32</v>
      </c>
      <c r="I2911" s="4" t="s">
        <v>33</v>
      </c>
      <c r="J2911" s="4">
        <v>0</v>
      </c>
      <c r="K2911" s="4">
        <v>0</v>
      </c>
      <c r="L2911" s="4">
        <f>J2911+K2911</f>
        <v>0</v>
      </c>
      <c r="M2911" s="4" t="s">
        <v>3950</v>
      </c>
      <c r="N2911" s="4"/>
      <c r="O2911" s="4">
        <v>1</v>
      </c>
      <c r="P2911" s="4" t="s">
        <v>135</v>
      </c>
      <c r="Q2911" s="4"/>
      <c r="R2911" s="7">
        <v>45000</v>
      </c>
      <c r="S2911" s="7">
        <v>0</v>
      </c>
      <c r="T2911" s="7">
        <f>R2911-S2911</f>
        <v>0</v>
      </c>
      <c r="U2911" s="7">
        <f>T2911*O2911</f>
        <v>0</v>
      </c>
    </row>
    <row r="2912" spans="1:21">
      <c r="A2912" s="4" t="s">
        <v>3951</v>
      </c>
      <c r="B2912" s="4" t="s">
        <v>39</v>
      </c>
      <c r="C2912" s="5">
        <v>45958.27355324074</v>
      </c>
      <c r="D2912" s="5">
        <v>45958</v>
      </c>
      <c r="E2912" s="6">
        <f>IF(AND(C2912&lt;&gt;"",D2912&lt;&gt;""),D2912-C2912,"")</f>
        <v>0</v>
      </c>
      <c r="F2912" s="4" t="s">
        <v>3952</v>
      </c>
      <c r="G2912" s="4" t="s">
        <v>3953</v>
      </c>
      <c r="H2912" s="4" t="s">
        <v>32</v>
      </c>
      <c r="I2912" s="4" t="s">
        <v>33</v>
      </c>
      <c r="J2912" s="4">
        <v>0</v>
      </c>
      <c r="K2912" s="4">
        <v>0</v>
      </c>
      <c r="L2912" s="4">
        <f>J2912+K2912</f>
        <v>0</v>
      </c>
      <c r="M2912" s="4" t="s">
        <v>3630</v>
      </c>
      <c r="N2912" s="4"/>
      <c r="O2912" s="4">
        <v>1</v>
      </c>
      <c r="P2912" s="4" t="s">
        <v>135</v>
      </c>
      <c r="Q2912" s="4"/>
      <c r="R2912" s="7">
        <v>15000</v>
      </c>
      <c r="S2912" s="7">
        <v>0</v>
      </c>
      <c r="T2912" s="7">
        <f>R2912-S2912</f>
        <v>0</v>
      </c>
      <c r="U2912" s="7">
        <f>T2912*O2912</f>
        <v>0</v>
      </c>
    </row>
    <row r="2913" spans="1:21">
      <c r="A2913" s="4" t="s">
        <v>3951</v>
      </c>
      <c r="B2913" s="4" t="s">
        <v>39</v>
      </c>
      <c r="C2913" s="5">
        <v>45958.27355324074</v>
      </c>
      <c r="D2913" s="5">
        <v>45958</v>
      </c>
      <c r="E2913" s="6">
        <f>IF(AND(C2913&lt;&gt;"",D2913&lt;&gt;""),D2913-C2913,"")</f>
        <v>0</v>
      </c>
      <c r="F2913" s="4" t="s">
        <v>3952</v>
      </c>
      <c r="G2913" s="4" t="s">
        <v>3953</v>
      </c>
      <c r="H2913" s="4" t="s">
        <v>32</v>
      </c>
      <c r="I2913" s="4" t="s">
        <v>33</v>
      </c>
      <c r="J2913" s="4">
        <v>1</v>
      </c>
      <c r="K2913" s="4">
        <v>0</v>
      </c>
      <c r="L2913" s="4">
        <f>J2913+K2913</f>
        <v>0</v>
      </c>
      <c r="M2913" s="4" t="s">
        <v>80</v>
      </c>
      <c r="N2913" s="4"/>
      <c r="O2913" s="4">
        <v>1</v>
      </c>
      <c r="P2913" s="4" t="s">
        <v>135</v>
      </c>
      <c r="Q2913" s="4"/>
      <c r="R2913" s="7">
        <v>610000</v>
      </c>
      <c r="S2913" s="7">
        <v>0</v>
      </c>
      <c r="T2913" s="7">
        <f>R2913-S2913</f>
        <v>0</v>
      </c>
      <c r="U2913" s="7">
        <f>T2913*O2913</f>
        <v>0</v>
      </c>
    </row>
    <row r="2914" spans="1:21">
      <c r="A2914" s="4" t="s">
        <v>3951</v>
      </c>
      <c r="B2914" s="4" t="s">
        <v>39</v>
      </c>
      <c r="C2914" s="5">
        <v>45958.27355324074</v>
      </c>
      <c r="D2914" s="5">
        <v>45958</v>
      </c>
      <c r="E2914" s="6">
        <f>IF(AND(C2914&lt;&gt;"",D2914&lt;&gt;""),D2914-C2914,"")</f>
        <v>0</v>
      </c>
      <c r="F2914" s="4" t="s">
        <v>3952</v>
      </c>
      <c r="G2914" s="4" t="s">
        <v>3953</v>
      </c>
      <c r="H2914" s="4" t="s">
        <v>32</v>
      </c>
      <c r="I2914" s="4" t="s">
        <v>33</v>
      </c>
      <c r="J2914" s="4">
        <v>1</v>
      </c>
      <c r="K2914" s="4">
        <v>0</v>
      </c>
      <c r="L2914" s="4">
        <f>J2914+K2914</f>
        <v>0</v>
      </c>
      <c r="M2914" s="4" t="s">
        <v>80</v>
      </c>
      <c r="N2914" s="4"/>
      <c r="O2914" s="4">
        <v>1</v>
      </c>
      <c r="P2914" s="4" t="s">
        <v>135</v>
      </c>
      <c r="Q2914" s="4"/>
      <c r="R2914" s="7">
        <v>610000</v>
      </c>
      <c r="S2914" s="7">
        <v>0</v>
      </c>
      <c r="T2914" s="7">
        <f>R2914-S2914</f>
        <v>0</v>
      </c>
      <c r="U2914" s="7">
        <f>T2914*O2914</f>
        <v>0</v>
      </c>
    </row>
    <row r="2915" spans="1:21">
      <c r="A2915" s="4" t="s">
        <v>3951</v>
      </c>
      <c r="B2915" s="4" t="s">
        <v>39</v>
      </c>
      <c r="C2915" s="5">
        <v>45958.27355324074</v>
      </c>
      <c r="D2915" s="5">
        <v>45958</v>
      </c>
      <c r="E2915" s="6">
        <f>IF(AND(C2915&lt;&gt;"",D2915&lt;&gt;""),D2915-C2915,"")</f>
        <v>0</v>
      </c>
      <c r="F2915" s="4" t="s">
        <v>3952</v>
      </c>
      <c r="G2915" s="4" t="s">
        <v>3953</v>
      </c>
      <c r="H2915" s="4" t="s">
        <v>32</v>
      </c>
      <c r="I2915" s="4" t="s">
        <v>33</v>
      </c>
      <c r="J2915" s="4">
        <v>0</v>
      </c>
      <c r="K2915" s="4">
        <v>0</v>
      </c>
      <c r="L2915" s="4">
        <f>J2915+K2915</f>
        <v>0</v>
      </c>
      <c r="M2915" s="4" t="s">
        <v>3630</v>
      </c>
      <c r="N2915" s="4"/>
      <c r="O2915" s="4">
        <v>1</v>
      </c>
      <c r="P2915" s="4" t="s">
        <v>135</v>
      </c>
      <c r="Q2915" s="4"/>
      <c r="R2915" s="7">
        <v>15000</v>
      </c>
      <c r="S2915" s="7">
        <v>0</v>
      </c>
      <c r="T2915" s="7">
        <f>R2915-S2915</f>
        <v>0</v>
      </c>
      <c r="U2915" s="7">
        <f>T2915*O2915</f>
        <v>0</v>
      </c>
    </row>
    <row r="2916" spans="1:21">
      <c r="A2916" s="4" t="s">
        <v>3951</v>
      </c>
      <c r="B2916" s="4" t="s">
        <v>39</v>
      </c>
      <c r="C2916" s="5">
        <v>45958.27355324074</v>
      </c>
      <c r="D2916" s="5">
        <v>45958</v>
      </c>
      <c r="E2916" s="6">
        <f>IF(AND(C2916&lt;&gt;"",D2916&lt;&gt;""),D2916-C2916,"")</f>
        <v>0</v>
      </c>
      <c r="F2916" s="4" t="s">
        <v>3952</v>
      </c>
      <c r="G2916" s="4" t="s">
        <v>3953</v>
      </c>
      <c r="H2916" s="4" t="s">
        <v>32</v>
      </c>
      <c r="I2916" s="4" t="s">
        <v>33</v>
      </c>
      <c r="J2916" s="4">
        <v>1</v>
      </c>
      <c r="K2916" s="4">
        <v>0</v>
      </c>
      <c r="L2916" s="4">
        <f>J2916+K2916</f>
        <v>0</v>
      </c>
      <c r="M2916" s="4" t="s">
        <v>80</v>
      </c>
      <c r="N2916" s="4"/>
      <c r="O2916" s="4">
        <v>1</v>
      </c>
      <c r="P2916" s="4" t="s">
        <v>135</v>
      </c>
      <c r="Q2916" s="4"/>
      <c r="R2916" s="7">
        <v>610000</v>
      </c>
      <c r="S2916" s="7">
        <v>0</v>
      </c>
      <c r="T2916" s="7">
        <f>R2916-S2916</f>
        <v>0</v>
      </c>
      <c r="U2916" s="7">
        <f>T2916*O2916</f>
        <v>0</v>
      </c>
    </row>
    <row r="2917" spans="1:21">
      <c r="A2917" s="4" t="s">
        <v>3951</v>
      </c>
      <c r="B2917" s="4" t="s">
        <v>39</v>
      </c>
      <c r="C2917" s="5">
        <v>45958.27355324074</v>
      </c>
      <c r="D2917" s="5">
        <v>45958</v>
      </c>
      <c r="E2917" s="6">
        <f>IF(AND(C2917&lt;&gt;"",D2917&lt;&gt;""),D2917-C2917,"")</f>
        <v>0</v>
      </c>
      <c r="F2917" s="4" t="s">
        <v>3952</v>
      </c>
      <c r="G2917" s="4" t="s">
        <v>3953</v>
      </c>
      <c r="H2917" s="4" t="s">
        <v>32</v>
      </c>
      <c r="I2917" s="4" t="s">
        <v>33</v>
      </c>
      <c r="J2917" s="4">
        <v>0</v>
      </c>
      <c r="K2917" s="4">
        <v>0</v>
      </c>
      <c r="L2917" s="4">
        <f>J2917+K2917</f>
        <v>0</v>
      </c>
      <c r="M2917" s="4" t="s">
        <v>3950</v>
      </c>
      <c r="N2917" s="4"/>
      <c r="O2917" s="4">
        <v>1</v>
      </c>
      <c r="P2917" s="4" t="s">
        <v>135</v>
      </c>
      <c r="Q2917" s="4"/>
      <c r="R2917" s="7">
        <v>45000</v>
      </c>
      <c r="S2917" s="7">
        <v>0</v>
      </c>
      <c r="T2917" s="7">
        <f>R2917-S2917</f>
        <v>0</v>
      </c>
      <c r="U2917" s="7">
        <f>T2917*O2917</f>
        <v>0</v>
      </c>
    </row>
    <row r="2918" spans="1:21">
      <c r="A2918" s="4" t="s">
        <v>3951</v>
      </c>
      <c r="B2918" s="4" t="s">
        <v>39</v>
      </c>
      <c r="C2918" s="5">
        <v>45958.27355324074</v>
      </c>
      <c r="D2918" s="5">
        <v>45958</v>
      </c>
      <c r="E2918" s="6">
        <f>IF(AND(C2918&lt;&gt;"",D2918&lt;&gt;""),D2918-C2918,"")</f>
        <v>0</v>
      </c>
      <c r="F2918" s="4" t="s">
        <v>3952</v>
      </c>
      <c r="G2918" s="4" t="s">
        <v>3953</v>
      </c>
      <c r="H2918" s="4" t="s">
        <v>32</v>
      </c>
      <c r="I2918" s="4" t="s">
        <v>33</v>
      </c>
      <c r="J2918" s="4">
        <v>0</v>
      </c>
      <c r="K2918" s="4">
        <v>0</v>
      </c>
      <c r="L2918" s="4">
        <f>J2918+K2918</f>
        <v>0</v>
      </c>
      <c r="M2918" s="4" t="s">
        <v>3630</v>
      </c>
      <c r="N2918" s="4"/>
      <c r="O2918" s="4">
        <v>1</v>
      </c>
      <c r="P2918" s="4" t="s">
        <v>135</v>
      </c>
      <c r="Q2918" s="4"/>
      <c r="R2918" s="7">
        <v>15000</v>
      </c>
      <c r="S2918" s="7">
        <v>0</v>
      </c>
      <c r="T2918" s="7">
        <f>R2918-S2918</f>
        <v>0</v>
      </c>
      <c r="U2918" s="7">
        <f>T2918*O2918</f>
        <v>0</v>
      </c>
    </row>
    <row r="2919" spans="1:21">
      <c r="A2919" s="4" t="s">
        <v>3951</v>
      </c>
      <c r="B2919" s="4" t="s">
        <v>39</v>
      </c>
      <c r="C2919" s="5">
        <v>45958.27355324074</v>
      </c>
      <c r="D2919" s="5">
        <v>45958</v>
      </c>
      <c r="E2919" s="6">
        <f>IF(AND(C2919&lt;&gt;"",D2919&lt;&gt;""),D2919-C2919,"")</f>
        <v>0</v>
      </c>
      <c r="F2919" s="4" t="s">
        <v>3952</v>
      </c>
      <c r="G2919" s="4" t="s">
        <v>3953</v>
      </c>
      <c r="H2919" s="4" t="s">
        <v>32</v>
      </c>
      <c r="I2919" s="4" t="s">
        <v>33</v>
      </c>
      <c r="J2919" s="4">
        <v>0</v>
      </c>
      <c r="K2919" s="4">
        <v>0</v>
      </c>
      <c r="L2919" s="4">
        <f>J2919+K2919</f>
        <v>0</v>
      </c>
      <c r="M2919" s="4" t="s">
        <v>3630</v>
      </c>
      <c r="N2919" s="4"/>
      <c r="O2919" s="4">
        <v>1</v>
      </c>
      <c r="P2919" s="4" t="s">
        <v>135</v>
      </c>
      <c r="Q2919" s="4"/>
      <c r="R2919" s="7">
        <v>15000</v>
      </c>
      <c r="S2919" s="7">
        <v>0</v>
      </c>
      <c r="T2919" s="7">
        <f>R2919-S2919</f>
        <v>0</v>
      </c>
      <c r="U2919" s="7">
        <f>T2919*O2919</f>
        <v>0</v>
      </c>
    </row>
    <row r="2920" spans="1:21">
      <c r="A2920" s="4" t="s">
        <v>3951</v>
      </c>
      <c r="B2920" s="4" t="s">
        <v>39</v>
      </c>
      <c r="C2920" s="5">
        <v>45958.27355324074</v>
      </c>
      <c r="D2920" s="5">
        <v>45958</v>
      </c>
      <c r="E2920" s="6">
        <f>IF(AND(C2920&lt;&gt;"",D2920&lt;&gt;""),D2920-C2920,"")</f>
        <v>0</v>
      </c>
      <c r="F2920" s="4" t="s">
        <v>3952</v>
      </c>
      <c r="G2920" s="4" t="s">
        <v>3953</v>
      </c>
      <c r="H2920" s="4" t="s">
        <v>32</v>
      </c>
      <c r="I2920" s="4" t="s">
        <v>33</v>
      </c>
      <c r="J2920" s="4">
        <v>1</v>
      </c>
      <c r="K2920" s="4">
        <v>0</v>
      </c>
      <c r="L2920" s="4">
        <f>J2920+K2920</f>
        <v>0</v>
      </c>
      <c r="M2920" s="4" t="s">
        <v>80</v>
      </c>
      <c r="N2920" s="4"/>
      <c r="O2920" s="4">
        <v>1</v>
      </c>
      <c r="P2920" s="4" t="s">
        <v>135</v>
      </c>
      <c r="Q2920" s="4"/>
      <c r="R2920" s="7">
        <v>610000</v>
      </c>
      <c r="S2920" s="7">
        <v>0</v>
      </c>
      <c r="T2920" s="7">
        <f>R2920-S2920</f>
        <v>0</v>
      </c>
      <c r="U2920" s="7">
        <f>T2920*O2920</f>
        <v>0</v>
      </c>
    </row>
    <row r="2921" spans="1:21">
      <c r="A2921" s="4" t="s">
        <v>3951</v>
      </c>
      <c r="B2921" s="4" t="s">
        <v>39</v>
      </c>
      <c r="C2921" s="5">
        <v>45958.27355324074</v>
      </c>
      <c r="D2921" s="5">
        <v>45958</v>
      </c>
      <c r="E2921" s="6">
        <f>IF(AND(C2921&lt;&gt;"",D2921&lt;&gt;""),D2921-C2921,"")</f>
        <v>0</v>
      </c>
      <c r="F2921" s="4" t="s">
        <v>3952</v>
      </c>
      <c r="G2921" s="4" t="s">
        <v>3953</v>
      </c>
      <c r="H2921" s="4" t="s">
        <v>32</v>
      </c>
      <c r="I2921" s="4" t="s">
        <v>33</v>
      </c>
      <c r="J2921" s="4">
        <v>0</v>
      </c>
      <c r="K2921" s="4">
        <v>0</v>
      </c>
      <c r="L2921" s="4">
        <f>J2921+K2921</f>
        <v>0</v>
      </c>
      <c r="M2921" s="4" t="s">
        <v>3630</v>
      </c>
      <c r="N2921" s="4"/>
      <c r="O2921" s="4">
        <v>1</v>
      </c>
      <c r="P2921" s="4" t="s">
        <v>135</v>
      </c>
      <c r="Q2921" s="4"/>
      <c r="R2921" s="7">
        <v>15000</v>
      </c>
      <c r="S2921" s="7">
        <v>0</v>
      </c>
      <c r="T2921" s="7">
        <f>R2921-S2921</f>
        <v>0</v>
      </c>
      <c r="U2921" s="7">
        <f>T2921*O2921</f>
        <v>0</v>
      </c>
    </row>
    <row r="2922" spans="1:21">
      <c r="A2922" s="4" t="s">
        <v>3951</v>
      </c>
      <c r="B2922" s="4" t="s">
        <v>39</v>
      </c>
      <c r="C2922" s="5">
        <v>45958.27355324074</v>
      </c>
      <c r="D2922" s="5">
        <v>45958</v>
      </c>
      <c r="E2922" s="6">
        <f>IF(AND(C2922&lt;&gt;"",D2922&lt;&gt;""),D2922-C2922,"")</f>
        <v>0</v>
      </c>
      <c r="F2922" s="4" t="s">
        <v>3952</v>
      </c>
      <c r="G2922" s="4" t="s">
        <v>3953</v>
      </c>
      <c r="H2922" s="4" t="s">
        <v>32</v>
      </c>
      <c r="I2922" s="4" t="s">
        <v>33</v>
      </c>
      <c r="J2922" s="4">
        <v>0</v>
      </c>
      <c r="K2922" s="4">
        <v>0</v>
      </c>
      <c r="L2922" s="4">
        <f>J2922+K2922</f>
        <v>0</v>
      </c>
      <c r="M2922" s="4" t="s">
        <v>3950</v>
      </c>
      <c r="N2922" s="4"/>
      <c r="O2922" s="4">
        <v>1</v>
      </c>
      <c r="P2922" s="4" t="s">
        <v>135</v>
      </c>
      <c r="Q2922" s="4"/>
      <c r="R2922" s="7">
        <v>45000</v>
      </c>
      <c r="S2922" s="7">
        <v>0</v>
      </c>
      <c r="T2922" s="7">
        <f>R2922-S2922</f>
        <v>0</v>
      </c>
      <c r="U2922" s="7">
        <f>T2922*O2922</f>
        <v>0</v>
      </c>
    </row>
    <row r="2923" spans="1:21">
      <c r="A2923" s="4" t="s">
        <v>3951</v>
      </c>
      <c r="B2923" s="4" t="s">
        <v>39</v>
      </c>
      <c r="C2923" s="5">
        <v>45958.27355324074</v>
      </c>
      <c r="D2923" s="5">
        <v>45958</v>
      </c>
      <c r="E2923" s="6">
        <f>IF(AND(C2923&lt;&gt;"",D2923&lt;&gt;""),D2923-C2923,"")</f>
        <v>0</v>
      </c>
      <c r="F2923" s="4" t="s">
        <v>3952</v>
      </c>
      <c r="G2923" s="4" t="s">
        <v>3953</v>
      </c>
      <c r="H2923" s="4" t="s">
        <v>32</v>
      </c>
      <c r="I2923" s="4" t="s">
        <v>33</v>
      </c>
      <c r="J2923" s="4">
        <v>1</v>
      </c>
      <c r="K2923" s="4">
        <v>0</v>
      </c>
      <c r="L2923" s="4">
        <f>J2923+K2923</f>
        <v>0</v>
      </c>
      <c r="M2923" s="4" t="s">
        <v>80</v>
      </c>
      <c r="N2923" s="4"/>
      <c r="O2923" s="4">
        <v>1</v>
      </c>
      <c r="P2923" s="4" t="s">
        <v>135</v>
      </c>
      <c r="Q2923" s="4"/>
      <c r="R2923" s="7">
        <v>610000</v>
      </c>
      <c r="S2923" s="7">
        <v>0</v>
      </c>
      <c r="T2923" s="7">
        <f>R2923-S2923</f>
        <v>0</v>
      </c>
      <c r="U2923" s="7">
        <f>T2923*O2923</f>
        <v>0</v>
      </c>
    </row>
    <row r="2924" spans="1:21">
      <c r="A2924" s="4" t="s">
        <v>3951</v>
      </c>
      <c r="B2924" s="4" t="s">
        <v>39</v>
      </c>
      <c r="C2924" s="5">
        <v>45958.27355324074</v>
      </c>
      <c r="D2924" s="5">
        <v>45958</v>
      </c>
      <c r="E2924" s="6">
        <f>IF(AND(C2924&lt;&gt;"",D2924&lt;&gt;""),D2924-C2924,"")</f>
        <v>0</v>
      </c>
      <c r="F2924" s="4" t="s">
        <v>3952</v>
      </c>
      <c r="G2924" s="4" t="s">
        <v>3953</v>
      </c>
      <c r="H2924" s="4" t="s">
        <v>32</v>
      </c>
      <c r="I2924" s="4" t="s">
        <v>33</v>
      </c>
      <c r="J2924" s="4">
        <v>0</v>
      </c>
      <c r="K2924" s="4">
        <v>0</v>
      </c>
      <c r="L2924" s="4">
        <f>J2924+K2924</f>
        <v>0</v>
      </c>
      <c r="M2924" s="4" t="s">
        <v>3950</v>
      </c>
      <c r="N2924" s="4"/>
      <c r="O2924" s="4">
        <v>1</v>
      </c>
      <c r="P2924" s="4" t="s">
        <v>135</v>
      </c>
      <c r="Q2924" s="4"/>
      <c r="R2924" s="7">
        <v>45000</v>
      </c>
      <c r="S2924" s="7">
        <v>0</v>
      </c>
      <c r="T2924" s="7">
        <f>R2924-S2924</f>
        <v>0</v>
      </c>
      <c r="U2924" s="7">
        <f>T2924*O2924</f>
        <v>0</v>
      </c>
    </row>
    <row r="2925" spans="1:21">
      <c r="A2925" s="4" t="s">
        <v>3951</v>
      </c>
      <c r="B2925" s="4" t="s">
        <v>39</v>
      </c>
      <c r="C2925" s="5">
        <v>45958.27355324074</v>
      </c>
      <c r="D2925" s="5">
        <v>45958</v>
      </c>
      <c r="E2925" s="6">
        <f>IF(AND(C2925&lt;&gt;"",D2925&lt;&gt;""),D2925-C2925,"")</f>
        <v>0</v>
      </c>
      <c r="F2925" s="4" t="s">
        <v>3952</v>
      </c>
      <c r="G2925" s="4" t="s">
        <v>3953</v>
      </c>
      <c r="H2925" s="4" t="s">
        <v>32</v>
      </c>
      <c r="I2925" s="4" t="s">
        <v>33</v>
      </c>
      <c r="J2925" s="4">
        <v>1</v>
      </c>
      <c r="K2925" s="4">
        <v>0</v>
      </c>
      <c r="L2925" s="4">
        <f>J2925+K2925</f>
        <v>0</v>
      </c>
      <c r="M2925" s="4" t="s">
        <v>80</v>
      </c>
      <c r="N2925" s="4"/>
      <c r="O2925" s="4">
        <v>1</v>
      </c>
      <c r="P2925" s="4" t="s">
        <v>135</v>
      </c>
      <c r="Q2925" s="4"/>
      <c r="R2925" s="7">
        <v>610000</v>
      </c>
      <c r="S2925" s="7">
        <v>0</v>
      </c>
      <c r="T2925" s="7">
        <f>R2925-S2925</f>
        <v>0</v>
      </c>
      <c r="U2925" s="7">
        <f>T2925*O2925</f>
        <v>0</v>
      </c>
    </row>
    <row r="2926" spans="1:21">
      <c r="A2926" s="4" t="s">
        <v>3951</v>
      </c>
      <c r="B2926" s="4" t="s">
        <v>39</v>
      </c>
      <c r="C2926" s="5">
        <v>45958.27355324074</v>
      </c>
      <c r="D2926" s="5">
        <v>45958</v>
      </c>
      <c r="E2926" s="6">
        <f>IF(AND(C2926&lt;&gt;"",D2926&lt;&gt;""),D2926-C2926,"")</f>
        <v>0</v>
      </c>
      <c r="F2926" s="4" t="s">
        <v>3952</v>
      </c>
      <c r="G2926" s="4" t="s">
        <v>3953</v>
      </c>
      <c r="H2926" s="4" t="s">
        <v>32</v>
      </c>
      <c r="I2926" s="4" t="s">
        <v>33</v>
      </c>
      <c r="J2926" s="4">
        <v>0</v>
      </c>
      <c r="K2926" s="4">
        <v>0</v>
      </c>
      <c r="L2926" s="4">
        <f>J2926+K2926</f>
        <v>0</v>
      </c>
      <c r="M2926" s="4" t="s">
        <v>3950</v>
      </c>
      <c r="N2926" s="4"/>
      <c r="O2926" s="4">
        <v>1</v>
      </c>
      <c r="P2926" s="4" t="s">
        <v>135</v>
      </c>
      <c r="Q2926" s="4"/>
      <c r="R2926" s="7">
        <v>45000</v>
      </c>
      <c r="S2926" s="7">
        <v>0</v>
      </c>
      <c r="T2926" s="7">
        <f>R2926-S2926</f>
        <v>0</v>
      </c>
      <c r="U2926" s="7">
        <f>T2926*O2926</f>
        <v>0</v>
      </c>
    </row>
    <row r="2927" spans="1:21">
      <c r="A2927" s="4" t="s">
        <v>3954</v>
      </c>
      <c r="B2927" s="4"/>
      <c r="C2927" s="5">
        <v>45958.27748842593</v>
      </c>
      <c r="D2927" s="5">
        <v>45961</v>
      </c>
      <c r="E2927" s="6">
        <f>IF(AND(C2927&lt;&gt;"",D2927&lt;&gt;""),D2927-C2927,"")</f>
        <v>0</v>
      </c>
      <c r="F2927" s="4" t="s">
        <v>201</v>
      </c>
      <c r="G2927" s="4" t="s">
        <v>202</v>
      </c>
      <c r="H2927" s="4" t="s">
        <v>32</v>
      </c>
      <c r="I2927" s="4" t="s">
        <v>33</v>
      </c>
      <c r="J2927" s="4">
        <v>3</v>
      </c>
      <c r="K2927" s="4">
        <v>0</v>
      </c>
      <c r="L2927" s="4">
        <f>J2927+K2927</f>
        <v>0</v>
      </c>
      <c r="M2927" s="4"/>
      <c r="N2927" s="4"/>
      <c r="O2927" s="4">
        <v>0</v>
      </c>
      <c r="P2927" s="4"/>
      <c r="Q2927" s="4"/>
      <c r="R2927" s="7">
        <v>0</v>
      </c>
      <c r="S2927" s="7">
        <v>0</v>
      </c>
      <c r="T2927" s="7">
        <f>R2927-S2927</f>
        <v>0</v>
      </c>
      <c r="U2927" s="7">
        <f>T2927*O2927</f>
        <v>0</v>
      </c>
    </row>
    <row r="2928" spans="1:21">
      <c r="A2928" s="4" t="s">
        <v>3955</v>
      </c>
      <c r="B2928" s="4" t="s">
        <v>39</v>
      </c>
      <c r="C2928" s="5">
        <v>45958.27871527777</v>
      </c>
      <c r="D2928" s="5">
        <v>45958</v>
      </c>
      <c r="E2928" s="6">
        <f>IF(AND(C2928&lt;&gt;"",D2928&lt;&gt;""),D2928-C2928,"")</f>
        <v>0</v>
      </c>
      <c r="F2928" s="4" t="s">
        <v>3956</v>
      </c>
      <c r="G2928" s="4" t="s">
        <v>3957</v>
      </c>
      <c r="H2928" s="4" t="s">
        <v>32</v>
      </c>
      <c r="I2928" s="4" t="s">
        <v>33</v>
      </c>
      <c r="J2928" s="4">
        <v>0</v>
      </c>
      <c r="K2928" s="4">
        <v>0</v>
      </c>
      <c r="L2928" s="4">
        <f>J2928+K2928</f>
        <v>0</v>
      </c>
      <c r="M2928" s="4" t="s">
        <v>3630</v>
      </c>
      <c r="N2928" s="4"/>
      <c r="O2928" s="4">
        <v>1</v>
      </c>
      <c r="P2928" s="4" t="s">
        <v>135</v>
      </c>
      <c r="Q2928" s="4"/>
      <c r="R2928" s="7">
        <v>15000</v>
      </c>
      <c r="S2928" s="7">
        <v>0</v>
      </c>
      <c r="T2928" s="7">
        <f>R2928-S2928</f>
        <v>0</v>
      </c>
      <c r="U2928" s="7">
        <f>T2928*O2928</f>
        <v>0</v>
      </c>
    </row>
    <row r="2929" spans="1:21">
      <c r="A2929" s="4" t="s">
        <v>3955</v>
      </c>
      <c r="B2929" s="4" t="s">
        <v>39</v>
      </c>
      <c r="C2929" s="5">
        <v>45958.27871527777</v>
      </c>
      <c r="D2929" s="5">
        <v>45958</v>
      </c>
      <c r="E2929" s="6">
        <f>IF(AND(C2929&lt;&gt;"",D2929&lt;&gt;""),D2929-C2929,"")</f>
        <v>0</v>
      </c>
      <c r="F2929" s="4" t="s">
        <v>3956</v>
      </c>
      <c r="G2929" s="4" t="s">
        <v>3957</v>
      </c>
      <c r="H2929" s="4" t="s">
        <v>32</v>
      </c>
      <c r="I2929" s="4" t="s">
        <v>33</v>
      </c>
      <c r="J2929" s="4">
        <v>1</v>
      </c>
      <c r="K2929" s="4">
        <v>0</v>
      </c>
      <c r="L2929" s="4">
        <f>J2929+K2929</f>
        <v>0</v>
      </c>
      <c r="M2929" s="4" t="s">
        <v>80</v>
      </c>
      <c r="N2929" s="4"/>
      <c r="O2929" s="4">
        <v>1</v>
      </c>
      <c r="P2929" s="4" t="s">
        <v>135</v>
      </c>
      <c r="Q2929" s="4"/>
      <c r="R2929" s="7">
        <v>610000</v>
      </c>
      <c r="S2929" s="7">
        <v>0</v>
      </c>
      <c r="T2929" s="7">
        <f>R2929-S2929</f>
        <v>0</v>
      </c>
      <c r="U2929" s="7">
        <f>T2929*O2929</f>
        <v>0</v>
      </c>
    </row>
    <row r="2930" spans="1:21">
      <c r="A2930" s="4" t="s">
        <v>3955</v>
      </c>
      <c r="B2930" s="4" t="s">
        <v>39</v>
      </c>
      <c r="C2930" s="5">
        <v>45958.27871527777</v>
      </c>
      <c r="D2930" s="5">
        <v>45958</v>
      </c>
      <c r="E2930" s="6">
        <f>IF(AND(C2930&lt;&gt;"",D2930&lt;&gt;""),D2930-C2930,"")</f>
        <v>0</v>
      </c>
      <c r="F2930" s="4" t="s">
        <v>3956</v>
      </c>
      <c r="G2930" s="4" t="s">
        <v>3957</v>
      </c>
      <c r="H2930" s="4" t="s">
        <v>32</v>
      </c>
      <c r="I2930" s="4" t="s">
        <v>33</v>
      </c>
      <c r="J2930" s="4">
        <v>0</v>
      </c>
      <c r="K2930" s="4">
        <v>0</v>
      </c>
      <c r="L2930" s="4">
        <f>J2930+K2930</f>
        <v>0</v>
      </c>
      <c r="M2930" s="4" t="s">
        <v>3630</v>
      </c>
      <c r="N2930" s="4"/>
      <c r="O2930" s="4">
        <v>1</v>
      </c>
      <c r="P2930" s="4" t="s">
        <v>135</v>
      </c>
      <c r="Q2930" s="4"/>
      <c r="R2930" s="7">
        <v>15000</v>
      </c>
      <c r="S2930" s="7">
        <v>0</v>
      </c>
      <c r="T2930" s="7">
        <f>R2930-S2930</f>
        <v>0</v>
      </c>
      <c r="U2930" s="7">
        <f>T2930*O2930</f>
        <v>0</v>
      </c>
    </row>
    <row r="2931" spans="1:21">
      <c r="A2931" s="4" t="s">
        <v>3955</v>
      </c>
      <c r="B2931" s="4" t="s">
        <v>39</v>
      </c>
      <c r="C2931" s="5">
        <v>45958.27871527777</v>
      </c>
      <c r="D2931" s="5">
        <v>45958</v>
      </c>
      <c r="E2931" s="6">
        <f>IF(AND(C2931&lt;&gt;"",D2931&lt;&gt;""),D2931-C2931,"")</f>
        <v>0</v>
      </c>
      <c r="F2931" s="4" t="s">
        <v>3956</v>
      </c>
      <c r="G2931" s="4" t="s">
        <v>3957</v>
      </c>
      <c r="H2931" s="4" t="s">
        <v>32</v>
      </c>
      <c r="I2931" s="4" t="s">
        <v>33</v>
      </c>
      <c r="J2931" s="4">
        <v>1</v>
      </c>
      <c r="K2931" s="4">
        <v>0</v>
      </c>
      <c r="L2931" s="4">
        <f>J2931+K2931</f>
        <v>0</v>
      </c>
      <c r="M2931" s="4" t="s">
        <v>80</v>
      </c>
      <c r="N2931" s="4"/>
      <c r="O2931" s="4">
        <v>1</v>
      </c>
      <c r="P2931" s="4" t="s">
        <v>135</v>
      </c>
      <c r="Q2931" s="4"/>
      <c r="R2931" s="7">
        <v>610000</v>
      </c>
      <c r="S2931" s="7">
        <v>0</v>
      </c>
      <c r="T2931" s="7">
        <f>R2931-S2931</f>
        <v>0</v>
      </c>
      <c r="U2931" s="7">
        <f>T2931*O2931</f>
        <v>0</v>
      </c>
    </row>
    <row r="2932" spans="1:21">
      <c r="A2932" s="4" t="s">
        <v>3955</v>
      </c>
      <c r="B2932" s="4" t="s">
        <v>39</v>
      </c>
      <c r="C2932" s="5">
        <v>45958.27871527777</v>
      </c>
      <c r="D2932" s="5">
        <v>45958</v>
      </c>
      <c r="E2932" s="6">
        <f>IF(AND(C2932&lt;&gt;"",D2932&lt;&gt;""),D2932-C2932,"")</f>
        <v>0</v>
      </c>
      <c r="F2932" s="4" t="s">
        <v>3956</v>
      </c>
      <c r="G2932" s="4" t="s">
        <v>3957</v>
      </c>
      <c r="H2932" s="4" t="s">
        <v>32</v>
      </c>
      <c r="I2932" s="4" t="s">
        <v>33</v>
      </c>
      <c r="J2932" s="4">
        <v>0</v>
      </c>
      <c r="K2932" s="4">
        <v>0</v>
      </c>
      <c r="L2932" s="4">
        <f>J2932+K2932</f>
        <v>0</v>
      </c>
      <c r="M2932" s="4" t="s">
        <v>3950</v>
      </c>
      <c r="N2932" s="4"/>
      <c r="O2932" s="4">
        <v>1</v>
      </c>
      <c r="P2932" s="4" t="s">
        <v>135</v>
      </c>
      <c r="Q2932" s="4"/>
      <c r="R2932" s="7">
        <v>45000</v>
      </c>
      <c r="S2932" s="7">
        <v>0</v>
      </c>
      <c r="T2932" s="7">
        <f>R2932-S2932</f>
        <v>0</v>
      </c>
      <c r="U2932" s="7">
        <f>T2932*O2932</f>
        <v>0</v>
      </c>
    </row>
    <row r="2933" spans="1:21">
      <c r="A2933" s="4" t="s">
        <v>3955</v>
      </c>
      <c r="B2933" s="4" t="s">
        <v>39</v>
      </c>
      <c r="C2933" s="5">
        <v>45958.27871527777</v>
      </c>
      <c r="D2933" s="5">
        <v>45958</v>
      </c>
      <c r="E2933" s="6">
        <f>IF(AND(C2933&lt;&gt;"",D2933&lt;&gt;""),D2933-C2933,"")</f>
        <v>0</v>
      </c>
      <c r="F2933" s="4" t="s">
        <v>3956</v>
      </c>
      <c r="G2933" s="4" t="s">
        <v>3957</v>
      </c>
      <c r="H2933" s="4" t="s">
        <v>32</v>
      </c>
      <c r="I2933" s="4" t="s">
        <v>33</v>
      </c>
      <c r="J2933" s="4">
        <v>1</v>
      </c>
      <c r="K2933" s="4">
        <v>0</v>
      </c>
      <c r="L2933" s="4">
        <f>J2933+K2933</f>
        <v>0</v>
      </c>
      <c r="M2933" s="4" t="s">
        <v>80</v>
      </c>
      <c r="N2933" s="4"/>
      <c r="O2933" s="4">
        <v>1</v>
      </c>
      <c r="P2933" s="4" t="s">
        <v>135</v>
      </c>
      <c r="Q2933" s="4"/>
      <c r="R2933" s="7">
        <v>610000</v>
      </c>
      <c r="S2933" s="7">
        <v>0</v>
      </c>
      <c r="T2933" s="7">
        <f>R2933-S2933</f>
        <v>0</v>
      </c>
      <c r="U2933" s="7">
        <f>T2933*O2933</f>
        <v>0</v>
      </c>
    </row>
    <row r="2934" spans="1:21">
      <c r="A2934" s="4" t="s">
        <v>3955</v>
      </c>
      <c r="B2934" s="4" t="s">
        <v>39</v>
      </c>
      <c r="C2934" s="5">
        <v>45958.27871527777</v>
      </c>
      <c r="D2934" s="5">
        <v>45958</v>
      </c>
      <c r="E2934" s="6">
        <f>IF(AND(C2934&lt;&gt;"",D2934&lt;&gt;""),D2934-C2934,"")</f>
        <v>0</v>
      </c>
      <c r="F2934" s="4" t="s">
        <v>3956</v>
      </c>
      <c r="G2934" s="4" t="s">
        <v>3957</v>
      </c>
      <c r="H2934" s="4" t="s">
        <v>32</v>
      </c>
      <c r="I2934" s="4" t="s">
        <v>33</v>
      </c>
      <c r="J2934" s="4">
        <v>1</v>
      </c>
      <c r="K2934" s="4">
        <v>0</v>
      </c>
      <c r="L2934" s="4">
        <f>J2934+K2934</f>
        <v>0</v>
      </c>
      <c r="M2934" s="4" t="s">
        <v>80</v>
      </c>
      <c r="N2934" s="4"/>
      <c r="O2934" s="4">
        <v>1</v>
      </c>
      <c r="P2934" s="4" t="s">
        <v>135</v>
      </c>
      <c r="Q2934" s="4"/>
      <c r="R2934" s="7">
        <v>610000</v>
      </c>
      <c r="S2934" s="7">
        <v>0</v>
      </c>
      <c r="T2934" s="7">
        <f>R2934-S2934</f>
        <v>0</v>
      </c>
      <c r="U2934" s="7">
        <f>T2934*O2934</f>
        <v>0</v>
      </c>
    </row>
    <row r="2935" spans="1:21">
      <c r="A2935" s="4" t="s">
        <v>3955</v>
      </c>
      <c r="B2935" s="4" t="s">
        <v>39</v>
      </c>
      <c r="C2935" s="5">
        <v>45958.27871527777</v>
      </c>
      <c r="D2935" s="5">
        <v>45958</v>
      </c>
      <c r="E2935" s="6">
        <f>IF(AND(C2935&lt;&gt;"",D2935&lt;&gt;""),D2935-C2935,"")</f>
        <v>0</v>
      </c>
      <c r="F2935" s="4" t="s">
        <v>3956</v>
      </c>
      <c r="G2935" s="4" t="s">
        <v>3957</v>
      </c>
      <c r="H2935" s="4" t="s">
        <v>32</v>
      </c>
      <c r="I2935" s="4" t="s">
        <v>33</v>
      </c>
      <c r="J2935" s="4">
        <v>0</v>
      </c>
      <c r="K2935" s="4">
        <v>0</v>
      </c>
      <c r="L2935" s="4">
        <f>J2935+K2935</f>
        <v>0</v>
      </c>
      <c r="M2935" s="4" t="s">
        <v>3630</v>
      </c>
      <c r="N2935" s="4"/>
      <c r="O2935" s="4">
        <v>1</v>
      </c>
      <c r="P2935" s="4" t="s">
        <v>135</v>
      </c>
      <c r="Q2935" s="4"/>
      <c r="R2935" s="7">
        <v>15000</v>
      </c>
      <c r="S2935" s="7">
        <v>0</v>
      </c>
      <c r="T2935" s="7">
        <f>R2935-S2935</f>
        <v>0</v>
      </c>
      <c r="U2935" s="7">
        <f>T2935*O2935</f>
        <v>0</v>
      </c>
    </row>
    <row r="2936" spans="1:21">
      <c r="A2936" s="4" t="s">
        <v>3955</v>
      </c>
      <c r="B2936" s="4" t="s">
        <v>39</v>
      </c>
      <c r="C2936" s="5">
        <v>45958.27871527777</v>
      </c>
      <c r="D2936" s="5">
        <v>45958</v>
      </c>
      <c r="E2936" s="6">
        <f>IF(AND(C2936&lt;&gt;"",D2936&lt;&gt;""),D2936-C2936,"")</f>
        <v>0</v>
      </c>
      <c r="F2936" s="4" t="s">
        <v>3956</v>
      </c>
      <c r="G2936" s="4" t="s">
        <v>3957</v>
      </c>
      <c r="H2936" s="4" t="s">
        <v>32</v>
      </c>
      <c r="I2936" s="4" t="s">
        <v>33</v>
      </c>
      <c r="J2936" s="4">
        <v>1</v>
      </c>
      <c r="K2936" s="4">
        <v>0</v>
      </c>
      <c r="L2936" s="4">
        <f>J2936+K2936</f>
        <v>0</v>
      </c>
      <c r="M2936" s="4" t="s">
        <v>80</v>
      </c>
      <c r="N2936" s="4"/>
      <c r="O2936" s="4">
        <v>1</v>
      </c>
      <c r="P2936" s="4" t="s">
        <v>135</v>
      </c>
      <c r="Q2936" s="4"/>
      <c r="R2936" s="7">
        <v>610000</v>
      </c>
      <c r="S2936" s="7">
        <v>0</v>
      </c>
      <c r="T2936" s="7">
        <f>R2936-S2936</f>
        <v>0</v>
      </c>
      <c r="U2936" s="7">
        <f>T2936*O2936</f>
        <v>0</v>
      </c>
    </row>
    <row r="2937" spans="1:21">
      <c r="A2937" s="4" t="s">
        <v>3955</v>
      </c>
      <c r="B2937" s="4" t="s">
        <v>39</v>
      </c>
      <c r="C2937" s="5">
        <v>45958.27871527777</v>
      </c>
      <c r="D2937" s="5">
        <v>45958</v>
      </c>
      <c r="E2937" s="6">
        <f>IF(AND(C2937&lt;&gt;"",D2937&lt;&gt;""),D2937-C2937,"")</f>
        <v>0</v>
      </c>
      <c r="F2937" s="4" t="s">
        <v>3956</v>
      </c>
      <c r="G2937" s="4" t="s">
        <v>3957</v>
      </c>
      <c r="H2937" s="4" t="s">
        <v>32</v>
      </c>
      <c r="I2937" s="4" t="s">
        <v>33</v>
      </c>
      <c r="J2937" s="4">
        <v>0</v>
      </c>
      <c r="K2937" s="4">
        <v>0</v>
      </c>
      <c r="L2937" s="4">
        <f>J2937+K2937</f>
        <v>0</v>
      </c>
      <c r="M2937" s="4" t="s">
        <v>3630</v>
      </c>
      <c r="N2937" s="4"/>
      <c r="O2937" s="4">
        <v>1</v>
      </c>
      <c r="P2937" s="4" t="s">
        <v>135</v>
      </c>
      <c r="Q2937" s="4"/>
      <c r="R2937" s="7">
        <v>15000</v>
      </c>
      <c r="S2937" s="7">
        <v>0</v>
      </c>
      <c r="T2937" s="7">
        <f>R2937-S2937</f>
        <v>0</v>
      </c>
      <c r="U2937" s="7">
        <f>T2937*O2937</f>
        <v>0</v>
      </c>
    </row>
    <row r="2938" spans="1:21">
      <c r="A2938" s="4" t="s">
        <v>3955</v>
      </c>
      <c r="B2938" s="4" t="s">
        <v>39</v>
      </c>
      <c r="C2938" s="5">
        <v>45958.27871527777</v>
      </c>
      <c r="D2938" s="5">
        <v>45958</v>
      </c>
      <c r="E2938" s="6">
        <f>IF(AND(C2938&lt;&gt;"",D2938&lt;&gt;""),D2938-C2938,"")</f>
        <v>0</v>
      </c>
      <c r="F2938" s="4" t="s">
        <v>3956</v>
      </c>
      <c r="G2938" s="4" t="s">
        <v>3957</v>
      </c>
      <c r="H2938" s="4" t="s">
        <v>32</v>
      </c>
      <c r="I2938" s="4" t="s">
        <v>33</v>
      </c>
      <c r="J2938" s="4">
        <v>0</v>
      </c>
      <c r="K2938" s="4">
        <v>0</v>
      </c>
      <c r="L2938" s="4">
        <f>J2938+K2938</f>
        <v>0</v>
      </c>
      <c r="M2938" s="4" t="s">
        <v>3950</v>
      </c>
      <c r="N2938" s="4"/>
      <c r="O2938" s="4">
        <v>1</v>
      </c>
      <c r="P2938" s="4" t="s">
        <v>135</v>
      </c>
      <c r="Q2938" s="4"/>
      <c r="R2938" s="7">
        <v>45000</v>
      </c>
      <c r="S2938" s="7">
        <v>0</v>
      </c>
      <c r="T2938" s="7">
        <f>R2938-S2938</f>
        <v>0</v>
      </c>
      <c r="U2938" s="7">
        <f>T2938*O2938</f>
        <v>0</v>
      </c>
    </row>
    <row r="2939" spans="1:21">
      <c r="A2939" s="4" t="s">
        <v>3955</v>
      </c>
      <c r="B2939" s="4" t="s">
        <v>39</v>
      </c>
      <c r="C2939" s="5">
        <v>45958.27871527777</v>
      </c>
      <c r="D2939" s="5">
        <v>45958</v>
      </c>
      <c r="E2939" s="6">
        <f>IF(AND(C2939&lt;&gt;"",D2939&lt;&gt;""),D2939-C2939,"")</f>
        <v>0</v>
      </c>
      <c r="F2939" s="4" t="s">
        <v>3956</v>
      </c>
      <c r="G2939" s="4" t="s">
        <v>3957</v>
      </c>
      <c r="H2939" s="4" t="s">
        <v>32</v>
      </c>
      <c r="I2939" s="4" t="s">
        <v>33</v>
      </c>
      <c r="J2939" s="4">
        <v>0</v>
      </c>
      <c r="K2939" s="4">
        <v>0</v>
      </c>
      <c r="L2939" s="4">
        <f>J2939+K2939</f>
        <v>0</v>
      </c>
      <c r="M2939" s="4" t="s">
        <v>3950</v>
      </c>
      <c r="N2939" s="4"/>
      <c r="O2939" s="4">
        <v>1</v>
      </c>
      <c r="P2939" s="4" t="s">
        <v>135</v>
      </c>
      <c r="Q2939" s="4"/>
      <c r="R2939" s="7">
        <v>45000</v>
      </c>
      <c r="S2939" s="7">
        <v>0</v>
      </c>
      <c r="T2939" s="7">
        <f>R2939-S2939</f>
        <v>0</v>
      </c>
      <c r="U2939" s="7">
        <f>T2939*O2939</f>
        <v>0</v>
      </c>
    </row>
    <row r="2940" spans="1:21">
      <c r="A2940" s="4" t="s">
        <v>3955</v>
      </c>
      <c r="B2940" s="4" t="s">
        <v>39</v>
      </c>
      <c r="C2940" s="5">
        <v>45958.27871527777</v>
      </c>
      <c r="D2940" s="5">
        <v>45958</v>
      </c>
      <c r="E2940" s="6">
        <f>IF(AND(C2940&lt;&gt;"",D2940&lt;&gt;""),D2940-C2940,"")</f>
        <v>0</v>
      </c>
      <c r="F2940" s="4" t="s">
        <v>3956</v>
      </c>
      <c r="G2940" s="4" t="s">
        <v>3957</v>
      </c>
      <c r="H2940" s="4" t="s">
        <v>32</v>
      </c>
      <c r="I2940" s="4" t="s">
        <v>33</v>
      </c>
      <c r="J2940" s="4">
        <v>0</v>
      </c>
      <c r="K2940" s="4">
        <v>0</v>
      </c>
      <c r="L2940" s="4">
        <f>J2940+K2940</f>
        <v>0</v>
      </c>
      <c r="M2940" s="4" t="s">
        <v>3950</v>
      </c>
      <c r="N2940" s="4"/>
      <c r="O2940" s="4">
        <v>1</v>
      </c>
      <c r="P2940" s="4" t="s">
        <v>135</v>
      </c>
      <c r="Q2940" s="4"/>
      <c r="R2940" s="7">
        <v>45000</v>
      </c>
      <c r="S2940" s="7">
        <v>0</v>
      </c>
      <c r="T2940" s="7">
        <f>R2940-S2940</f>
        <v>0</v>
      </c>
      <c r="U2940" s="7">
        <f>T2940*O2940</f>
        <v>0</v>
      </c>
    </row>
    <row r="2941" spans="1:21">
      <c r="A2941" s="4" t="s">
        <v>3955</v>
      </c>
      <c r="B2941" s="4" t="s">
        <v>39</v>
      </c>
      <c r="C2941" s="5">
        <v>45958.27871527777</v>
      </c>
      <c r="D2941" s="5">
        <v>45958</v>
      </c>
      <c r="E2941" s="6">
        <f>IF(AND(C2941&lt;&gt;"",D2941&lt;&gt;""),D2941-C2941,"")</f>
        <v>0</v>
      </c>
      <c r="F2941" s="4" t="s">
        <v>3956</v>
      </c>
      <c r="G2941" s="4" t="s">
        <v>3957</v>
      </c>
      <c r="H2941" s="4" t="s">
        <v>32</v>
      </c>
      <c r="I2941" s="4" t="s">
        <v>33</v>
      </c>
      <c r="J2941" s="4">
        <v>0</v>
      </c>
      <c r="K2941" s="4">
        <v>0</v>
      </c>
      <c r="L2941" s="4">
        <f>J2941+K2941</f>
        <v>0</v>
      </c>
      <c r="M2941" s="4" t="s">
        <v>3950</v>
      </c>
      <c r="N2941" s="4"/>
      <c r="O2941" s="4">
        <v>1</v>
      </c>
      <c r="P2941" s="4" t="s">
        <v>135</v>
      </c>
      <c r="Q2941" s="4"/>
      <c r="R2941" s="7">
        <v>45000</v>
      </c>
      <c r="S2941" s="7">
        <v>0</v>
      </c>
      <c r="T2941" s="7">
        <f>R2941-S2941</f>
        <v>0</v>
      </c>
      <c r="U2941" s="7">
        <f>T2941*O2941</f>
        <v>0</v>
      </c>
    </row>
    <row r="2942" spans="1:21">
      <c r="A2942" s="4" t="s">
        <v>3955</v>
      </c>
      <c r="B2942" s="4" t="s">
        <v>39</v>
      </c>
      <c r="C2942" s="5">
        <v>45958.27871527777</v>
      </c>
      <c r="D2942" s="5">
        <v>45958</v>
      </c>
      <c r="E2942" s="6">
        <f>IF(AND(C2942&lt;&gt;"",D2942&lt;&gt;""),D2942-C2942,"")</f>
        <v>0</v>
      </c>
      <c r="F2942" s="4" t="s">
        <v>3956</v>
      </c>
      <c r="G2942" s="4" t="s">
        <v>3957</v>
      </c>
      <c r="H2942" s="4" t="s">
        <v>32</v>
      </c>
      <c r="I2942" s="4" t="s">
        <v>33</v>
      </c>
      <c r="J2942" s="4">
        <v>1</v>
      </c>
      <c r="K2942" s="4">
        <v>0</v>
      </c>
      <c r="L2942" s="4">
        <f>J2942+K2942</f>
        <v>0</v>
      </c>
      <c r="M2942" s="4" t="s">
        <v>80</v>
      </c>
      <c r="N2942" s="4"/>
      <c r="O2942" s="4">
        <v>1</v>
      </c>
      <c r="P2942" s="4" t="s">
        <v>135</v>
      </c>
      <c r="Q2942" s="4"/>
      <c r="R2942" s="7">
        <v>610000</v>
      </c>
      <c r="S2942" s="7">
        <v>0</v>
      </c>
      <c r="T2942" s="7">
        <f>R2942-S2942</f>
        <v>0</v>
      </c>
      <c r="U2942" s="7">
        <f>T2942*O2942</f>
        <v>0</v>
      </c>
    </row>
    <row r="2943" spans="1:21">
      <c r="A2943" s="4" t="s">
        <v>3955</v>
      </c>
      <c r="B2943" s="4" t="s">
        <v>39</v>
      </c>
      <c r="C2943" s="5">
        <v>45958.27871527777</v>
      </c>
      <c r="D2943" s="5">
        <v>45958</v>
      </c>
      <c r="E2943" s="6">
        <f>IF(AND(C2943&lt;&gt;"",D2943&lt;&gt;""),D2943-C2943,"")</f>
        <v>0</v>
      </c>
      <c r="F2943" s="4" t="s">
        <v>3956</v>
      </c>
      <c r="G2943" s="4" t="s">
        <v>3957</v>
      </c>
      <c r="H2943" s="4" t="s">
        <v>32</v>
      </c>
      <c r="I2943" s="4" t="s">
        <v>33</v>
      </c>
      <c r="J2943" s="4">
        <v>0</v>
      </c>
      <c r="K2943" s="4">
        <v>0</v>
      </c>
      <c r="L2943" s="4">
        <f>J2943+K2943</f>
        <v>0</v>
      </c>
      <c r="M2943" s="4" t="s">
        <v>3630</v>
      </c>
      <c r="N2943" s="4"/>
      <c r="O2943" s="4">
        <v>1</v>
      </c>
      <c r="P2943" s="4" t="s">
        <v>135</v>
      </c>
      <c r="Q2943" s="4"/>
      <c r="R2943" s="7">
        <v>15000</v>
      </c>
      <c r="S2943" s="7">
        <v>0</v>
      </c>
      <c r="T2943" s="7">
        <f>R2943-S2943</f>
        <v>0</v>
      </c>
      <c r="U2943" s="7">
        <f>T2943*O2943</f>
        <v>0</v>
      </c>
    </row>
    <row r="2944" spans="1:21">
      <c r="A2944" s="4" t="s">
        <v>3955</v>
      </c>
      <c r="B2944" s="4" t="s">
        <v>39</v>
      </c>
      <c r="C2944" s="5">
        <v>45958.27871527777</v>
      </c>
      <c r="D2944" s="5">
        <v>45958</v>
      </c>
      <c r="E2944" s="6">
        <f>IF(AND(C2944&lt;&gt;"",D2944&lt;&gt;""),D2944-C2944,"")</f>
        <v>0</v>
      </c>
      <c r="F2944" s="4" t="s">
        <v>3956</v>
      </c>
      <c r="G2944" s="4" t="s">
        <v>3957</v>
      </c>
      <c r="H2944" s="4" t="s">
        <v>32</v>
      </c>
      <c r="I2944" s="4" t="s">
        <v>33</v>
      </c>
      <c r="J2944" s="4">
        <v>0</v>
      </c>
      <c r="K2944" s="4">
        <v>0</v>
      </c>
      <c r="L2944" s="4">
        <f>J2944+K2944</f>
        <v>0</v>
      </c>
      <c r="M2944" s="4" t="s">
        <v>3950</v>
      </c>
      <c r="N2944" s="4"/>
      <c r="O2944" s="4">
        <v>1</v>
      </c>
      <c r="P2944" s="4" t="s">
        <v>135</v>
      </c>
      <c r="Q2944" s="4"/>
      <c r="R2944" s="7">
        <v>45000</v>
      </c>
      <c r="S2944" s="7">
        <v>0</v>
      </c>
      <c r="T2944" s="7">
        <f>R2944-S2944</f>
        <v>0</v>
      </c>
      <c r="U2944" s="7">
        <f>T2944*O2944</f>
        <v>0</v>
      </c>
    </row>
    <row r="2945" spans="1:21">
      <c r="A2945" s="4" t="s">
        <v>3955</v>
      </c>
      <c r="B2945" s="4" t="s">
        <v>39</v>
      </c>
      <c r="C2945" s="5">
        <v>45958.27871527777</v>
      </c>
      <c r="D2945" s="5">
        <v>45958</v>
      </c>
      <c r="E2945" s="6">
        <f>IF(AND(C2945&lt;&gt;"",D2945&lt;&gt;""),D2945-C2945,"")</f>
        <v>0</v>
      </c>
      <c r="F2945" s="4" t="s">
        <v>3956</v>
      </c>
      <c r="G2945" s="4" t="s">
        <v>3957</v>
      </c>
      <c r="H2945" s="4" t="s">
        <v>32</v>
      </c>
      <c r="I2945" s="4" t="s">
        <v>33</v>
      </c>
      <c r="J2945" s="4">
        <v>0</v>
      </c>
      <c r="K2945" s="4">
        <v>0</v>
      </c>
      <c r="L2945" s="4">
        <f>J2945+K2945</f>
        <v>0</v>
      </c>
      <c r="M2945" s="4" t="s">
        <v>3950</v>
      </c>
      <c r="N2945" s="4"/>
      <c r="O2945" s="4">
        <v>1</v>
      </c>
      <c r="P2945" s="4" t="s">
        <v>135</v>
      </c>
      <c r="Q2945" s="4"/>
      <c r="R2945" s="7">
        <v>45000</v>
      </c>
      <c r="S2945" s="7">
        <v>0</v>
      </c>
      <c r="T2945" s="7">
        <f>R2945-S2945</f>
        <v>0</v>
      </c>
      <c r="U2945" s="7">
        <f>T2945*O2945</f>
        <v>0</v>
      </c>
    </row>
    <row r="2946" spans="1:21">
      <c r="A2946" s="4" t="s">
        <v>3955</v>
      </c>
      <c r="B2946" s="4" t="s">
        <v>39</v>
      </c>
      <c r="C2946" s="5">
        <v>45958.27871527777</v>
      </c>
      <c r="D2946" s="5">
        <v>45958</v>
      </c>
      <c r="E2946" s="6">
        <f>IF(AND(C2946&lt;&gt;"",D2946&lt;&gt;""),D2946-C2946,"")</f>
        <v>0</v>
      </c>
      <c r="F2946" s="4" t="s">
        <v>3956</v>
      </c>
      <c r="G2946" s="4" t="s">
        <v>3957</v>
      </c>
      <c r="H2946" s="4" t="s">
        <v>32</v>
      </c>
      <c r="I2946" s="4" t="s">
        <v>33</v>
      </c>
      <c r="J2946" s="4">
        <v>0</v>
      </c>
      <c r="K2946" s="4">
        <v>0</v>
      </c>
      <c r="L2946" s="4">
        <f>J2946+K2946</f>
        <v>0</v>
      </c>
      <c r="M2946" s="4" t="s">
        <v>3630</v>
      </c>
      <c r="N2946" s="4"/>
      <c r="O2946" s="4">
        <v>1</v>
      </c>
      <c r="P2946" s="4" t="s">
        <v>135</v>
      </c>
      <c r="Q2946" s="4"/>
      <c r="R2946" s="7">
        <v>15000</v>
      </c>
      <c r="S2946" s="7">
        <v>0</v>
      </c>
      <c r="T2946" s="7">
        <f>R2946-S2946</f>
        <v>0</v>
      </c>
      <c r="U2946" s="7">
        <f>T2946*O2946</f>
        <v>0</v>
      </c>
    </row>
    <row r="2947" spans="1:21">
      <c r="A2947" s="4" t="s">
        <v>3955</v>
      </c>
      <c r="B2947" s="4" t="s">
        <v>39</v>
      </c>
      <c r="C2947" s="5">
        <v>45958.27871527777</v>
      </c>
      <c r="D2947" s="5">
        <v>45958</v>
      </c>
      <c r="E2947" s="6">
        <f>IF(AND(C2947&lt;&gt;"",D2947&lt;&gt;""),D2947-C2947,"")</f>
        <v>0</v>
      </c>
      <c r="F2947" s="4" t="s">
        <v>3956</v>
      </c>
      <c r="G2947" s="4" t="s">
        <v>3957</v>
      </c>
      <c r="H2947" s="4" t="s">
        <v>32</v>
      </c>
      <c r="I2947" s="4" t="s">
        <v>33</v>
      </c>
      <c r="J2947" s="4">
        <v>0</v>
      </c>
      <c r="K2947" s="4">
        <v>0</v>
      </c>
      <c r="L2947" s="4">
        <f>J2947+K2947</f>
        <v>0</v>
      </c>
      <c r="M2947" s="4" t="s">
        <v>3950</v>
      </c>
      <c r="N2947" s="4"/>
      <c r="O2947" s="4">
        <v>1</v>
      </c>
      <c r="P2947" s="4" t="s">
        <v>135</v>
      </c>
      <c r="Q2947" s="4"/>
      <c r="R2947" s="7">
        <v>45000</v>
      </c>
      <c r="S2947" s="7">
        <v>0</v>
      </c>
      <c r="T2947" s="7">
        <f>R2947-S2947</f>
        <v>0</v>
      </c>
      <c r="U2947" s="7">
        <f>T2947*O2947</f>
        <v>0</v>
      </c>
    </row>
    <row r="2948" spans="1:21">
      <c r="A2948" s="4" t="s">
        <v>3958</v>
      </c>
      <c r="B2948" s="4"/>
      <c r="C2948" s="5">
        <v>45958.28287037037</v>
      </c>
      <c r="D2948" s="5">
        <v>45961</v>
      </c>
      <c r="E2948" s="6">
        <f>IF(AND(C2948&lt;&gt;"",D2948&lt;&gt;""),D2948-C2948,"")</f>
        <v>0</v>
      </c>
      <c r="F2948" s="4" t="s">
        <v>201</v>
      </c>
      <c r="G2948" s="4" t="s">
        <v>202</v>
      </c>
      <c r="H2948" s="4" t="s">
        <v>32</v>
      </c>
      <c r="I2948" s="4" t="s">
        <v>33</v>
      </c>
      <c r="J2948" s="4">
        <v>3</v>
      </c>
      <c r="K2948" s="4">
        <v>0</v>
      </c>
      <c r="L2948" s="4">
        <f>J2948+K2948</f>
        <v>0</v>
      </c>
      <c r="M2948" s="4"/>
      <c r="N2948" s="4"/>
      <c r="O2948" s="4">
        <v>0</v>
      </c>
      <c r="P2948" s="4"/>
      <c r="Q2948" s="4"/>
      <c r="R2948" s="7">
        <v>0</v>
      </c>
      <c r="S2948" s="7">
        <v>0</v>
      </c>
      <c r="T2948" s="7">
        <f>R2948-S2948</f>
        <v>0</v>
      </c>
      <c r="U2948" s="7">
        <f>T2948*O2948</f>
        <v>0</v>
      </c>
    </row>
    <row r="2949" spans="1:21">
      <c r="A2949" s="4" t="s">
        <v>3959</v>
      </c>
      <c r="B2949" s="4"/>
      <c r="C2949" s="5">
        <v>45958.28841435185</v>
      </c>
      <c r="D2949" s="5">
        <v>45961</v>
      </c>
      <c r="E2949" s="6">
        <f>IF(AND(C2949&lt;&gt;"",D2949&lt;&gt;""),D2949-C2949,"")</f>
        <v>0</v>
      </c>
      <c r="F2949" s="4" t="s">
        <v>201</v>
      </c>
      <c r="G2949" s="4" t="s">
        <v>202</v>
      </c>
      <c r="H2949" s="4" t="s">
        <v>32</v>
      </c>
      <c r="I2949" s="4" t="s">
        <v>33</v>
      </c>
      <c r="J2949" s="4">
        <v>3</v>
      </c>
      <c r="K2949" s="4">
        <v>0</v>
      </c>
      <c r="L2949" s="4">
        <f>J2949+K2949</f>
        <v>0</v>
      </c>
      <c r="M2949" s="4"/>
      <c r="N2949" s="4"/>
      <c r="O2949" s="4">
        <v>0</v>
      </c>
      <c r="P2949" s="4"/>
      <c r="Q2949" s="4"/>
      <c r="R2949" s="7">
        <v>0</v>
      </c>
      <c r="S2949" s="7">
        <v>0</v>
      </c>
      <c r="T2949" s="7">
        <f>R2949-S2949</f>
        <v>0</v>
      </c>
      <c r="U2949" s="7">
        <f>T2949*O2949</f>
        <v>0</v>
      </c>
    </row>
    <row r="2950" spans="1:21">
      <c r="A2950" s="4" t="s">
        <v>3960</v>
      </c>
      <c r="B2950" s="4" t="s">
        <v>39</v>
      </c>
      <c r="C2950" s="5">
        <v>45958.2937962963</v>
      </c>
      <c r="D2950" s="5">
        <v>45958</v>
      </c>
      <c r="E2950" s="6">
        <f>IF(AND(C2950&lt;&gt;"",D2950&lt;&gt;""),D2950-C2950,"")</f>
        <v>0</v>
      </c>
      <c r="F2950" s="4" t="s">
        <v>3961</v>
      </c>
      <c r="G2950" s="4" t="s">
        <v>3962</v>
      </c>
      <c r="H2950" s="4" t="s">
        <v>32</v>
      </c>
      <c r="I2950" s="4" t="s">
        <v>33</v>
      </c>
      <c r="J2950" s="4">
        <v>0</v>
      </c>
      <c r="K2950" s="4">
        <v>0</v>
      </c>
      <c r="L2950" s="4">
        <f>J2950+K2950</f>
        <v>0</v>
      </c>
      <c r="M2950" s="4" t="s">
        <v>3630</v>
      </c>
      <c r="N2950" s="4"/>
      <c r="O2950" s="4">
        <v>1</v>
      </c>
      <c r="P2950" s="4" t="s">
        <v>135</v>
      </c>
      <c r="Q2950" s="4"/>
      <c r="R2950" s="7">
        <v>15000</v>
      </c>
      <c r="S2950" s="7">
        <v>0</v>
      </c>
      <c r="T2950" s="7">
        <f>R2950-S2950</f>
        <v>0</v>
      </c>
      <c r="U2950" s="7">
        <f>T2950*O2950</f>
        <v>0</v>
      </c>
    </row>
    <row r="2951" spans="1:21">
      <c r="A2951" s="4" t="s">
        <v>3960</v>
      </c>
      <c r="B2951" s="4" t="s">
        <v>39</v>
      </c>
      <c r="C2951" s="5">
        <v>45958.2937962963</v>
      </c>
      <c r="D2951" s="5">
        <v>45958</v>
      </c>
      <c r="E2951" s="6">
        <f>IF(AND(C2951&lt;&gt;"",D2951&lt;&gt;""),D2951-C2951,"")</f>
        <v>0</v>
      </c>
      <c r="F2951" s="4" t="s">
        <v>3961</v>
      </c>
      <c r="G2951" s="4" t="s">
        <v>3962</v>
      </c>
      <c r="H2951" s="4" t="s">
        <v>32</v>
      </c>
      <c r="I2951" s="4" t="s">
        <v>33</v>
      </c>
      <c r="J2951" s="4">
        <v>0</v>
      </c>
      <c r="K2951" s="4">
        <v>0</v>
      </c>
      <c r="L2951" s="4">
        <f>J2951+K2951</f>
        <v>0</v>
      </c>
      <c r="M2951" s="4" t="s">
        <v>3950</v>
      </c>
      <c r="N2951" s="4"/>
      <c r="O2951" s="4">
        <v>1</v>
      </c>
      <c r="P2951" s="4" t="s">
        <v>135</v>
      </c>
      <c r="Q2951" s="4"/>
      <c r="R2951" s="7">
        <v>45000</v>
      </c>
      <c r="S2951" s="7">
        <v>0</v>
      </c>
      <c r="T2951" s="7">
        <f>R2951-S2951</f>
        <v>0</v>
      </c>
      <c r="U2951" s="7">
        <f>T2951*O2951</f>
        <v>0</v>
      </c>
    </row>
    <row r="2952" spans="1:21">
      <c r="A2952" s="4" t="s">
        <v>3960</v>
      </c>
      <c r="B2952" s="4" t="s">
        <v>39</v>
      </c>
      <c r="C2952" s="5">
        <v>45958.2937962963</v>
      </c>
      <c r="D2952" s="5">
        <v>45958</v>
      </c>
      <c r="E2952" s="6">
        <f>IF(AND(C2952&lt;&gt;"",D2952&lt;&gt;""),D2952-C2952,"")</f>
        <v>0</v>
      </c>
      <c r="F2952" s="4" t="s">
        <v>3961</v>
      </c>
      <c r="G2952" s="4" t="s">
        <v>3962</v>
      </c>
      <c r="H2952" s="4" t="s">
        <v>32</v>
      </c>
      <c r="I2952" s="4" t="s">
        <v>33</v>
      </c>
      <c r="J2952" s="4">
        <v>1</v>
      </c>
      <c r="K2952" s="4">
        <v>0</v>
      </c>
      <c r="L2952" s="4">
        <f>J2952+K2952</f>
        <v>0</v>
      </c>
      <c r="M2952" s="4" t="s">
        <v>80</v>
      </c>
      <c r="N2952" s="4"/>
      <c r="O2952" s="4">
        <v>1</v>
      </c>
      <c r="P2952" s="4" t="s">
        <v>135</v>
      </c>
      <c r="Q2952" s="4"/>
      <c r="R2952" s="7">
        <v>610000</v>
      </c>
      <c r="S2952" s="7">
        <v>0</v>
      </c>
      <c r="T2952" s="7">
        <f>R2952-S2952</f>
        <v>0</v>
      </c>
      <c r="U2952" s="7">
        <f>T2952*O2952</f>
        <v>0</v>
      </c>
    </row>
    <row r="2953" spans="1:21">
      <c r="A2953" s="4" t="s">
        <v>3960</v>
      </c>
      <c r="B2953" s="4" t="s">
        <v>39</v>
      </c>
      <c r="C2953" s="5">
        <v>45958.2937962963</v>
      </c>
      <c r="D2953" s="5">
        <v>45958</v>
      </c>
      <c r="E2953" s="6">
        <f>IF(AND(C2953&lt;&gt;"",D2953&lt;&gt;""),D2953-C2953,"")</f>
        <v>0</v>
      </c>
      <c r="F2953" s="4" t="s">
        <v>3961</v>
      </c>
      <c r="G2953" s="4" t="s">
        <v>3962</v>
      </c>
      <c r="H2953" s="4" t="s">
        <v>32</v>
      </c>
      <c r="I2953" s="4" t="s">
        <v>33</v>
      </c>
      <c r="J2953" s="4">
        <v>1</v>
      </c>
      <c r="K2953" s="4">
        <v>0</v>
      </c>
      <c r="L2953" s="4">
        <f>J2953+K2953</f>
        <v>0</v>
      </c>
      <c r="M2953" s="4" t="s">
        <v>80</v>
      </c>
      <c r="N2953" s="4"/>
      <c r="O2953" s="4">
        <v>1</v>
      </c>
      <c r="P2953" s="4" t="s">
        <v>135</v>
      </c>
      <c r="Q2953" s="4"/>
      <c r="R2953" s="7">
        <v>610000</v>
      </c>
      <c r="S2953" s="7">
        <v>0</v>
      </c>
      <c r="T2953" s="7">
        <f>R2953-S2953</f>
        <v>0</v>
      </c>
      <c r="U2953" s="7">
        <f>T2953*O2953</f>
        <v>0</v>
      </c>
    </row>
    <row r="2954" spans="1:21">
      <c r="A2954" s="4" t="s">
        <v>3960</v>
      </c>
      <c r="B2954" s="4" t="s">
        <v>39</v>
      </c>
      <c r="C2954" s="5">
        <v>45958.2937962963</v>
      </c>
      <c r="D2954" s="5">
        <v>45958</v>
      </c>
      <c r="E2954" s="6">
        <f>IF(AND(C2954&lt;&gt;"",D2954&lt;&gt;""),D2954-C2954,"")</f>
        <v>0</v>
      </c>
      <c r="F2954" s="4" t="s">
        <v>3961</v>
      </c>
      <c r="G2954" s="4" t="s">
        <v>3962</v>
      </c>
      <c r="H2954" s="4" t="s">
        <v>32</v>
      </c>
      <c r="I2954" s="4" t="s">
        <v>33</v>
      </c>
      <c r="J2954" s="4">
        <v>0</v>
      </c>
      <c r="K2954" s="4">
        <v>0</v>
      </c>
      <c r="L2954" s="4">
        <f>J2954+K2954</f>
        <v>0</v>
      </c>
      <c r="M2954" s="4" t="s">
        <v>3950</v>
      </c>
      <c r="N2954" s="4"/>
      <c r="O2954" s="4">
        <v>1</v>
      </c>
      <c r="P2954" s="4" t="s">
        <v>135</v>
      </c>
      <c r="Q2954" s="4"/>
      <c r="R2954" s="7">
        <v>45000</v>
      </c>
      <c r="S2954" s="7">
        <v>0</v>
      </c>
      <c r="T2954" s="7">
        <f>R2954-S2954</f>
        <v>0</v>
      </c>
      <c r="U2954" s="7">
        <f>T2954*O2954</f>
        <v>0</v>
      </c>
    </row>
    <row r="2955" spans="1:21">
      <c r="A2955" s="4" t="s">
        <v>3960</v>
      </c>
      <c r="B2955" s="4" t="s">
        <v>39</v>
      </c>
      <c r="C2955" s="5">
        <v>45958.2937962963</v>
      </c>
      <c r="D2955" s="5">
        <v>45958</v>
      </c>
      <c r="E2955" s="6">
        <f>IF(AND(C2955&lt;&gt;"",D2955&lt;&gt;""),D2955-C2955,"")</f>
        <v>0</v>
      </c>
      <c r="F2955" s="4" t="s">
        <v>3961</v>
      </c>
      <c r="G2955" s="4" t="s">
        <v>3962</v>
      </c>
      <c r="H2955" s="4" t="s">
        <v>32</v>
      </c>
      <c r="I2955" s="4" t="s">
        <v>33</v>
      </c>
      <c r="J2955" s="4">
        <v>0</v>
      </c>
      <c r="K2955" s="4">
        <v>0</v>
      </c>
      <c r="L2955" s="4">
        <f>J2955+K2955</f>
        <v>0</v>
      </c>
      <c r="M2955" s="4" t="s">
        <v>3630</v>
      </c>
      <c r="N2955" s="4"/>
      <c r="O2955" s="4">
        <v>1</v>
      </c>
      <c r="P2955" s="4" t="s">
        <v>135</v>
      </c>
      <c r="Q2955" s="4"/>
      <c r="R2955" s="7">
        <v>15000</v>
      </c>
      <c r="S2955" s="7">
        <v>0</v>
      </c>
      <c r="T2955" s="7">
        <f>R2955-S2955</f>
        <v>0</v>
      </c>
      <c r="U2955" s="7">
        <f>T2955*O2955</f>
        <v>0</v>
      </c>
    </row>
    <row r="2956" spans="1:21">
      <c r="A2956" s="4" t="s">
        <v>3960</v>
      </c>
      <c r="B2956" s="4" t="s">
        <v>39</v>
      </c>
      <c r="C2956" s="5">
        <v>45958.2937962963</v>
      </c>
      <c r="D2956" s="5">
        <v>45958</v>
      </c>
      <c r="E2956" s="6">
        <f>IF(AND(C2956&lt;&gt;"",D2956&lt;&gt;""),D2956-C2956,"")</f>
        <v>0</v>
      </c>
      <c r="F2956" s="4" t="s">
        <v>3961</v>
      </c>
      <c r="G2956" s="4" t="s">
        <v>3962</v>
      </c>
      <c r="H2956" s="4" t="s">
        <v>32</v>
      </c>
      <c r="I2956" s="4" t="s">
        <v>33</v>
      </c>
      <c r="J2956" s="4">
        <v>0</v>
      </c>
      <c r="K2956" s="4">
        <v>0</v>
      </c>
      <c r="L2956" s="4">
        <f>J2956+K2956</f>
        <v>0</v>
      </c>
      <c r="M2956" s="4" t="s">
        <v>3950</v>
      </c>
      <c r="N2956" s="4"/>
      <c r="O2956" s="4">
        <v>1</v>
      </c>
      <c r="P2956" s="4" t="s">
        <v>135</v>
      </c>
      <c r="Q2956" s="4"/>
      <c r="R2956" s="7">
        <v>45000</v>
      </c>
      <c r="S2956" s="7">
        <v>0</v>
      </c>
      <c r="T2956" s="7">
        <f>R2956-S2956</f>
        <v>0</v>
      </c>
      <c r="U2956" s="7">
        <f>T2956*O2956</f>
        <v>0</v>
      </c>
    </row>
    <row r="2957" spans="1:21">
      <c r="A2957" s="4" t="s">
        <v>3960</v>
      </c>
      <c r="B2957" s="4" t="s">
        <v>39</v>
      </c>
      <c r="C2957" s="5">
        <v>45958.2937962963</v>
      </c>
      <c r="D2957" s="5">
        <v>45958</v>
      </c>
      <c r="E2957" s="6">
        <f>IF(AND(C2957&lt;&gt;"",D2957&lt;&gt;""),D2957-C2957,"")</f>
        <v>0</v>
      </c>
      <c r="F2957" s="4" t="s">
        <v>3961</v>
      </c>
      <c r="G2957" s="4" t="s">
        <v>3962</v>
      </c>
      <c r="H2957" s="4" t="s">
        <v>32</v>
      </c>
      <c r="I2957" s="4" t="s">
        <v>33</v>
      </c>
      <c r="J2957" s="4">
        <v>0</v>
      </c>
      <c r="K2957" s="4">
        <v>0</v>
      </c>
      <c r="L2957" s="4">
        <f>J2957+K2957</f>
        <v>0</v>
      </c>
      <c r="M2957" s="4" t="s">
        <v>3630</v>
      </c>
      <c r="N2957" s="4"/>
      <c r="O2957" s="4">
        <v>1</v>
      </c>
      <c r="P2957" s="4" t="s">
        <v>135</v>
      </c>
      <c r="Q2957" s="4"/>
      <c r="R2957" s="7">
        <v>15000</v>
      </c>
      <c r="S2957" s="7">
        <v>0</v>
      </c>
      <c r="T2957" s="7">
        <f>R2957-S2957</f>
        <v>0</v>
      </c>
      <c r="U2957" s="7">
        <f>T2957*O2957</f>
        <v>0</v>
      </c>
    </row>
    <row r="2958" spans="1:21">
      <c r="A2958" s="4" t="s">
        <v>3960</v>
      </c>
      <c r="B2958" s="4" t="s">
        <v>39</v>
      </c>
      <c r="C2958" s="5">
        <v>45958.2937962963</v>
      </c>
      <c r="D2958" s="5">
        <v>45958</v>
      </c>
      <c r="E2958" s="6">
        <f>IF(AND(C2958&lt;&gt;"",D2958&lt;&gt;""),D2958-C2958,"")</f>
        <v>0</v>
      </c>
      <c r="F2958" s="4" t="s">
        <v>3961</v>
      </c>
      <c r="G2958" s="4" t="s">
        <v>3962</v>
      </c>
      <c r="H2958" s="4" t="s">
        <v>32</v>
      </c>
      <c r="I2958" s="4" t="s">
        <v>33</v>
      </c>
      <c r="J2958" s="4">
        <v>0</v>
      </c>
      <c r="K2958" s="4">
        <v>0</v>
      </c>
      <c r="L2958" s="4">
        <f>J2958+K2958</f>
        <v>0</v>
      </c>
      <c r="M2958" s="4" t="s">
        <v>3630</v>
      </c>
      <c r="N2958" s="4"/>
      <c r="O2958" s="4">
        <v>1</v>
      </c>
      <c r="P2958" s="4" t="s">
        <v>135</v>
      </c>
      <c r="Q2958" s="4"/>
      <c r="R2958" s="7">
        <v>15000</v>
      </c>
      <c r="S2958" s="7">
        <v>0</v>
      </c>
      <c r="T2958" s="7">
        <f>R2958-S2958</f>
        <v>0</v>
      </c>
      <c r="U2958" s="7">
        <f>T2958*O2958</f>
        <v>0</v>
      </c>
    </row>
    <row r="2959" spans="1:21">
      <c r="A2959" s="4" t="s">
        <v>3960</v>
      </c>
      <c r="B2959" s="4" t="s">
        <v>39</v>
      </c>
      <c r="C2959" s="5">
        <v>45958.2937962963</v>
      </c>
      <c r="D2959" s="5">
        <v>45958</v>
      </c>
      <c r="E2959" s="6">
        <f>IF(AND(C2959&lt;&gt;"",D2959&lt;&gt;""),D2959-C2959,"")</f>
        <v>0</v>
      </c>
      <c r="F2959" s="4" t="s">
        <v>3961</v>
      </c>
      <c r="G2959" s="4" t="s">
        <v>3962</v>
      </c>
      <c r="H2959" s="4" t="s">
        <v>32</v>
      </c>
      <c r="I2959" s="4" t="s">
        <v>33</v>
      </c>
      <c r="J2959" s="4">
        <v>0</v>
      </c>
      <c r="K2959" s="4">
        <v>0</v>
      </c>
      <c r="L2959" s="4">
        <f>J2959+K2959</f>
        <v>0</v>
      </c>
      <c r="M2959" s="4" t="s">
        <v>3630</v>
      </c>
      <c r="N2959" s="4"/>
      <c r="O2959" s="4">
        <v>1</v>
      </c>
      <c r="P2959" s="4" t="s">
        <v>135</v>
      </c>
      <c r="Q2959" s="4"/>
      <c r="R2959" s="7">
        <v>15000</v>
      </c>
      <c r="S2959" s="7">
        <v>0</v>
      </c>
      <c r="T2959" s="7">
        <f>R2959-S2959</f>
        <v>0</v>
      </c>
      <c r="U2959" s="7">
        <f>T2959*O2959</f>
        <v>0</v>
      </c>
    </row>
    <row r="2960" spans="1:21">
      <c r="A2960" s="4" t="s">
        <v>3960</v>
      </c>
      <c r="B2960" s="4" t="s">
        <v>39</v>
      </c>
      <c r="C2960" s="5">
        <v>45958.2937962963</v>
      </c>
      <c r="D2960" s="5">
        <v>45958</v>
      </c>
      <c r="E2960" s="6">
        <f>IF(AND(C2960&lt;&gt;"",D2960&lt;&gt;""),D2960-C2960,"")</f>
        <v>0</v>
      </c>
      <c r="F2960" s="4" t="s">
        <v>3961</v>
      </c>
      <c r="G2960" s="4" t="s">
        <v>3962</v>
      </c>
      <c r="H2960" s="4" t="s">
        <v>32</v>
      </c>
      <c r="I2960" s="4" t="s">
        <v>33</v>
      </c>
      <c r="J2960" s="4">
        <v>0</v>
      </c>
      <c r="K2960" s="4">
        <v>0</v>
      </c>
      <c r="L2960" s="4">
        <f>J2960+K2960</f>
        <v>0</v>
      </c>
      <c r="M2960" s="4" t="s">
        <v>3950</v>
      </c>
      <c r="N2960" s="4"/>
      <c r="O2960" s="4">
        <v>1</v>
      </c>
      <c r="P2960" s="4" t="s">
        <v>135</v>
      </c>
      <c r="Q2960" s="4"/>
      <c r="R2960" s="7">
        <v>45000</v>
      </c>
      <c r="S2960" s="7">
        <v>0</v>
      </c>
      <c r="T2960" s="7">
        <f>R2960-S2960</f>
        <v>0</v>
      </c>
      <c r="U2960" s="7">
        <f>T2960*O2960</f>
        <v>0</v>
      </c>
    </row>
    <row r="2961" spans="1:21">
      <c r="A2961" s="4" t="s">
        <v>3960</v>
      </c>
      <c r="B2961" s="4" t="s">
        <v>39</v>
      </c>
      <c r="C2961" s="5">
        <v>45958.2937962963</v>
      </c>
      <c r="D2961" s="5">
        <v>45958</v>
      </c>
      <c r="E2961" s="6">
        <f>IF(AND(C2961&lt;&gt;"",D2961&lt;&gt;""),D2961-C2961,"")</f>
        <v>0</v>
      </c>
      <c r="F2961" s="4" t="s">
        <v>3961</v>
      </c>
      <c r="G2961" s="4" t="s">
        <v>3962</v>
      </c>
      <c r="H2961" s="4" t="s">
        <v>32</v>
      </c>
      <c r="I2961" s="4" t="s">
        <v>33</v>
      </c>
      <c r="J2961" s="4">
        <v>0</v>
      </c>
      <c r="K2961" s="4">
        <v>0</v>
      </c>
      <c r="L2961" s="4">
        <f>J2961+K2961</f>
        <v>0</v>
      </c>
      <c r="M2961" s="4" t="s">
        <v>3630</v>
      </c>
      <c r="N2961" s="4"/>
      <c r="O2961" s="4">
        <v>1</v>
      </c>
      <c r="P2961" s="4" t="s">
        <v>135</v>
      </c>
      <c r="Q2961" s="4"/>
      <c r="R2961" s="7">
        <v>15000</v>
      </c>
      <c r="S2961" s="7">
        <v>0</v>
      </c>
      <c r="T2961" s="7">
        <f>R2961-S2961</f>
        <v>0</v>
      </c>
      <c r="U2961" s="7">
        <f>T2961*O2961</f>
        <v>0</v>
      </c>
    </row>
    <row r="2962" spans="1:21">
      <c r="A2962" s="4" t="s">
        <v>3960</v>
      </c>
      <c r="B2962" s="4" t="s">
        <v>39</v>
      </c>
      <c r="C2962" s="5">
        <v>45958.2937962963</v>
      </c>
      <c r="D2962" s="5">
        <v>45958</v>
      </c>
      <c r="E2962" s="6">
        <f>IF(AND(C2962&lt;&gt;"",D2962&lt;&gt;""),D2962-C2962,"")</f>
        <v>0</v>
      </c>
      <c r="F2962" s="4" t="s">
        <v>3961</v>
      </c>
      <c r="G2962" s="4" t="s">
        <v>3962</v>
      </c>
      <c r="H2962" s="4" t="s">
        <v>32</v>
      </c>
      <c r="I2962" s="4" t="s">
        <v>33</v>
      </c>
      <c r="J2962" s="4">
        <v>0</v>
      </c>
      <c r="K2962" s="4">
        <v>0</v>
      </c>
      <c r="L2962" s="4">
        <f>J2962+K2962</f>
        <v>0</v>
      </c>
      <c r="M2962" s="4" t="s">
        <v>3950</v>
      </c>
      <c r="N2962" s="4"/>
      <c r="O2962" s="4">
        <v>1</v>
      </c>
      <c r="P2962" s="4" t="s">
        <v>135</v>
      </c>
      <c r="Q2962" s="4"/>
      <c r="R2962" s="7">
        <v>45000</v>
      </c>
      <c r="S2962" s="7">
        <v>0</v>
      </c>
      <c r="T2962" s="7">
        <f>R2962-S2962</f>
        <v>0</v>
      </c>
      <c r="U2962" s="7">
        <f>T2962*O2962</f>
        <v>0</v>
      </c>
    </row>
    <row r="2963" spans="1:21">
      <c r="A2963" s="4" t="s">
        <v>3960</v>
      </c>
      <c r="B2963" s="4" t="s">
        <v>39</v>
      </c>
      <c r="C2963" s="5">
        <v>45958.2937962963</v>
      </c>
      <c r="D2963" s="5">
        <v>45958</v>
      </c>
      <c r="E2963" s="6">
        <f>IF(AND(C2963&lt;&gt;"",D2963&lt;&gt;""),D2963-C2963,"")</f>
        <v>0</v>
      </c>
      <c r="F2963" s="4" t="s">
        <v>3961</v>
      </c>
      <c r="G2963" s="4" t="s">
        <v>3962</v>
      </c>
      <c r="H2963" s="4" t="s">
        <v>32</v>
      </c>
      <c r="I2963" s="4" t="s">
        <v>33</v>
      </c>
      <c r="J2963" s="4">
        <v>0</v>
      </c>
      <c r="K2963" s="4">
        <v>0</v>
      </c>
      <c r="L2963" s="4">
        <f>J2963+K2963</f>
        <v>0</v>
      </c>
      <c r="M2963" s="4" t="s">
        <v>3950</v>
      </c>
      <c r="N2963" s="4"/>
      <c r="O2963" s="4">
        <v>1</v>
      </c>
      <c r="P2963" s="4" t="s">
        <v>135</v>
      </c>
      <c r="Q2963" s="4"/>
      <c r="R2963" s="7">
        <v>45000</v>
      </c>
      <c r="S2963" s="7">
        <v>0</v>
      </c>
      <c r="T2963" s="7">
        <f>R2963-S2963</f>
        <v>0</v>
      </c>
      <c r="U2963" s="7">
        <f>T2963*O2963</f>
        <v>0</v>
      </c>
    </row>
    <row r="2964" spans="1:21">
      <c r="A2964" s="4" t="s">
        <v>3960</v>
      </c>
      <c r="B2964" s="4" t="s">
        <v>39</v>
      </c>
      <c r="C2964" s="5">
        <v>45958.2937962963</v>
      </c>
      <c r="D2964" s="5">
        <v>45958</v>
      </c>
      <c r="E2964" s="6">
        <f>IF(AND(C2964&lt;&gt;"",D2964&lt;&gt;""),D2964-C2964,"")</f>
        <v>0</v>
      </c>
      <c r="F2964" s="4" t="s">
        <v>3961</v>
      </c>
      <c r="G2964" s="4" t="s">
        <v>3962</v>
      </c>
      <c r="H2964" s="4" t="s">
        <v>32</v>
      </c>
      <c r="I2964" s="4" t="s">
        <v>33</v>
      </c>
      <c r="J2964" s="4">
        <v>1</v>
      </c>
      <c r="K2964" s="4">
        <v>0</v>
      </c>
      <c r="L2964" s="4">
        <f>J2964+K2964</f>
        <v>0</v>
      </c>
      <c r="M2964" s="4" t="s">
        <v>80</v>
      </c>
      <c r="N2964" s="4"/>
      <c r="O2964" s="4">
        <v>1</v>
      </c>
      <c r="P2964" s="4" t="s">
        <v>135</v>
      </c>
      <c r="Q2964" s="4"/>
      <c r="R2964" s="7">
        <v>610000</v>
      </c>
      <c r="S2964" s="7">
        <v>0</v>
      </c>
      <c r="T2964" s="7">
        <f>R2964-S2964</f>
        <v>0</v>
      </c>
      <c r="U2964" s="7">
        <f>T2964*O2964</f>
        <v>0</v>
      </c>
    </row>
    <row r="2965" spans="1:21">
      <c r="A2965" s="4" t="s">
        <v>3960</v>
      </c>
      <c r="B2965" s="4" t="s">
        <v>39</v>
      </c>
      <c r="C2965" s="5">
        <v>45958.2937962963</v>
      </c>
      <c r="D2965" s="5">
        <v>45958</v>
      </c>
      <c r="E2965" s="6">
        <f>IF(AND(C2965&lt;&gt;"",D2965&lt;&gt;""),D2965-C2965,"")</f>
        <v>0</v>
      </c>
      <c r="F2965" s="4" t="s">
        <v>3961</v>
      </c>
      <c r="G2965" s="4" t="s">
        <v>3962</v>
      </c>
      <c r="H2965" s="4" t="s">
        <v>32</v>
      </c>
      <c r="I2965" s="4" t="s">
        <v>33</v>
      </c>
      <c r="J2965" s="4">
        <v>0</v>
      </c>
      <c r="K2965" s="4">
        <v>0</v>
      </c>
      <c r="L2965" s="4">
        <f>J2965+K2965</f>
        <v>0</v>
      </c>
      <c r="M2965" s="4" t="s">
        <v>3630</v>
      </c>
      <c r="N2965" s="4"/>
      <c r="O2965" s="4">
        <v>1</v>
      </c>
      <c r="P2965" s="4" t="s">
        <v>135</v>
      </c>
      <c r="Q2965" s="4"/>
      <c r="R2965" s="7">
        <v>15000</v>
      </c>
      <c r="S2965" s="7">
        <v>0</v>
      </c>
      <c r="T2965" s="7">
        <f>R2965-S2965</f>
        <v>0</v>
      </c>
      <c r="U2965" s="7">
        <f>T2965*O2965</f>
        <v>0</v>
      </c>
    </row>
    <row r="2966" spans="1:21">
      <c r="A2966" s="4" t="s">
        <v>3960</v>
      </c>
      <c r="B2966" s="4" t="s">
        <v>39</v>
      </c>
      <c r="C2966" s="5">
        <v>45958.2937962963</v>
      </c>
      <c r="D2966" s="5">
        <v>45958</v>
      </c>
      <c r="E2966" s="6">
        <f>IF(AND(C2966&lt;&gt;"",D2966&lt;&gt;""),D2966-C2966,"")</f>
        <v>0</v>
      </c>
      <c r="F2966" s="4" t="s">
        <v>3961</v>
      </c>
      <c r="G2966" s="4" t="s">
        <v>3962</v>
      </c>
      <c r="H2966" s="4" t="s">
        <v>32</v>
      </c>
      <c r="I2966" s="4" t="s">
        <v>33</v>
      </c>
      <c r="J2966" s="4">
        <v>0</v>
      </c>
      <c r="K2966" s="4">
        <v>0</v>
      </c>
      <c r="L2966" s="4">
        <f>J2966+K2966</f>
        <v>0</v>
      </c>
      <c r="M2966" s="4" t="s">
        <v>3630</v>
      </c>
      <c r="N2966" s="4"/>
      <c r="O2966" s="4">
        <v>1</v>
      </c>
      <c r="P2966" s="4" t="s">
        <v>135</v>
      </c>
      <c r="Q2966" s="4"/>
      <c r="R2966" s="7">
        <v>15000</v>
      </c>
      <c r="S2966" s="7">
        <v>0</v>
      </c>
      <c r="T2966" s="7">
        <f>R2966-S2966</f>
        <v>0</v>
      </c>
      <c r="U2966" s="7">
        <f>T2966*O2966</f>
        <v>0</v>
      </c>
    </row>
    <row r="2967" spans="1:21">
      <c r="A2967" s="4" t="s">
        <v>3960</v>
      </c>
      <c r="B2967" s="4" t="s">
        <v>39</v>
      </c>
      <c r="C2967" s="5">
        <v>45958.2937962963</v>
      </c>
      <c r="D2967" s="5">
        <v>45958</v>
      </c>
      <c r="E2967" s="6">
        <f>IF(AND(C2967&lt;&gt;"",D2967&lt;&gt;""),D2967-C2967,"")</f>
        <v>0</v>
      </c>
      <c r="F2967" s="4" t="s">
        <v>3961</v>
      </c>
      <c r="G2967" s="4" t="s">
        <v>3962</v>
      </c>
      <c r="H2967" s="4" t="s">
        <v>32</v>
      </c>
      <c r="I2967" s="4" t="s">
        <v>33</v>
      </c>
      <c r="J2967" s="4">
        <v>1</v>
      </c>
      <c r="K2967" s="4">
        <v>0</v>
      </c>
      <c r="L2967" s="4">
        <f>J2967+K2967</f>
        <v>0</v>
      </c>
      <c r="M2967" s="4" t="s">
        <v>80</v>
      </c>
      <c r="N2967" s="4"/>
      <c r="O2967" s="4">
        <v>1</v>
      </c>
      <c r="P2967" s="4" t="s">
        <v>135</v>
      </c>
      <c r="Q2967" s="4"/>
      <c r="R2967" s="7">
        <v>610000</v>
      </c>
      <c r="S2967" s="7">
        <v>0</v>
      </c>
      <c r="T2967" s="7">
        <f>R2967-S2967</f>
        <v>0</v>
      </c>
      <c r="U2967" s="7">
        <f>T2967*O2967</f>
        <v>0</v>
      </c>
    </row>
    <row r="2968" spans="1:21">
      <c r="A2968" s="4" t="s">
        <v>3960</v>
      </c>
      <c r="B2968" s="4" t="s">
        <v>39</v>
      </c>
      <c r="C2968" s="5">
        <v>45958.2937962963</v>
      </c>
      <c r="D2968" s="5">
        <v>45958</v>
      </c>
      <c r="E2968" s="6">
        <f>IF(AND(C2968&lt;&gt;"",D2968&lt;&gt;""),D2968-C2968,"")</f>
        <v>0</v>
      </c>
      <c r="F2968" s="4" t="s">
        <v>3961</v>
      </c>
      <c r="G2968" s="4" t="s">
        <v>3962</v>
      </c>
      <c r="H2968" s="4" t="s">
        <v>32</v>
      </c>
      <c r="I2968" s="4" t="s">
        <v>33</v>
      </c>
      <c r="J2968" s="4">
        <v>0</v>
      </c>
      <c r="K2968" s="4">
        <v>0</v>
      </c>
      <c r="L2968" s="4">
        <f>J2968+K2968</f>
        <v>0</v>
      </c>
      <c r="M2968" s="4" t="s">
        <v>3950</v>
      </c>
      <c r="N2968" s="4"/>
      <c r="O2968" s="4">
        <v>1</v>
      </c>
      <c r="P2968" s="4" t="s">
        <v>135</v>
      </c>
      <c r="Q2968" s="4"/>
      <c r="R2968" s="7">
        <v>45000</v>
      </c>
      <c r="S2968" s="7">
        <v>0</v>
      </c>
      <c r="T2968" s="7">
        <f>R2968-S2968</f>
        <v>0</v>
      </c>
      <c r="U2968" s="7">
        <f>T2968*O2968</f>
        <v>0</v>
      </c>
    </row>
    <row r="2969" spans="1:21">
      <c r="A2969" s="4" t="s">
        <v>3960</v>
      </c>
      <c r="B2969" s="4" t="s">
        <v>39</v>
      </c>
      <c r="C2969" s="5">
        <v>45958.2937962963</v>
      </c>
      <c r="D2969" s="5">
        <v>45958</v>
      </c>
      <c r="E2969" s="6">
        <f>IF(AND(C2969&lt;&gt;"",D2969&lt;&gt;""),D2969-C2969,"")</f>
        <v>0</v>
      </c>
      <c r="F2969" s="4" t="s">
        <v>3961</v>
      </c>
      <c r="G2969" s="4" t="s">
        <v>3962</v>
      </c>
      <c r="H2969" s="4" t="s">
        <v>32</v>
      </c>
      <c r="I2969" s="4" t="s">
        <v>33</v>
      </c>
      <c r="J2969" s="4">
        <v>0</v>
      </c>
      <c r="K2969" s="4">
        <v>0</v>
      </c>
      <c r="L2969" s="4">
        <f>J2969+K2969</f>
        <v>0</v>
      </c>
      <c r="M2969" s="4" t="s">
        <v>3950</v>
      </c>
      <c r="N2969" s="4"/>
      <c r="O2969" s="4">
        <v>1</v>
      </c>
      <c r="P2969" s="4" t="s">
        <v>135</v>
      </c>
      <c r="Q2969" s="4"/>
      <c r="R2969" s="7">
        <v>45000</v>
      </c>
      <c r="S2969" s="7">
        <v>0</v>
      </c>
      <c r="T2969" s="7">
        <f>R2969-S2969</f>
        <v>0</v>
      </c>
      <c r="U2969" s="7">
        <f>T2969*O2969</f>
        <v>0</v>
      </c>
    </row>
    <row r="2970" spans="1:21">
      <c r="A2970" s="4" t="s">
        <v>3960</v>
      </c>
      <c r="B2970" s="4" t="s">
        <v>39</v>
      </c>
      <c r="C2970" s="5">
        <v>45958.2937962963</v>
      </c>
      <c r="D2970" s="5">
        <v>45958</v>
      </c>
      <c r="E2970" s="6">
        <f>IF(AND(C2970&lt;&gt;"",D2970&lt;&gt;""),D2970-C2970,"")</f>
        <v>0</v>
      </c>
      <c r="F2970" s="4" t="s">
        <v>3961</v>
      </c>
      <c r="G2970" s="4" t="s">
        <v>3962</v>
      </c>
      <c r="H2970" s="4" t="s">
        <v>32</v>
      </c>
      <c r="I2970" s="4" t="s">
        <v>33</v>
      </c>
      <c r="J2970" s="4">
        <v>0</v>
      </c>
      <c r="K2970" s="4">
        <v>0</v>
      </c>
      <c r="L2970" s="4">
        <f>J2970+K2970</f>
        <v>0</v>
      </c>
      <c r="M2970" s="4" t="s">
        <v>3630</v>
      </c>
      <c r="N2970" s="4"/>
      <c r="O2970" s="4">
        <v>1</v>
      </c>
      <c r="P2970" s="4" t="s">
        <v>135</v>
      </c>
      <c r="Q2970" s="4"/>
      <c r="R2970" s="7">
        <v>15000</v>
      </c>
      <c r="S2970" s="7">
        <v>0</v>
      </c>
      <c r="T2970" s="7">
        <f>R2970-S2970</f>
        <v>0</v>
      </c>
      <c r="U2970" s="7">
        <f>T2970*O2970</f>
        <v>0</v>
      </c>
    </row>
    <row r="2971" spans="1:21">
      <c r="A2971" s="4" t="s">
        <v>3960</v>
      </c>
      <c r="B2971" s="4" t="s">
        <v>39</v>
      </c>
      <c r="C2971" s="5">
        <v>45958.2937962963</v>
      </c>
      <c r="D2971" s="5">
        <v>45958</v>
      </c>
      <c r="E2971" s="6">
        <f>IF(AND(C2971&lt;&gt;"",D2971&lt;&gt;""),D2971-C2971,"")</f>
        <v>0</v>
      </c>
      <c r="F2971" s="4" t="s">
        <v>3961</v>
      </c>
      <c r="G2971" s="4" t="s">
        <v>3962</v>
      </c>
      <c r="H2971" s="4" t="s">
        <v>32</v>
      </c>
      <c r="I2971" s="4" t="s">
        <v>33</v>
      </c>
      <c r="J2971" s="4">
        <v>1</v>
      </c>
      <c r="K2971" s="4">
        <v>0</v>
      </c>
      <c r="L2971" s="4">
        <f>J2971+K2971</f>
        <v>0</v>
      </c>
      <c r="M2971" s="4" t="s">
        <v>80</v>
      </c>
      <c r="N2971" s="4"/>
      <c r="O2971" s="4">
        <v>1</v>
      </c>
      <c r="P2971" s="4" t="s">
        <v>135</v>
      </c>
      <c r="Q2971" s="4"/>
      <c r="R2971" s="7">
        <v>610000</v>
      </c>
      <c r="S2971" s="7">
        <v>0</v>
      </c>
      <c r="T2971" s="7">
        <f>R2971-S2971</f>
        <v>0</v>
      </c>
      <c r="U2971" s="7">
        <f>T2971*O2971</f>
        <v>0</v>
      </c>
    </row>
    <row r="2972" spans="1:21">
      <c r="A2972" s="4" t="s">
        <v>3960</v>
      </c>
      <c r="B2972" s="4" t="s">
        <v>39</v>
      </c>
      <c r="C2972" s="5">
        <v>45958.2937962963</v>
      </c>
      <c r="D2972" s="5">
        <v>45958</v>
      </c>
      <c r="E2972" s="6">
        <f>IF(AND(C2972&lt;&gt;"",D2972&lt;&gt;""),D2972-C2972,"")</f>
        <v>0</v>
      </c>
      <c r="F2972" s="4" t="s">
        <v>3961</v>
      </c>
      <c r="G2972" s="4" t="s">
        <v>3962</v>
      </c>
      <c r="H2972" s="4" t="s">
        <v>32</v>
      </c>
      <c r="I2972" s="4" t="s">
        <v>33</v>
      </c>
      <c r="J2972" s="4">
        <v>0</v>
      </c>
      <c r="K2972" s="4">
        <v>0</v>
      </c>
      <c r="L2972" s="4">
        <f>J2972+K2972</f>
        <v>0</v>
      </c>
      <c r="M2972" s="4" t="s">
        <v>3950</v>
      </c>
      <c r="N2972" s="4"/>
      <c r="O2972" s="4">
        <v>1</v>
      </c>
      <c r="P2972" s="4" t="s">
        <v>135</v>
      </c>
      <c r="Q2972" s="4"/>
      <c r="R2972" s="7">
        <v>45000</v>
      </c>
      <c r="S2972" s="7">
        <v>0</v>
      </c>
      <c r="T2972" s="7">
        <f>R2972-S2972</f>
        <v>0</v>
      </c>
      <c r="U2972" s="7">
        <f>T2972*O2972</f>
        <v>0</v>
      </c>
    </row>
    <row r="2973" spans="1:21">
      <c r="A2973" s="4" t="s">
        <v>3960</v>
      </c>
      <c r="B2973" s="4" t="s">
        <v>39</v>
      </c>
      <c r="C2973" s="5">
        <v>45958.2937962963</v>
      </c>
      <c r="D2973" s="5">
        <v>45958</v>
      </c>
      <c r="E2973" s="6">
        <f>IF(AND(C2973&lt;&gt;"",D2973&lt;&gt;""),D2973-C2973,"")</f>
        <v>0</v>
      </c>
      <c r="F2973" s="4" t="s">
        <v>3961</v>
      </c>
      <c r="G2973" s="4" t="s">
        <v>3962</v>
      </c>
      <c r="H2973" s="4" t="s">
        <v>32</v>
      </c>
      <c r="I2973" s="4" t="s">
        <v>33</v>
      </c>
      <c r="J2973" s="4">
        <v>0</v>
      </c>
      <c r="K2973" s="4">
        <v>0</v>
      </c>
      <c r="L2973" s="4">
        <f>J2973+K2973</f>
        <v>0</v>
      </c>
      <c r="M2973" s="4" t="s">
        <v>3630</v>
      </c>
      <c r="N2973" s="4"/>
      <c r="O2973" s="4">
        <v>1</v>
      </c>
      <c r="P2973" s="4" t="s">
        <v>135</v>
      </c>
      <c r="Q2973" s="4"/>
      <c r="R2973" s="7">
        <v>15000</v>
      </c>
      <c r="S2973" s="7">
        <v>0</v>
      </c>
      <c r="T2973" s="7">
        <f>R2973-S2973</f>
        <v>0</v>
      </c>
      <c r="U2973" s="7">
        <f>T2973*O2973</f>
        <v>0</v>
      </c>
    </row>
    <row r="2974" spans="1:21">
      <c r="A2974" s="4" t="s">
        <v>3960</v>
      </c>
      <c r="B2974" s="4" t="s">
        <v>39</v>
      </c>
      <c r="C2974" s="5">
        <v>45958.2937962963</v>
      </c>
      <c r="D2974" s="5">
        <v>45958</v>
      </c>
      <c r="E2974" s="6">
        <f>IF(AND(C2974&lt;&gt;"",D2974&lt;&gt;""),D2974-C2974,"")</f>
        <v>0</v>
      </c>
      <c r="F2974" s="4" t="s">
        <v>3961</v>
      </c>
      <c r="G2974" s="4" t="s">
        <v>3962</v>
      </c>
      <c r="H2974" s="4" t="s">
        <v>32</v>
      </c>
      <c r="I2974" s="4" t="s">
        <v>33</v>
      </c>
      <c r="J2974" s="4">
        <v>1</v>
      </c>
      <c r="K2974" s="4">
        <v>0</v>
      </c>
      <c r="L2974" s="4">
        <f>J2974+K2974</f>
        <v>0</v>
      </c>
      <c r="M2974" s="4" t="s">
        <v>80</v>
      </c>
      <c r="N2974" s="4"/>
      <c r="O2974" s="4">
        <v>1</v>
      </c>
      <c r="P2974" s="4" t="s">
        <v>135</v>
      </c>
      <c r="Q2974" s="4"/>
      <c r="R2974" s="7">
        <v>610000</v>
      </c>
      <c r="S2974" s="7">
        <v>0</v>
      </c>
      <c r="T2974" s="7">
        <f>R2974-S2974</f>
        <v>0</v>
      </c>
      <c r="U2974" s="7">
        <f>T2974*O2974</f>
        <v>0</v>
      </c>
    </row>
    <row r="2975" spans="1:21">
      <c r="A2975" s="4" t="s">
        <v>3960</v>
      </c>
      <c r="B2975" s="4" t="s">
        <v>39</v>
      </c>
      <c r="C2975" s="5">
        <v>45958.2937962963</v>
      </c>
      <c r="D2975" s="5">
        <v>45958</v>
      </c>
      <c r="E2975" s="6">
        <f>IF(AND(C2975&lt;&gt;"",D2975&lt;&gt;""),D2975-C2975,"")</f>
        <v>0</v>
      </c>
      <c r="F2975" s="4" t="s">
        <v>3961</v>
      </c>
      <c r="G2975" s="4" t="s">
        <v>3962</v>
      </c>
      <c r="H2975" s="4" t="s">
        <v>32</v>
      </c>
      <c r="I2975" s="4" t="s">
        <v>33</v>
      </c>
      <c r="J2975" s="4">
        <v>0</v>
      </c>
      <c r="K2975" s="4">
        <v>0</v>
      </c>
      <c r="L2975" s="4">
        <f>J2975+K2975</f>
        <v>0</v>
      </c>
      <c r="M2975" s="4" t="s">
        <v>3950</v>
      </c>
      <c r="N2975" s="4"/>
      <c r="O2975" s="4">
        <v>1</v>
      </c>
      <c r="P2975" s="4" t="s">
        <v>135</v>
      </c>
      <c r="Q2975" s="4"/>
      <c r="R2975" s="7">
        <v>45000</v>
      </c>
      <c r="S2975" s="7">
        <v>0</v>
      </c>
      <c r="T2975" s="7">
        <f>R2975-S2975</f>
        <v>0</v>
      </c>
      <c r="U2975" s="7">
        <f>T2975*O2975</f>
        <v>0</v>
      </c>
    </row>
    <row r="2976" spans="1:21">
      <c r="A2976" s="4" t="s">
        <v>3963</v>
      </c>
      <c r="B2976" s="4"/>
      <c r="C2976" s="5">
        <v>45958.29811342592</v>
      </c>
      <c r="D2976" s="5">
        <v>45961</v>
      </c>
      <c r="E2976" s="6">
        <f>IF(AND(C2976&lt;&gt;"",D2976&lt;&gt;""),D2976-C2976,"")</f>
        <v>0</v>
      </c>
      <c r="F2976" s="4" t="s">
        <v>201</v>
      </c>
      <c r="G2976" s="4" t="s">
        <v>202</v>
      </c>
      <c r="H2976" s="4" t="s">
        <v>32</v>
      </c>
      <c r="I2976" s="4" t="s">
        <v>33</v>
      </c>
      <c r="J2976" s="4">
        <v>0</v>
      </c>
      <c r="K2976" s="4">
        <v>0</v>
      </c>
      <c r="L2976" s="4">
        <f>J2976+K2976</f>
        <v>0</v>
      </c>
      <c r="M2976" s="4"/>
      <c r="N2976" s="4"/>
      <c r="O2976" s="4">
        <v>0</v>
      </c>
      <c r="P2976" s="4"/>
      <c r="Q2976" s="4"/>
      <c r="R2976" s="7">
        <v>0</v>
      </c>
      <c r="S2976" s="7">
        <v>0</v>
      </c>
      <c r="T2976" s="7">
        <f>R2976-S2976</f>
        <v>0</v>
      </c>
      <c r="U2976" s="7">
        <f>T2976*O2976</f>
        <v>0</v>
      </c>
    </row>
    <row r="2977" spans="1:21">
      <c r="A2977" s="4" t="s">
        <v>3964</v>
      </c>
      <c r="B2977" s="4" t="s">
        <v>39</v>
      </c>
      <c r="C2977" s="5">
        <v>45958.30137731481</v>
      </c>
      <c r="D2977" s="5">
        <v>45958</v>
      </c>
      <c r="E2977" s="6">
        <f>IF(AND(C2977&lt;&gt;"",D2977&lt;&gt;""),D2977-C2977,"")</f>
        <v>0</v>
      </c>
      <c r="F2977" s="4" t="s">
        <v>3965</v>
      </c>
      <c r="G2977" s="4" t="s">
        <v>3966</v>
      </c>
      <c r="H2977" s="4" t="s">
        <v>32</v>
      </c>
      <c r="I2977" s="4" t="s">
        <v>33</v>
      </c>
      <c r="J2977" s="4">
        <v>1</v>
      </c>
      <c r="K2977" s="4">
        <v>0</v>
      </c>
      <c r="L2977" s="4">
        <f>J2977+K2977</f>
        <v>0</v>
      </c>
      <c r="M2977" s="4" t="s">
        <v>80</v>
      </c>
      <c r="N2977" s="4"/>
      <c r="O2977" s="4">
        <v>1</v>
      </c>
      <c r="P2977" s="4" t="s">
        <v>135</v>
      </c>
      <c r="Q2977" s="4"/>
      <c r="R2977" s="7">
        <v>610000</v>
      </c>
      <c r="S2977" s="7">
        <v>0</v>
      </c>
      <c r="T2977" s="7">
        <f>R2977-S2977</f>
        <v>0</v>
      </c>
      <c r="U2977" s="7">
        <f>T2977*O2977</f>
        <v>0</v>
      </c>
    </row>
    <row r="2978" spans="1:21">
      <c r="A2978" s="4" t="s">
        <v>3964</v>
      </c>
      <c r="B2978" s="4" t="s">
        <v>39</v>
      </c>
      <c r="C2978" s="5">
        <v>45958.30137731481</v>
      </c>
      <c r="D2978" s="5">
        <v>45958</v>
      </c>
      <c r="E2978" s="6">
        <f>IF(AND(C2978&lt;&gt;"",D2978&lt;&gt;""),D2978-C2978,"")</f>
        <v>0</v>
      </c>
      <c r="F2978" s="4" t="s">
        <v>3965</v>
      </c>
      <c r="G2978" s="4" t="s">
        <v>3966</v>
      </c>
      <c r="H2978" s="4" t="s">
        <v>32</v>
      </c>
      <c r="I2978" s="4" t="s">
        <v>33</v>
      </c>
      <c r="J2978" s="4">
        <v>1</v>
      </c>
      <c r="K2978" s="4">
        <v>0</v>
      </c>
      <c r="L2978" s="4">
        <f>J2978+K2978</f>
        <v>0</v>
      </c>
      <c r="M2978" s="4" t="s">
        <v>80</v>
      </c>
      <c r="N2978" s="4"/>
      <c r="O2978" s="4">
        <v>1</v>
      </c>
      <c r="P2978" s="4" t="s">
        <v>135</v>
      </c>
      <c r="Q2978" s="4"/>
      <c r="R2978" s="7">
        <v>610000</v>
      </c>
      <c r="S2978" s="7">
        <v>0</v>
      </c>
      <c r="T2978" s="7">
        <f>R2978-S2978</f>
        <v>0</v>
      </c>
      <c r="U2978" s="7">
        <f>T2978*O2978</f>
        <v>0</v>
      </c>
    </row>
    <row r="2979" spans="1:21">
      <c r="A2979" s="4" t="s">
        <v>3964</v>
      </c>
      <c r="B2979" s="4" t="s">
        <v>39</v>
      </c>
      <c r="C2979" s="5">
        <v>45958.30137731481</v>
      </c>
      <c r="D2979" s="5">
        <v>45958</v>
      </c>
      <c r="E2979" s="6">
        <f>IF(AND(C2979&lt;&gt;"",D2979&lt;&gt;""),D2979-C2979,"")</f>
        <v>0</v>
      </c>
      <c r="F2979" s="4" t="s">
        <v>3965</v>
      </c>
      <c r="G2979" s="4" t="s">
        <v>3966</v>
      </c>
      <c r="H2979" s="4" t="s">
        <v>32</v>
      </c>
      <c r="I2979" s="4" t="s">
        <v>33</v>
      </c>
      <c r="J2979" s="4">
        <v>1</v>
      </c>
      <c r="K2979" s="4">
        <v>0</v>
      </c>
      <c r="L2979" s="4">
        <f>J2979+K2979</f>
        <v>0</v>
      </c>
      <c r="M2979" s="4" t="s">
        <v>80</v>
      </c>
      <c r="N2979" s="4"/>
      <c r="O2979" s="4">
        <v>1</v>
      </c>
      <c r="P2979" s="4" t="s">
        <v>135</v>
      </c>
      <c r="Q2979" s="4"/>
      <c r="R2979" s="7">
        <v>610000</v>
      </c>
      <c r="S2979" s="7">
        <v>0</v>
      </c>
      <c r="T2979" s="7">
        <f>R2979-S2979</f>
        <v>0</v>
      </c>
      <c r="U2979" s="7">
        <f>T2979*O2979</f>
        <v>0</v>
      </c>
    </row>
    <row r="2980" spans="1:21">
      <c r="A2980" s="4" t="s">
        <v>3964</v>
      </c>
      <c r="B2980" s="4" t="s">
        <v>39</v>
      </c>
      <c r="C2980" s="5">
        <v>45958.30137731481</v>
      </c>
      <c r="D2980" s="5">
        <v>45958</v>
      </c>
      <c r="E2980" s="6">
        <f>IF(AND(C2980&lt;&gt;"",D2980&lt;&gt;""),D2980-C2980,"")</f>
        <v>0</v>
      </c>
      <c r="F2980" s="4" t="s">
        <v>3965</v>
      </c>
      <c r="G2980" s="4" t="s">
        <v>3966</v>
      </c>
      <c r="H2980" s="4" t="s">
        <v>32</v>
      </c>
      <c r="I2980" s="4" t="s">
        <v>33</v>
      </c>
      <c r="J2980" s="4">
        <v>1</v>
      </c>
      <c r="K2980" s="4">
        <v>0</v>
      </c>
      <c r="L2980" s="4">
        <f>J2980+K2980</f>
        <v>0</v>
      </c>
      <c r="M2980" s="4" t="s">
        <v>80</v>
      </c>
      <c r="N2980" s="4"/>
      <c r="O2980" s="4">
        <v>1</v>
      </c>
      <c r="P2980" s="4" t="s">
        <v>135</v>
      </c>
      <c r="Q2980" s="4"/>
      <c r="R2980" s="7">
        <v>610000</v>
      </c>
      <c r="S2980" s="7">
        <v>0</v>
      </c>
      <c r="T2980" s="7">
        <f>R2980-S2980</f>
        <v>0</v>
      </c>
      <c r="U2980" s="7">
        <f>T2980*O2980</f>
        <v>0</v>
      </c>
    </row>
    <row r="2981" spans="1:21">
      <c r="A2981" s="4" t="s">
        <v>3964</v>
      </c>
      <c r="B2981" s="4" t="s">
        <v>39</v>
      </c>
      <c r="C2981" s="5">
        <v>45958.30137731481</v>
      </c>
      <c r="D2981" s="5">
        <v>45958</v>
      </c>
      <c r="E2981" s="6">
        <f>IF(AND(C2981&lt;&gt;"",D2981&lt;&gt;""),D2981-C2981,"")</f>
        <v>0</v>
      </c>
      <c r="F2981" s="4" t="s">
        <v>3965</v>
      </c>
      <c r="G2981" s="4" t="s">
        <v>3966</v>
      </c>
      <c r="H2981" s="4" t="s">
        <v>32</v>
      </c>
      <c r="I2981" s="4" t="s">
        <v>33</v>
      </c>
      <c r="J2981" s="4">
        <v>1</v>
      </c>
      <c r="K2981" s="4">
        <v>0</v>
      </c>
      <c r="L2981" s="4">
        <f>J2981+K2981</f>
        <v>0</v>
      </c>
      <c r="M2981" s="4" t="s">
        <v>80</v>
      </c>
      <c r="N2981" s="4"/>
      <c r="O2981" s="4">
        <v>1</v>
      </c>
      <c r="P2981" s="4" t="s">
        <v>135</v>
      </c>
      <c r="Q2981" s="4"/>
      <c r="R2981" s="7">
        <v>610000</v>
      </c>
      <c r="S2981" s="7">
        <v>0</v>
      </c>
      <c r="T2981" s="7">
        <f>R2981-S2981</f>
        <v>0</v>
      </c>
      <c r="U2981" s="7">
        <f>T2981*O2981</f>
        <v>0</v>
      </c>
    </row>
    <row r="2982" spans="1:21">
      <c r="A2982" s="4" t="s">
        <v>3964</v>
      </c>
      <c r="B2982" s="4" t="s">
        <v>39</v>
      </c>
      <c r="C2982" s="5">
        <v>45958.30137731481</v>
      </c>
      <c r="D2982" s="5">
        <v>45958</v>
      </c>
      <c r="E2982" s="6">
        <f>IF(AND(C2982&lt;&gt;"",D2982&lt;&gt;""),D2982-C2982,"")</f>
        <v>0</v>
      </c>
      <c r="F2982" s="4" t="s">
        <v>3965</v>
      </c>
      <c r="G2982" s="4" t="s">
        <v>3966</v>
      </c>
      <c r="H2982" s="4" t="s">
        <v>32</v>
      </c>
      <c r="I2982" s="4" t="s">
        <v>33</v>
      </c>
      <c r="J2982" s="4">
        <v>1</v>
      </c>
      <c r="K2982" s="4">
        <v>0</v>
      </c>
      <c r="L2982" s="4">
        <f>J2982+K2982</f>
        <v>0</v>
      </c>
      <c r="M2982" s="4" t="s">
        <v>80</v>
      </c>
      <c r="N2982" s="4"/>
      <c r="O2982" s="4">
        <v>1</v>
      </c>
      <c r="P2982" s="4" t="s">
        <v>135</v>
      </c>
      <c r="Q2982" s="4"/>
      <c r="R2982" s="7">
        <v>610000</v>
      </c>
      <c r="S2982" s="7">
        <v>0</v>
      </c>
      <c r="T2982" s="7">
        <f>R2982-S2982</f>
        <v>0</v>
      </c>
      <c r="U2982" s="7">
        <f>T2982*O2982</f>
        <v>0</v>
      </c>
    </row>
    <row r="2983" spans="1:21">
      <c r="A2983" s="4" t="s">
        <v>3967</v>
      </c>
      <c r="B2983" s="4" t="s">
        <v>39</v>
      </c>
      <c r="C2983" s="5">
        <v>45958.31574074074</v>
      </c>
      <c r="D2983" s="5">
        <v>45958</v>
      </c>
      <c r="E2983" s="6">
        <f>IF(AND(C2983&lt;&gt;"",D2983&lt;&gt;""),D2983-C2983,"")</f>
        <v>0</v>
      </c>
      <c r="F2983" s="4" t="s">
        <v>3968</v>
      </c>
      <c r="G2983" s="4" t="s">
        <v>3969</v>
      </c>
      <c r="H2983" s="4" t="s">
        <v>32</v>
      </c>
      <c r="I2983" s="4" t="s">
        <v>33</v>
      </c>
      <c r="J2983" s="4">
        <v>1</v>
      </c>
      <c r="K2983" s="4">
        <v>0</v>
      </c>
      <c r="L2983" s="4">
        <f>J2983+K2983</f>
        <v>0</v>
      </c>
      <c r="M2983" s="4" t="s">
        <v>80</v>
      </c>
      <c r="N2983" s="4"/>
      <c r="O2983" s="4">
        <v>1</v>
      </c>
      <c r="P2983" s="4" t="s">
        <v>135</v>
      </c>
      <c r="Q2983" s="4"/>
      <c r="R2983" s="7">
        <v>610000</v>
      </c>
      <c r="S2983" s="7">
        <v>0</v>
      </c>
      <c r="T2983" s="7">
        <f>R2983-S2983</f>
        <v>0</v>
      </c>
      <c r="U2983" s="7">
        <f>T2983*O2983</f>
        <v>0</v>
      </c>
    </row>
    <row r="2984" spans="1:21">
      <c r="A2984" s="4" t="s">
        <v>3967</v>
      </c>
      <c r="B2984" s="4" t="s">
        <v>39</v>
      </c>
      <c r="C2984" s="5">
        <v>45958.31574074074</v>
      </c>
      <c r="D2984" s="5">
        <v>45958</v>
      </c>
      <c r="E2984" s="6">
        <f>IF(AND(C2984&lt;&gt;"",D2984&lt;&gt;""),D2984-C2984,"")</f>
        <v>0</v>
      </c>
      <c r="F2984" s="4" t="s">
        <v>3968</v>
      </c>
      <c r="G2984" s="4" t="s">
        <v>3969</v>
      </c>
      <c r="H2984" s="4" t="s">
        <v>32</v>
      </c>
      <c r="I2984" s="4" t="s">
        <v>33</v>
      </c>
      <c r="J2984" s="4">
        <v>1</v>
      </c>
      <c r="K2984" s="4">
        <v>0</v>
      </c>
      <c r="L2984" s="4">
        <f>J2984+K2984</f>
        <v>0</v>
      </c>
      <c r="M2984" s="4" t="s">
        <v>80</v>
      </c>
      <c r="N2984" s="4"/>
      <c r="O2984" s="4">
        <v>1</v>
      </c>
      <c r="P2984" s="4" t="s">
        <v>135</v>
      </c>
      <c r="Q2984" s="4"/>
      <c r="R2984" s="7">
        <v>610000</v>
      </c>
      <c r="S2984" s="7">
        <v>0</v>
      </c>
      <c r="T2984" s="7">
        <f>R2984-S2984</f>
        <v>0</v>
      </c>
      <c r="U2984" s="7">
        <f>T2984*O2984</f>
        <v>0</v>
      </c>
    </row>
    <row r="2985" spans="1:21">
      <c r="A2985" s="4" t="s">
        <v>3967</v>
      </c>
      <c r="B2985" s="4" t="s">
        <v>39</v>
      </c>
      <c r="C2985" s="5">
        <v>45958.31574074074</v>
      </c>
      <c r="D2985" s="5">
        <v>45958</v>
      </c>
      <c r="E2985" s="6">
        <f>IF(AND(C2985&lt;&gt;"",D2985&lt;&gt;""),D2985-C2985,"")</f>
        <v>0</v>
      </c>
      <c r="F2985" s="4" t="s">
        <v>3968</v>
      </c>
      <c r="G2985" s="4" t="s">
        <v>3969</v>
      </c>
      <c r="H2985" s="4" t="s">
        <v>32</v>
      </c>
      <c r="I2985" s="4" t="s">
        <v>33</v>
      </c>
      <c r="J2985" s="4">
        <v>0</v>
      </c>
      <c r="K2985" s="4">
        <v>0</v>
      </c>
      <c r="L2985" s="4">
        <f>J2985+K2985</f>
        <v>0</v>
      </c>
      <c r="M2985" s="4" t="s">
        <v>370</v>
      </c>
      <c r="N2985" s="4"/>
      <c r="O2985" s="4">
        <v>1</v>
      </c>
      <c r="P2985" s="4" t="s">
        <v>135</v>
      </c>
      <c r="Q2985" s="4"/>
      <c r="R2985" s="7">
        <v>4000000</v>
      </c>
      <c r="S2985" s="7">
        <v>0</v>
      </c>
      <c r="T2985" s="7">
        <f>R2985-S2985</f>
        <v>0</v>
      </c>
      <c r="U2985" s="7">
        <f>T2985*O2985</f>
        <v>0</v>
      </c>
    </row>
    <row r="2986" spans="1:21">
      <c r="A2986" s="4" t="s">
        <v>3967</v>
      </c>
      <c r="B2986" s="4" t="s">
        <v>39</v>
      </c>
      <c r="C2986" s="5">
        <v>45958.31574074074</v>
      </c>
      <c r="D2986" s="5">
        <v>45958</v>
      </c>
      <c r="E2986" s="6">
        <f>IF(AND(C2986&lt;&gt;"",D2986&lt;&gt;""),D2986-C2986,"")</f>
        <v>0</v>
      </c>
      <c r="F2986" s="4" t="s">
        <v>3968</v>
      </c>
      <c r="G2986" s="4" t="s">
        <v>3969</v>
      </c>
      <c r="H2986" s="4" t="s">
        <v>32</v>
      </c>
      <c r="I2986" s="4" t="s">
        <v>33</v>
      </c>
      <c r="J2986" s="4">
        <v>1</v>
      </c>
      <c r="K2986" s="4">
        <v>0</v>
      </c>
      <c r="L2986" s="4">
        <f>J2986+K2986</f>
        <v>0</v>
      </c>
      <c r="M2986" s="4" t="s">
        <v>80</v>
      </c>
      <c r="N2986" s="4"/>
      <c r="O2986" s="4">
        <v>1</v>
      </c>
      <c r="P2986" s="4" t="s">
        <v>135</v>
      </c>
      <c r="Q2986" s="4"/>
      <c r="R2986" s="7">
        <v>610000</v>
      </c>
      <c r="S2986" s="7">
        <v>0</v>
      </c>
      <c r="T2986" s="7">
        <f>R2986-S2986</f>
        <v>0</v>
      </c>
      <c r="U2986" s="7">
        <f>T2986*O2986</f>
        <v>0</v>
      </c>
    </row>
    <row r="2987" spans="1:21">
      <c r="A2987" s="4" t="s">
        <v>3970</v>
      </c>
      <c r="B2987" s="4" t="s">
        <v>39</v>
      </c>
      <c r="C2987" s="5">
        <v>45958.31946759259</v>
      </c>
      <c r="D2987" s="5">
        <v>45958</v>
      </c>
      <c r="E2987" s="6">
        <f>IF(AND(C2987&lt;&gt;"",D2987&lt;&gt;""),D2987-C2987,"")</f>
        <v>0</v>
      </c>
      <c r="F2987" s="4" t="s">
        <v>3971</v>
      </c>
      <c r="G2987" s="4" t="s">
        <v>3972</v>
      </c>
      <c r="H2987" s="4" t="s">
        <v>3973</v>
      </c>
      <c r="I2987" s="4" t="s">
        <v>56</v>
      </c>
      <c r="J2987" s="4">
        <v>0</v>
      </c>
      <c r="K2987" s="4">
        <v>0</v>
      </c>
      <c r="L2987" s="4">
        <f>J2987+K2987</f>
        <v>0</v>
      </c>
      <c r="M2987" s="4" t="s">
        <v>370</v>
      </c>
      <c r="N2987" s="4"/>
      <c r="O2987" s="4">
        <v>1</v>
      </c>
      <c r="P2987" s="4" t="s">
        <v>135</v>
      </c>
      <c r="Q2987" s="4" t="s">
        <v>44</v>
      </c>
      <c r="R2987" s="7">
        <v>1000000</v>
      </c>
      <c r="S2987" s="7">
        <v>0</v>
      </c>
      <c r="T2987" s="7">
        <f>R2987-S2987</f>
        <v>0</v>
      </c>
      <c r="U2987" s="7">
        <f>T2987*O2987</f>
        <v>0</v>
      </c>
    </row>
    <row r="2988" spans="1:21">
      <c r="A2988" s="4" t="s">
        <v>3974</v>
      </c>
      <c r="B2988" s="4" t="s">
        <v>39</v>
      </c>
      <c r="C2988" s="5">
        <v>45958.32061342592</v>
      </c>
      <c r="D2988" s="5">
        <v>45958</v>
      </c>
      <c r="E2988" s="6">
        <f>IF(AND(C2988&lt;&gt;"",D2988&lt;&gt;""),D2988-C2988,"")</f>
        <v>0</v>
      </c>
      <c r="F2988" s="4" t="s">
        <v>3975</v>
      </c>
      <c r="G2988" s="4" t="s">
        <v>3976</v>
      </c>
      <c r="H2988" s="4" t="s">
        <v>1262</v>
      </c>
      <c r="I2988" s="4" t="s">
        <v>56</v>
      </c>
      <c r="J2988" s="4">
        <v>0</v>
      </c>
      <c r="K2988" s="4">
        <v>0</v>
      </c>
      <c r="L2988" s="4">
        <f>J2988+K2988</f>
        <v>0</v>
      </c>
      <c r="M2988" s="4" t="s">
        <v>370</v>
      </c>
      <c r="N2988" s="4"/>
      <c r="O2988" s="4">
        <v>1</v>
      </c>
      <c r="P2988" s="4" t="s">
        <v>135</v>
      </c>
      <c r="Q2988" s="4" t="s">
        <v>44</v>
      </c>
      <c r="R2988" s="7">
        <v>500000</v>
      </c>
      <c r="S2988" s="7">
        <v>0</v>
      </c>
      <c r="T2988" s="7">
        <f>R2988-S2988</f>
        <v>0</v>
      </c>
      <c r="U2988" s="7">
        <f>T2988*O2988</f>
        <v>0</v>
      </c>
    </row>
    <row r="2989" spans="1:21">
      <c r="A2989" s="4" t="s">
        <v>3977</v>
      </c>
      <c r="B2989" s="4" t="s">
        <v>39</v>
      </c>
      <c r="C2989" s="5">
        <v>45958.32109953704</v>
      </c>
      <c r="D2989" s="5">
        <v>45958</v>
      </c>
      <c r="E2989" s="6">
        <f>IF(AND(C2989&lt;&gt;"",D2989&lt;&gt;""),D2989-C2989,"")</f>
        <v>0</v>
      </c>
      <c r="F2989" s="4" t="s">
        <v>3978</v>
      </c>
      <c r="G2989" s="4" t="s">
        <v>3979</v>
      </c>
      <c r="H2989" s="4" t="s">
        <v>32</v>
      </c>
      <c r="I2989" s="4" t="s">
        <v>33</v>
      </c>
      <c r="J2989" s="4">
        <v>0</v>
      </c>
      <c r="K2989" s="4">
        <v>0</v>
      </c>
      <c r="L2989" s="4">
        <f>J2989+K2989</f>
        <v>0</v>
      </c>
      <c r="M2989" s="4" t="s">
        <v>370</v>
      </c>
      <c r="N2989" s="4"/>
      <c r="O2989" s="4">
        <v>1</v>
      </c>
      <c r="P2989" s="4" t="s">
        <v>135</v>
      </c>
      <c r="Q2989" s="4" t="s">
        <v>44</v>
      </c>
      <c r="R2989" s="7">
        <v>1000000</v>
      </c>
      <c r="S2989" s="7">
        <v>0</v>
      </c>
      <c r="T2989" s="7">
        <f>R2989-S2989</f>
        <v>0</v>
      </c>
      <c r="U2989" s="7">
        <f>T2989*O2989</f>
        <v>0</v>
      </c>
    </row>
    <row r="2990" spans="1:21">
      <c r="A2990" s="4" t="s">
        <v>3980</v>
      </c>
      <c r="B2990" s="4" t="s">
        <v>39</v>
      </c>
      <c r="C2990" s="5">
        <v>45958.3324537037</v>
      </c>
      <c r="D2990" s="5">
        <v>45958</v>
      </c>
      <c r="E2990" s="6">
        <f>IF(AND(C2990&lt;&gt;"",D2990&lt;&gt;""),D2990-C2990,"")</f>
        <v>0</v>
      </c>
      <c r="F2990" s="4" t="s">
        <v>3981</v>
      </c>
      <c r="G2990" s="4" t="s">
        <v>3982</v>
      </c>
      <c r="H2990" s="4" t="s">
        <v>32</v>
      </c>
      <c r="I2990" s="4" t="s">
        <v>33</v>
      </c>
      <c r="J2990" s="4">
        <v>1</v>
      </c>
      <c r="K2990" s="4">
        <v>0</v>
      </c>
      <c r="L2990" s="4">
        <f>J2990+K2990</f>
        <v>0</v>
      </c>
      <c r="M2990" s="4" t="s">
        <v>80</v>
      </c>
      <c r="N2990" s="4"/>
      <c r="O2990" s="4">
        <v>1</v>
      </c>
      <c r="P2990" s="4" t="s">
        <v>135</v>
      </c>
      <c r="Q2990" s="4"/>
      <c r="R2990" s="7">
        <v>610000</v>
      </c>
      <c r="S2990" s="7">
        <v>0</v>
      </c>
      <c r="T2990" s="7">
        <f>R2990-S2990</f>
        <v>0</v>
      </c>
      <c r="U2990" s="7">
        <f>T2990*O2990</f>
        <v>0</v>
      </c>
    </row>
    <row r="2991" spans="1:21">
      <c r="A2991" s="4" t="s">
        <v>3983</v>
      </c>
      <c r="B2991" s="4" t="s">
        <v>39</v>
      </c>
      <c r="C2991" s="5">
        <v>45958.34527777778</v>
      </c>
      <c r="D2991" s="5">
        <v>45958</v>
      </c>
      <c r="E2991" s="6">
        <f>IF(AND(C2991&lt;&gt;"",D2991&lt;&gt;""),D2991-C2991,"")</f>
        <v>0</v>
      </c>
      <c r="F2991" s="4" t="s">
        <v>3984</v>
      </c>
      <c r="G2991" s="4" t="s">
        <v>3985</v>
      </c>
      <c r="H2991" s="4" t="s">
        <v>32</v>
      </c>
      <c r="I2991" s="4" t="s">
        <v>33</v>
      </c>
      <c r="J2991" s="4">
        <v>1</v>
      </c>
      <c r="K2991" s="4">
        <v>0</v>
      </c>
      <c r="L2991" s="4">
        <f>J2991+K2991</f>
        <v>0</v>
      </c>
      <c r="M2991" s="4" t="s">
        <v>80</v>
      </c>
      <c r="N2991" s="4"/>
      <c r="O2991" s="4">
        <v>1</v>
      </c>
      <c r="P2991" s="4" t="s">
        <v>135</v>
      </c>
      <c r="Q2991" s="4"/>
      <c r="R2991" s="7">
        <v>610000</v>
      </c>
      <c r="S2991" s="7">
        <v>0</v>
      </c>
      <c r="T2991" s="7">
        <f>R2991-S2991</f>
        <v>0</v>
      </c>
      <c r="U2991" s="7">
        <f>T2991*O2991</f>
        <v>0</v>
      </c>
    </row>
    <row r="2992" spans="1:21">
      <c r="A2992" s="4" t="s">
        <v>3983</v>
      </c>
      <c r="B2992" s="4" t="s">
        <v>39</v>
      </c>
      <c r="C2992" s="5">
        <v>45958.34527777778</v>
      </c>
      <c r="D2992" s="5">
        <v>45958</v>
      </c>
      <c r="E2992" s="6">
        <f>IF(AND(C2992&lt;&gt;"",D2992&lt;&gt;""),D2992-C2992,"")</f>
        <v>0</v>
      </c>
      <c r="F2992" s="4" t="s">
        <v>3984</v>
      </c>
      <c r="G2992" s="4" t="s">
        <v>3985</v>
      </c>
      <c r="H2992" s="4" t="s">
        <v>32</v>
      </c>
      <c r="I2992" s="4" t="s">
        <v>33</v>
      </c>
      <c r="J2992" s="4">
        <v>1</v>
      </c>
      <c r="K2992" s="4">
        <v>0</v>
      </c>
      <c r="L2992" s="4">
        <f>J2992+K2992</f>
        <v>0</v>
      </c>
      <c r="M2992" s="4" t="s">
        <v>80</v>
      </c>
      <c r="N2992" s="4"/>
      <c r="O2992" s="4">
        <v>1</v>
      </c>
      <c r="P2992" s="4" t="s">
        <v>135</v>
      </c>
      <c r="Q2992" s="4"/>
      <c r="R2992" s="7">
        <v>610000</v>
      </c>
      <c r="S2992" s="7">
        <v>0</v>
      </c>
      <c r="T2992" s="7">
        <f>R2992-S2992</f>
        <v>0</v>
      </c>
      <c r="U2992" s="7">
        <f>T2992*O2992</f>
        <v>0</v>
      </c>
    </row>
    <row r="2993" spans="1:21">
      <c r="A2993" s="4" t="s">
        <v>3983</v>
      </c>
      <c r="B2993" s="4" t="s">
        <v>39</v>
      </c>
      <c r="C2993" s="5">
        <v>45958.34527777778</v>
      </c>
      <c r="D2993" s="5">
        <v>45958</v>
      </c>
      <c r="E2993" s="6">
        <f>IF(AND(C2993&lt;&gt;"",D2993&lt;&gt;""),D2993-C2993,"")</f>
        <v>0</v>
      </c>
      <c r="F2993" s="4" t="s">
        <v>3984</v>
      </c>
      <c r="G2993" s="4" t="s">
        <v>3985</v>
      </c>
      <c r="H2993" s="4" t="s">
        <v>32</v>
      </c>
      <c r="I2993" s="4" t="s">
        <v>33</v>
      </c>
      <c r="J2993" s="4">
        <v>0</v>
      </c>
      <c r="K2993" s="4">
        <v>0</v>
      </c>
      <c r="L2993" s="4">
        <f>J2993+K2993</f>
        <v>0</v>
      </c>
      <c r="M2993" s="4" t="s">
        <v>370</v>
      </c>
      <c r="N2993" s="4"/>
      <c r="O2993" s="4">
        <v>1</v>
      </c>
      <c r="P2993" s="4" t="s">
        <v>135</v>
      </c>
      <c r="Q2993" s="4"/>
      <c r="R2993" s="7">
        <v>4000000</v>
      </c>
      <c r="S2993" s="7">
        <v>0</v>
      </c>
      <c r="T2993" s="7">
        <f>R2993-S2993</f>
        <v>0</v>
      </c>
      <c r="U2993" s="7">
        <f>T2993*O2993</f>
        <v>0</v>
      </c>
    </row>
    <row r="2994" spans="1:21">
      <c r="A2994" s="4" t="s">
        <v>3986</v>
      </c>
      <c r="B2994" s="4" t="s">
        <v>29</v>
      </c>
      <c r="C2994" s="5">
        <v>45958.35775462963</v>
      </c>
      <c r="D2994" s="5">
        <v>45961</v>
      </c>
      <c r="E2994" s="6">
        <f>IF(AND(C2994&lt;&gt;"",D2994&lt;&gt;""),D2994-C2994,"")</f>
        <v>0</v>
      </c>
      <c r="F2994" s="4" t="s">
        <v>299</v>
      </c>
      <c r="G2994" s="4" t="s">
        <v>300</v>
      </c>
      <c r="H2994" s="4"/>
      <c r="I2994" s="4" t="s">
        <v>56</v>
      </c>
      <c r="J2994" s="4">
        <v>1</v>
      </c>
      <c r="K2994" s="4">
        <v>1</v>
      </c>
      <c r="L2994" s="4">
        <f>J2994+K2994</f>
        <v>0</v>
      </c>
      <c r="M2994" s="4"/>
      <c r="N2994" s="4"/>
      <c r="O2994" s="4">
        <v>0</v>
      </c>
      <c r="P2994" s="4"/>
      <c r="Q2994" s="4"/>
      <c r="R2994" s="7">
        <v>0</v>
      </c>
      <c r="S2994" s="7">
        <v>0</v>
      </c>
      <c r="T2994" s="7">
        <f>R2994-S2994</f>
        <v>0</v>
      </c>
      <c r="U2994" s="7">
        <f>T2994*O2994</f>
        <v>0</v>
      </c>
    </row>
    <row r="2995" spans="1:21">
      <c r="A2995" s="4" t="s">
        <v>3987</v>
      </c>
      <c r="B2995" s="4" t="s">
        <v>39</v>
      </c>
      <c r="C2995" s="5">
        <v>45958.36002314815</v>
      </c>
      <c r="D2995" s="5">
        <v>45958</v>
      </c>
      <c r="E2995" s="6">
        <f>IF(AND(C2995&lt;&gt;"",D2995&lt;&gt;""),D2995-C2995,"")</f>
        <v>0</v>
      </c>
      <c r="F2995" s="4" t="s">
        <v>3988</v>
      </c>
      <c r="G2995" s="4" t="s">
        <v>3989</v>
      </c>
      <c r="H2995" s="4" t="s">
        <v>32</v>
      </c>
      <c r="I2995" s="4" t="s">
        <v>33</v>
      </c>
      <c r="J2995" s="4">
        <v>1</v>
      </c>
      <c r="K2995" s="4">
        <v>0</v>
      </c>
      <c r="L2995" s="4">
        <f>J2995+K2995</f>
        <v>0</v>
      </c>
      <c r="M2995" s="4" t="s">
        <v>80</v>
      </c>
      <c r="N2995" s="4"/>
      <c r="O2995" s="4">
        <v>1</v>
      </c>
      <c r="P2995" s="4" t="s">
        <v>135</v>
      </c>
      <c r="Q2995" s="4"/>
      <c r="R2995" s="7">
        <v>610000</v>
      </c>
      <c r="S2995" s="7">
        <v>0</v>
      </c>
      <c r="T2995" s="7">
        <f>R2995-S2995</f>
        <v>0</v>
      </c>
      <c r="U2995" s="7">
        <f>T2995*O2995</f>
        <v>0</v>
      </c>
    </row>
    <row r="2996" spans="1:21">
      <c r="A2996" s="4" t="s">
        <v>3987</v>
      </c>
      <c r="B2996" s="4" t="s">
        <v>39</v>
      </c>
      <c r="C2996" s="5">
        <v>45958.36002314815</v>
      </c>
      <c r="D2996" s="5">
        <v>45958</v>
      </c>
      <c r="E2996" s="6">
        <f>IF(AND(C2996&lt;&gt;"",D2996&lt;&gt;""),D2996-C2996,"")</f>
        <v>0</v>
      </c>
      <c r="F2996" s="4" t="s">
        <v>3988</v>
      </c>
      <c r="G2996" s="4" t="s">
        <v>3989</v>
      </c>
      <c r="H2996" s="4" t="s">
        <v>32</v>
      </c>
      <c r="I2996" s="4" t="s">
        <v>33</v>
      </c>
      <c r="J2996" s="4">
        <v>1</v>
      </c>
      <c r="K2996" s="4">
        <v>0</v>
      </c>
      <c r="L2996" s="4">
        <f>J2996+K2996</f>
        <v>0</v>
      </c>
      <c r="M2996" s="4" t="s">
        <v>80</v>
      </c>
      <c r="N2996" s="4"/>
      <c r="O2996" s="4">
        <v>1</v>
      </c>
      <c r="P2996" s="4" t="s">
        <v>135</v>
      </c>
      <c r="Q2996" s="4"/>
      <c r="R2996" s="7">
        <v>610000</v>
      </c>
      <c r="S2996" s="7">
        <v>0</v>
      </c>
      <c r="T2996" s="7">
        <f>R2996-S2996</f>
        <v>0</v>
      </c>
      <c r="U2996" s="7">
        <f>T2996*O2996</f>
        <v>0</v>
      </c>
    </row>
    <row r="2997" spans="1:21">
      <c r="A2997" s="4" t="s">
        <v>3990</v>
      </c>
      <c r="B2997" s="4"/>
      <c r="C2997" s="5">
        <v>45958.36069444445</v>
      </c>
      <c r="D2997" s="5">
        <v>45961</v>
      </c>
      <c r="E2997" s="6">
        <f>IF(AND(C2997&lt;&gt;"",D2997&lt;&gt;""),D2997-C2997,"")</f>
        <v>0</v>
      </c>
      <c r="F2997" s="4" t="s">
        <v>162</v>
      </c>
      <c r="G2997" s="4" t="s">
        <v>163</v>
      </c>
      <c r="H2997" s="4" t="s">
        <v>32</v>
      </c>
      <c r="I2997" s="4" t="s">
        <v>33</v>
      </c>
      <c r="J2997" s="4">
        <v>3</v>
      </c>
      <c r="K2997" s="4">
        <v>2</v>
      </c>
      <c r="L2997" s="4">
        <f>J2997+K2997</f>
        <v>0</v>
      </c>
      <c r="M2997" s="4"/>
      <c r="N2997" s="4"/>
      <c r="O2997" s="4">
        <v>0</v>
      </c>
      <c r="P2997" s="4"/>
      <c r="Q2997" s="4"/>
      <c r="R2997" s="7">
        <v>0</v>
      </c>
      <c r="S2997" s="7">
        <v>0</v>
      </c>
      <c r="T2997" s="7">
        <f>R2997-S2997</f>
        <v>0</v>
      </c>
      <c r="U2997" s="7">
        <f>T2997*O2997</f>
        <v>0</v>
      </c>
    </row>
    <row r="2998" spans="1:21">
      <c r="A2998" s="4" t="s">
        <v>3991</v>
      </c>
      <c r="B2998" s="4" t="s">
        <v>39</v>
      </c>
      <c r="C2998" s="5">
        <v>45958.36091435186</v>
      </c>
      <c r="D2998" s="5">
        <v>45958</v>
      </c>
      <c r="E2998" s="6">
        <f>IF(AND(C2998&lt;&gt;"",D2998&lt;&gt;""),D2998-C2998,"")</f>
        <v>0</v>
      </c>
      <c r="F2998" s="4" t="s">
        <v>3992</v>
      </c>
      <c r="G2998" s="4" t="s">
        <v>3993</v>
      </c>
      <c r="H2998" s="4" t="s">
        <v>32</v>
      </c>
      <c r="I2998" s="4" t="s">
        <v>33</v>
      </c>
      <c r="J2998" s="4">
        <v>1</v>
      </c>
      <c r="K2998" s="4">
        <v>0</v>
      </c>
      <c r="L2998" s="4">
        <f>J2998+K2998</f>
        <v>0</v>
      </c>
      <c r="M2998" s="4" t="s">
        <v>80</v>
      </c>
      <c r="N2998" s="4"/>
      <c r="O2998" s="4">
        <v>1</v>
      </c>
      <c r="P2998" s="4" t="s">
        <v>135</v>
      </c>
      <c r="Q2998" s="4"/>
      <c r="R2998" s="7">
        <v>610000</v>
      </c>
      <c r="S2998" s="7">
        <v>0</v>
      </c>
      <c r="T2998" s="7">
        <f>R2998-S2998</f>
        <v>0</v>
      </c>
      <c r="U2998" s="7">
        <f>T2998*O2998</f>
        <v>0</v>
      </c>
    </row>
    <row r="2999" spans="1:21">
      <c r="A2999" s="4" t="s">
        <v>3991</v>
      </c>
      <c r="B2999" s="4" t="s">
        <v>39</v>
      </c>
      <c r="C2999" s="5">
        <v>45958.36091435186</v>
      </c>
      <c r="D2999" s="5">
        <v>45958</v>
      </c>
      <c r="E2999" s="6">
        <f>IF(AND(C2999&lt;&gt;"",D2999&lt;&gt;""),D2999-C2999,"")</f>
        <v>0</v>
      </c>
      <c r="F2999" s="4" t="s">
        <v>3992</v>
      </c>
      <c r="G2999" s="4" t="s">
        <v>3993</v>
      </c>
      <c r="H2999" s="4" t="s">
        <v>32</v>
      </c>
      <c r="I2999" s="4" t="s">
        <v>33</v>
      </c>
      <c r="J2999" s="4">
        <v>1</v>
      </c>
      <c r="K2999" s="4">
        <v>0</v>
      </c>
      <c r="L2999" s="4">
        <f>J2999+K2999</f>
        <v>0</v>
      </c>
      <c r="M2999" s="4" t="s">
        <v>80</v>
      </c>
      <c r="N2999" s="4"/>
      <c r="O2999" s="4">
        <v>1</v>
      </c>
      <c r="P2999" s="4" t="s">
        <v>135</v>
      </c>
      <c r="Q2999" s="4"/>
      <c r="R2999" s="7">
        <v>610000</v>
      </c>
      <c r="S2999" s="7">
        <v>0</v>
      </c>
      <c r="T2999" s="7">
        <f>R2999-S2999</f>
        <v>0</v>
      </c>
      <c r="U2999" s="7">
        <f>T2999*O2999</f>
        <v>0</v>
      </c>
    </row>
    <row r="3000" spans="1:21">
      <c r="A3000" s="4" t="s">
        <v>3991</v>
      </c>
      <c r="B3000" s="4" t="s">
        <v>39</v>
      </c>
      <c r="C3000" s="5">
        <v>45958.36091435186</v>
      </c>
      <c r="D3000" s="5">
        <v>45958</v>
      </c>
      <c r="E3000" s="6">
        <f>IF(AND(C3000&lt;&gt;"",D3000&lt;&gt;""),D3000-C3000,"")</f>
        <v>0</v>
      </c>
      <c r="F3000" s="4" t="s">
        <v>3992</v>
      </c>
      <c r="G3000" s="4" t="s">
        <v>3993</v>
      </c>
      <c r="H3000" s="4" t="s">
        <v>32</v>
      </c>
      <c r="I3000" s="4" t="s">
        <v>33</v>
      </c>
      <c r="J3000" s="4">
        <v>1</v>
      </c>
      <c r="K3000" s="4">
        <v>0</v>
      </c>
      <c r="L3000" s="4">
        <f>J3000+K3000</f>
        <v>0</v>
      </c>
      <c r="M3000" s="4" t="s">
        <v>80</v>
      </c>
      <c r="N3000" s="4"/>
      <c r="O3000" s="4">
        <v>1</v>
      </c>
      <c r="P3000" s="4" t="s">
        <v>135</v>
      </c>
      <c r="Q3000" s="4"/>
      <c r="R3000" s="7">
        <v>610000</v>
      </c>
      <c r="S3000" s="7">
        <v>0</v>
      </c>
      <c r="T3000" s="7">
        <f>R3000-S3000</f>
        <v>0</v>
      </c>
      <c r="U3000" s="7">
        <f>T3000*O3000</f>
        <v>0</v>
      </c>
    </row>
    <row r="3001" spans="1:21">
      <c r="A3001" s="4" t="s">
        <v>3991</v>
      </c>
      <c r="B3001" s="4" t="s">
        <v>39</v>
      </c>
      <c r="C3001" s="5">
        <v>45958.36091435186</v>
      </c>
      <c r="D3001" s="5">
        <v>45958</v>
      </c>
      <c r="E3001" s="6">
        <f>IF(AND(C3001&lt;&gt;"",D3001&lt;&gt;""),D3001-C3001,"")</f>
        <v>0</v>
      </c>
      <c r="F3001" s="4" t="s">
        <v>3992</v>
      </c>
      <c r="G3001" s="4" t="s">
        <v>3993</v>
      </c>
      <c r="H3001" s="4" t="s">
        <v>32</v>
      </c>
      <c r="I3001" s="4" t="s">
        <v>33</v>
      </c>
      <c r="J3001" s="4">
        <v>1</v>
      </c>
      <c r="K3001" s="4">
        <v>0</v>
      </c>
      <c r="L3001" s="4">
        <f>J3001+K3001</f>
        <v>0</v>
      </c>
      <c r="M3001" s="4" t="s">
        <v>80</v>
      </c>
      <c r="N3001" s="4"/>
      <c r="O3001" s="4">
        <v>1</v>
      </c>
      <c r="P3001" s="4" t="s">
        <v>135</v>
      </c>
      <c r="Q3001" s="4"/>
      <c r="R3001" s="7">
        <v>610000</v>
      </c>
      <c r="S3001" s="7">
        <v>0</v>
      </c>
      <c r="T3001" s="7">
        <f>R3001-S3001</f>
        <v>0</v>
      </c>
      <c r="U3001" s="7">
        <f>T3001*O3001</f>
        <v>0</v>
      </c>
    </row>
    <row r="3002" spans="1:21">
      <c r="A3002" s="4" t="s">
        <v>3994</v>
      </c>
      <c r="B3002" s="4" t="s">
        <v>39</v>
      </c>
      <c r="C3002" s="5">
        <v>45958.36160879629</v>
      </c>
      <c r="D3002" s="5">
        <v>45958</v>
      </c>
      <c r="E3002" s="6">
        <f>IF(AND(C3002&lt;&gt;"",D3002&lt;&gt;""),D3002-C3002,"")</f>
        <v>0</v>
      </c>
      <c r="F3002" s="4" t="s">
        <v>3995</v>
      </c>
      <c r="G3002" s="4" t="s">
        <v>3996</v>
      </c>
      <c r="H3002" s="4" t="s">
        <v>32</v>
      </c>
      <c r="I3002" s="4" t="s">
        <v>33</v>
      </c>
      <c r="J3002" s="4">
        <v>1</v>
      </c>
      <c r="K3002" s="4">
        <v>0</v>
      </c>
      <c r="L3002" s="4">
        <f>J3002+K3002</f>
        <v>0</v>
      </c>
      <c r="M3002" s="4" t="s">
        <v>1645</v>
      </c>
      <c r="N3002" s="4"/>
      <c r="O3002" s="4">
        <v>1</v>
      </c>
      <c r="P3002" s="4" t="s">
        <v>135</v>
      </c>
      <c r="Q3002" s="4"/>
      <c r="R3002" s="7">
        <v>2100000</v>
      </c>
      <c r="S3002" s="7">
        <v>0</v>
      </c>
      <c r="T3002" s="7">
        <f>R3002-S3002</f>
        <v>0</v>
      </c>
      <c r="U3002" s="7">
        <f>T3002*O3002</f>
        <v>0</v>
      </c>
    </row>
    <row r="3003" spans="1:21">
      <c r="A3003" s="4" t="s">
        <v>3997</v>
      </c>
      <c r="B3003" s="4" t="s">
        <v>39</v>
      </c>
      <c r="C3003" s="5">
        <v>45958.36597222222</v>
      </c>
      <c r="D3003" s="5">
        <v>45958</v>
      </c>
      <c r="E3003" s="6">
        <f>IF(AND(C3003&lt;&gt;"",D3003&lt;&gt;""),D3003-C3003,"")</f>
        <v>0</v>
      </c>
      <c r="F3003" s="4" t="s">
        <v>3998</v>
      </c>
      <c r="G3003" s="4" t="s">
        <v>3999</v>
      </c>
      <c r="H3003" s="4" t="s">
        <v>32</v>
      </c>
      <c r="I3003" s="4" t="s">
        <v>33</v>
      </c>
      <c r="J3003" s="4">
        <v>1</v>
      </c>
      <c r="K3003" s="4">
        <v>0</v>
      </c>
      <c r="L3003" s="4">
        <f>J3003+K3003</f>
        <v>0</v>
      </c>
      <c r="M3003" s="4" t="s">
        <v>976</v>
      </c>
      <c r="N3003" s="4"/>
      <c r="O3003" s="4">
        <v>1</v>
      </c>
      <c r="P3003" s="4" t="s">
        <v>135</v>
      </c>
      <c r="Q3003" s="4"/>
      <c r="R3003" s="7">
        <v>1500000</v>
      </c>
      <c r="S3003" s="7">
        <v>0</v>
      </c>
      <c r="T3003" s="7">
        <f>R3003-S3003</f>
        <v>0</v>
      </c>
      <c r="U3003" s="7">
        <f>T3003*O3003</f>
        <v>0</v>
      </c>
    </row>
    <row r="3004" spans="1:21">
      <c r="A3004" s="4" t="s">
        <v>3997</v>
      </c>
      <c r="B3004" s="4" t="s">
        <v>39</v>
      </c>
      <c r="C3004" s="5">
        <v>45958.36597222222</v>
      </c>
      <c r="D3004" s="5">
        <v>45958</v>
      </c>
      <c r="E3004" s="6">
        <f>IF(AND(C3004&lt;&gt;"",D3004&lt;&gt;""),D3004-C3004,"")</f>
        <v>0</v>
      </c>
      <c r="F3004" s="4" t="s">
        <v>3998</v>
      </c>
      <c r="G3004" s="4" t="s">
        <v>3999</v>
      </c>
      <c r="H3004" s="4" t="s">
        <v>32</v>
      </c>
      <c r="I3004" s="4" t="s">
        <v>33</v>
      </c>
      <c r="J3004" s="4">
        <v>0</v>
      </c>
      <c r="K3004" s="4">
        <v>0</v>
      </c>
      <c r="L3004" s="4">
        <f>J3004+K3004</f>
        <v>0</v>
      </c>
      <c r="M3004" s="4" t="s">
        <v>370</v>
      </c>
      <c r="N3004" s="4"/>
      <c r="O3004" s="4">
        <v>1</v>
      </c>
      <c r="P3004" s="4" t="s">
        <v>135</v>
      </c>
      <c r="Q3004" s="4"/>
      <c r="R3004" s="7">
        <v>0</v>
      </c>
      <c r="S3004" s="7">
        <v>0</v>
      </c>
      <c r="T3004" s="7">
        <f>R3004-S3004</f>
        <v>0</v>
      </c>
      <c r="U3004" s="7">
        <f>T3004*O3004</f>
        <v>0</v>
      </c>
    </row>
    <row r="3005" spans="1:21">
      <c r="A3005" s="4" t="s">
        <v>4000</v>
      </c>
      <c r="B3005" s="4" t="s">
        <v>39</v>
      </c>
      <c r="C3005" s="5">
        <v>45958.37050925926</v>
      </c>
      <c r="D3005" s="5">
        <v>45958</v>
      </c>
      <c r="E3005" s="6">
        <f>IF(AND(C3005&lt;&gt;"",D3005&lt;&gt;""),D3005-C3005,"")</f>
        <v>0</v>
      </c>
      <c r="F3005" s="4" t="s">
        <v>4001</v>
      </c>
      <c r="G3005" s="4" t="s">
        <v>4002</v>
      </c>
      <c r="H3005" s="4" t="s">
        <v>32</v>
      </c>
      <c r="I3005" s="4" t="s">
        <v>33</v>
      </c>
      <c r="J3005" s="4">
        <v>1</v>
      </c>
      <c r="K3005" s="4">
        <v>0</v>
      </c>
      <c r="L3005" s="4">
        <f>J3005+K3005</f>
        <v>0</v>
      </c>
      <c r="M3005" s="4" t="s">
        <v>80</v>
      </c>
      <c r="N3005" s="4"/>
      <c r="O3005" s="4">
        <v>1</v>
      </c>
      <c r="P3005" s="4" t="s">
        <v>135</v>
      </c>
      <c r="Q3005" s="4"/>
      <c r="R3005" s="7">
        <v>610000</v>
      </c>
      <c r="S3005" s="7">
        <v>0</v>
      </c>
      <c r="T3005" s="7">
        <f>R3005-S3005</f>
        <v>0</v>
      </c>
      <c r="U3005" s="7">
        <f>T3005*O3005</f>
        <v>0</v>
      </c>
    </row>
    <row r="3006" spans="1:21">
      <c r="A3006" s="4" t="s">
        <v>4000</v>
      </c>
      <c r="B3006" s="4" t="s">
        <v>39</v>
      </c>
      <c r="C3006" s="5">
        <v>45958.37050925926</v>
      </c>
      <c r="D3006" s="5">
        <v>45958</v>
      </c>
      <c r="E3006" s="6">
        <f>IF(AND(C3006&lt;&gt;"",D3006&lt;&gt;""),D3006-C3006,"")</f>
        <v>0</v>
      </c>
      <c r="F3006" s="4" t="s">
        <v>4001</v>
      </c>
      <c r="G3006" s="4" t="s">
        <v>4002</v>
      </c>
      <c r="H3006" s="4" t="s">
        <v>32</v>
      </c>
      <c r="I3006" s="4" t="s">
        <v>33</v>
      </c>
      <c r="J3006" s="4">
        <v>1</v>
      </c>
      <c r="K3006" s="4">
        <v>0</v>
      </c>
      <c r="L3006" s="4">
        <f>J3006+K3006</f>
        <v>0</v>
      </c>
      <c r="M3006" s="4" t="s">
        <v>80</v>
      </c>
      <c r="N3006" s="4"/>
      <c r="O3006" s="4">
        <v>1</v>
      </c>
      <c r="P3006" s="4" t="s">
        <v>135</v>
      </c>
      <c r="Q3006" s="4"/>
      <c r="R3006" s="7">
        <v>610000</v>
      </c>
      <c r="S3006" s="7">
        <v>0</v>
      </c>
      <c r="T3006" s="7">
        <f>R3006-S3006</f>
        <v>0</v>
      </c>
      <c r="U3006" s="7">
        <f>T3006*O3006</f>
        <v>0</v>
      </c>
    </row>
    <row r="3007" spans="1:21">
      <c r="A3007" s="4" t="s">
        <v>4003</v>
      </c>
      <c r="B3007" s="4" t="s">
        <v>39</v>
      </c>
      <c r="C3007" s="5">
        <v>45958.37423611111</v>
      </c>
      <c r="D3007" s="5">
        <v>45958</v>
      </c>
      <c r="E3007" s="6">
        <f>IF(AND(C3007&lt;&gt;"",D3007&lt;&gt;""),D3007-C3007,"")</f>
        <v>0</v>
      </c>
      <c r="F3007" s="4" t="s">
        <v>49</v>
      </c>
      <c r="G3007" s="4" t="s">
        <v>50</v>
      </c>
      <c r="H3007" s="4" t="s">
        <v>32</v>
      </c>
      <c r="I3007" s="4" t="s">
        <v>33</v>
      </c>
      <c r="J3007" s="4">
        <v>0</v>
      </c>
      <c r="K3007" s="4">
        <v>0</v>
      </c>
      <c r="L3007" s="4">
        <f>J3007+K3007</f>
        <v>0</v>
      </c>
      <c r="M3007" s="4" t="s">
        <v>370</v>
      </c>
      <c r="N3007" s="4"/>
      <c r="O3007" s="4">
        <v>1</v>
      </c>
      <c r="P3007" s="4" t="s">
        <v>135</v>
      </c>
      <c r="Q3007" s="4" t="s">
        <v>44</v>
      </c>
      <c r="R3007" s="7">
        <v>6000000</v>
      </c>
      <c r="S3007" s="7">
        <v>0</v>
      </c>
      <c r="T3007" s="7">
        <f>R3007-S3007</f>
        <v>0</v>
      </c>
      <c r="U3007" s="7">
        <f>T3007*O3007</f>
        <v>0</v>
      </c>
    </row>
    <row r="3008" spans="1:21">
      <c r="A3008" s="4" t="s">
        <v>4004</v>
      </c>
      <c r="B3008" s="4" t="s">
        <v>39</v>
      </c>
      <c r="C3008" s="5">
        <v>45958.37599537037</v>
      </c>
      <c r="D3008" s="5">
        <v>45958</v>
      </c>
      <c r="E3008" s="6">
        <f>IF(AND(C3008&lt;&gt;"",D3008&lt;&gt;""),D3008-C3008,"")</f>
        <v>0</v>
      </c>
      <c r="F3008" s="4" t="s">
        <v>3998</v>
      </c>
      <c r="G3008" s="4" t="s">
        <v>3999</v>
      </c>
      <c r="H3008" s="4" t="s">
        <v>32</v>
      </c>
      <c r="I3008" s="4" t="s">
        <v>33</v>
      </c>
      <c r="J3008" s="4">
        <v>0</v>
      </c>
      <c r="K3008" s="4">
        <v>0</v>
      </c>
      <c r="L3008" s="4">
        <f>J3008+K3008</f>
        <v>0</v>
      </c>
      <c r="M3008" s="4" t="s">
        <v>3900</v>
      </c>
      <c r="N3008" s="4"/>
      <c r="O3008" s="4">
        <v>1</v>
      </c>
      <c r="P3008" s="4" t="s">
        <v>135</v>
      </c>
      <c r="Q3008" s="4"/>
      <c r="R3008" s="7">
        <v>53000</v>
      </c>
      <c r="S3008" s="7">
        <v>0</v>
      </c>
      <c r="T3008" s="7">
        <f>R3008-S3008</f>
        <v>0</v>
      </c>
      <c r="U3008" s="7">
        <f>T3008*O3008</f>
        <v>0</v>
      </c>
    </row>
    <row r="3009" spans="1:21">
      <c r="A3009" s="4" t="s">
        <v>4004</v>
      </c>
      <c r="B3009" s="4" t="s">
        <v>39</v>
      </c>
      <c r="C3009" s="5">
        <v>45958.37599537037</v>
      </c>
      <c r="D3009" s="5">
        <v>45958</v>
      </c>
      <c r="E3009" s="6">
        <f>IF(AND(C3009&lt;&gt;"",D3009&lt;&gt;""),D3009-C3009,"")</f>
        <v>0</v>
      </c>
      <c r="F3009" s="4" t="s">
        <v>3998</v>
      </c>
      <c r="G3009" s="4" t="s">
        <v>3999</v>
      </c>
      <c r="H3009" s="4" t="s">
        <v>32</v>
      </c>
      <c r="I3009" s="4" t="s">
        <v>33</v>
      </c>
      <c r="J3009" s="4">
        <v>0</v>
      </c>
      <c r="K3009" s="4">
        <v>0</v>
      </c>
      <c r="L3009" s="4">
        <f>J3009+K3009</f>
        <v>0</v>
      </c>
      <c r="M3009" s="4" t="s">
        <v>3840</v>
      </c>
      <c r="N3009" s="4"/>
      <c r="O3009" s="4">
        <v>1</v>
      </c>
      <c r="P3009" s="4" t="s">
        <v>135</v>
      </c>
      <c r="Q3009" s="4"/>
      <c r="R3009" s="7">
        <v>65000</v>
      </c>
      <c r="S3009" s="7">
        <v>0</v>
      </c>
      <c r="T3009" s="7">
        <f>R3009-S3009</f>
        <v>0</v>
      </c>
      <c r="U3009" s="7">
        <f>T3009*O3009</f>
        <v>0</v>
      </c>
    </row>
    <row r="3010" spans="1:21">
      <c r="A3010" s="4" t="s">
        <v>4004</v>
      </c>
      <c r="B3010" s="4" t="s">
        <v>39</v>
      </c>
      <c r="C3010" s="5">
        <v>45958.37599537037</v>
      </c>
      <c r="D3010" s="5">
        <v>45958</v>
      </c>
      <c r="E3010" s="6">
        <f>IF(AND(C3010&lt;&gt;"",D3010&lt;&gt;""),D3010-C3010,"")</f>
        <v>0</v>
      </c>
      <c r="F3010" s="4" t="s">
        <v>3998</v>
      </c>
      <c r="G3010" s="4" t="s">
        <v>3999</v>
      </c>
      <c r="H3010" s="4" t="s">
        <v>32</v>
      </c>
      <c r="I3010" s="4" t="s">
        <v>33</v>
      </c>
      <c r="J3010" s="4">
        <v>0</v>
      </c>
      <c r="K3010" s="4">
        <v>0</v>
      </c>
      <c r="L3010" s="4">
        <f>J3010+K3010</f>
        <v>0</v>
      </c>
      <c r="M3010" s="4" t="s">
        <v>1559</v>
      </c>
      <c r="N3010" s="4"/>
      <c r="O3010" s="4">
        <v>1</v>
      </c>
      <c r="P3010" s="4" t="s">
        <v>135</v>
      </c>
      <c r="Q3010" s="4"/>
      <c r="R3010" s="7">
        <v>76000</v>
      </c>
      <c r="S3010" s="7">
        <v>0</v>
      </c>
      <c r="T3010" s="7">
        <f>R3010-S3010</f>
        <v>0</v>
      </c>
      <c r="U3010" s="7">
        <f>T3010*O3010</f>
        <v>0</v>
      </c>
    </row>
    <row r="3011" spans="1:21">
      <c r="A3011" s="4" t="s">
        <v>4004</v>
      </c>
      <c r="B3011" s="4" t="s">
        <v>39</v>
      </c>
      <c r="C3011" s="5">
        <v>45958.37599537037</v>
      </c>
      <c r="D3011" s="5">
        <v>45958</v>
      </c>
      <c r="E3011" s="6">
        <f>IF(AND(C3011&lt;&gt;"",D3011&lt;&gt;""),D3011-C3011,"")</f>
        <v>0</v>
      </c>
      <c r="F3011" s="4" t="s">
        <v>3998</v>
      </c>
      <c r="G3011" s="4" t="s">
        <v>3999</v>
      </c>
      <c r="H3011" s="4" t="s">
        <v>32</v>
      </c>
      <c r="I3011" s="4" t="s">
        <v>33</v>
      </c>
      <c r="J3011" s="4">
        <v>0</v>
      </c>
      <c r="K3011" s="4">
        <v>0</v>
      </c>
      <c r="L3011" s="4">
        <f>J3011+K3011</f>
        <v>0</v>
      </c>
      <c r="M3011" s="4" t="s">
        <v>1419</v>
      </c>
      <c r="N3011" s="4"/>
      <c r="O3011" s="4">
        <v>1</v>
      </c>
      <c r="P3011" s="4" t="s">
        <v>135</v>
      </c>
      <c r="Q3011" s="4"/>
      <c r="R3011" s="7">
        <v>160000</v>
      </c>
      <c r="S3011" s="7">
        <v>0</v>
      </c>
      <c r="T3011" s="7">
        <f>R3011-S3011</f>
        <v>0</v>
      </c>
      <c r="U3011" s="7">
        <f>T3011*O3011</f>
        <v>0</v>
      </c>
    </row>
    <row r="3012" spans="1:21">
      <c r="A3012" s="4" t="s">
        <v>4004</v>
      </c>
      <c r="B3012" s="4" t="s">
        <v>39</v>
      </c>
      <c r="C3012" s="5">
        <v>45958.37599537037</v>
      </c>
      <c r="D3012" s="5">
        <v>45958</v>
      </c>
      <c r="E3012" s="6">
        <f>IF(AND(C3012&lt;&gt;"",D3012&lt;&gt;""),D3012-C3012,"")</f>
        <v>0</v>
      </c>
      <c r="F3012" s="4" t="s">
        <v>3998</v>
      </c>
      <c r="G3012" s="4" t="s">
        <v>3999</v>
      </c>
      <c r="H3012" s="4" t="s">
        <v>32</v>
      </c>
      <c r="I3012" s="4" t="s">
        <v>33</v>
      </c>
      <c r="J3012" s="4">
        <v>0</v>
      </c>
      <c r="K3012" s="4">
        <v>0</v>
      </c>
      <c r="L3012" s="4">
        <f>J3012+K3012</f>
        <v>0</v>
      </c>
      <c r="M3012" s="4" t="s">
        <v>3839</v>
      </c>
      <c r="N3012" s="4"/>
      <c r="O3012" s="4">
        <v>1</v>
      </c>
      <c r="P3012" s="4" t="s">
        <v>135</v>
      </c>
      <c r="Q3012" s="4"/>
      <c r="R3012" s="7">
        <v>102000</v>
      </c>
      <c r="S3012" s="7">
        <v>0</v>
      </c>
      <c r="T3012" s="7">
        <f>R3012-S3012</f>
        <v>0</v>
      </c>
      <c r="U3012" s="7">
        <f>T3012*O3012</f>
        <v>0</v>
      </c>
    </row>
    <row r="3013" spans="1:21">
      <c r="A3013" s="4" t="s">
        <v>4004</v>
      </c>
      <c r="B3013" s="4" t="s">
        <v>39</v>
      </c>
      <c r="C3013" s="5">
        <v>45958.37599537037</v>
      </c>
      <c r="D3013" s="5">
        <v>45958</v>
      </c>
      <c r="E3013" s="6">
        <f>IF(AND(C3013&lt;&gt;"",D3013&lt;&gt;""),D3013-C3013,"")</f>
        <v>0</v>
      </c>
      <c r="F3013" s="4" t="s">
        <v>3998</v>
      </c>
      <c r="G3013" s="4" t="s">
        <v>3999</v>
      </c>
      <c r="H3013" s="4" t="s">
        <v>32</v>
      </c>
      <c r="I3013" s="4" t="s">
        <v>33</v>
      </c>
      <c r="J3013" s="4">
        <v>0</v>
      </c>
      <c r="K3013" s="4">
        <v>0</v>
      </c>
      <c r="L3013" s="4">
        <f>J3013+K3013</f>
        <v>0</v>
      </c>
      <c r="M3013" s="4" t="s">
        <v>1726</v>
      </c>
      <c r="N3013" s="4"/>
      <c r="O3013" s="4">
        <v>1</v>
      </c>
      <c r="P3013" s="4" t="s">
        <v>135</v>
      </c>
      <c r="Q3013" s="4"/>
      <c r="R3013" s="7">
        <v>64000</v>
      </c>
      <c r="S3013" s="7">
        <v>0</v>
      </c>
      <c r="T3013" s="7">
        <f>R3013-S3013</f>
        <v>0</v>
      </c>
      <c r="U3013" s="7">
        <f>T3013*O3013</f>
        <v>0</v>
      </c>
    </row>
    <row r="3014" spans="1:21">
      <c r="A3014" s="4" t="s">
        <v>4004</v>
      </c>
      <c r="B3014" s="4" t="s">
        <v>39</v>
      </c>
      <c r="C3014" s="5">
        <v>45958.37599537037</v>
      </c>
      <c r="D3014" s="5">
        <v>45958</v>
      </c>
      <c r="E3014" s="6">
        <f>IF(AND(C3014&lt;&gt;"",D3014&lt;&gt;""),D3014-C3014,"")</f>
        <v>0</v>
      </c>
      <c r="F3014" s="4" t="s">
        <v>3998</v>
      </c>
      <c r="G3014" s="4" t="s">
        <v>3999</v>
      </c>
      <c r="H3014" s="4" t="s">
        <v>32</v>
      </c>
      <c r="I3014" s="4" t="s">
        <v>33</v>
      </c>
      <c r="J3014" s="4">
        <v>0</v>
      </c>
      <c r="K3014" s="4">
        <v>0</v>
      </c>
      <c r="L3014" s="4">
        <f>J3014+K3014</f>
        <v>0</v>
      </c>
      <c r="M3014" s="4" t="s">
        <v>1533</v>
      </c>
      <c r="N3014" s="4"/>
      <c r="O3014" s="4">
        <v>1</v>
      </c>
      <c r="P3014" s="4" t="s">
        <v>135</v>
      </c>
      <c r="Q3014" s="4"/>
      <c r="R3014" s="7">
        <v>108000</v>
      </c>
      <c r="S3014" s="7">
        <v>0</v>
      </c>
      <c r="T3014" s="7">
        <f>R3014-S3014</f>
        <v>0</v>
      </c>
      <c r="U3014" s="7">
        <f>T3014*O3014</f>
        <v>0</v>
      </c>
    </row>
    <row r="3015" spans="1:21">
      <c r="A3015" s="4" t="s">
        <v>4004</v>
      </c>
      <c r="B3015" s="4" t="s">
        <v>39</v>
      </c>
      <c r="C3015" s="5">
        <v>45958.37599537037</v>
      </c>
      <c r="D3015" s="5">
        <v>45958</v>
      </c>
      <c r="E3015" s="6">
        <f>IF(AND(C3015&lt;&gt;"",D3015&lt;&gt;""),D3015-C3015,"")</f>
        <v>0</v>
      </c>
      <c r="F3015" s="4" t="s">
        <v>3998</v>
      </c>
      <c r="G3015" s="4" t="s">
        <v>3999</v>
      </c>
      <c r="H3015" s="4" t="s">
        <v>32</v>
      </c>
      <c r="I3015" s="4" t="s">
        <v>33</v>
      </c>
      <c r="J3015" s="4">
        <v>0</v>
      </c>
      <c r="K3015" s="4">
        <v>0</v>
      </c>
      <c r="L3015" s="4">
        <f>J3015+K3015</f>
        <v>0</v>
      </c>
      <c r="M3015" s="4" t="s">
        <v>1335</v>
      </c>
      <c r="N3015" s="4"/>
      <c r="O3015" s="4">
        <v>1</v>
      </c>
      <c r="P3015" s="4" t="s">
        <v>135</v>
      </c>
      <c r="Q3015" s="4"/>
      <c r="R3015" s="7">
        <v>45000</v>
      </c>
      <c r="S3015" s="7">
        <v>0</v>
      </c>
      <c r="T3015" s="7">
        <f>R3015-S3015</f>
        <v>0</v>
      </c>
      <c r="U3015" s="7">
        <f>T3015*O3015</f>
        <v>0</v>
      </c>
    </row>
    <row r="3016" spans="1:21">
      <c r="A3016" s="4" t="s">
        <v>4004</v>
      </c>
      <c r="B3016" s="4" t="s">
        <v>39</v>
      </c>
      <c r="C3016" s="5">
        <v>45958.37599537037</v>
      </c>
      <c r="D3016" s="5">
        <v>45958</v>
      </c>
      <c r="E3016" s="6">
        <f>IF(AND(C3016&lt;&gt;"",D3016&lt;&gt;""),D3016-C3016,"")</f>
        <v>0</v>
      </c>
      <c r="F3016" s="4" t="s">
        <v>3998</v>
      </c>
      <c r="G3016" s="4" t="s">
        <v>3999</v>
      </c>
      <c r="H3016" s="4" t="s">
        <v>32</v>
      </c>
      <c r="I3016" s="4" t="s">
        <v>33</v>
      </c>
      <c r="J3016" s="4">
        <v>0</v>
      </c>
      <c r="K3016" s="4">
        <v>0</v>
      </c>
      <c r="L3016" s="4">
        <f>J3016+K3016</f>
        <v>0</v>
      </c>
      <c r="M3016" s="4" t="s">
        <v>3901</v>
      </c>
      <c r="N3016" s="4"/>
      <c r="O3016" s="4">
        <v>1</v>
      </c>
      <c r="P3016" s="4" t="s">
        <v>135</v>
      </c>
      <c r="Q3016" s="4"/>
      <c r="R3016" s="7">
        <v>44000</v>
      </c>
      <c r="S3016" s="7">
        <v>0</v>
      </c>
      <c r="T3016" s="7">
        <f>R3016-S3016</f>
        <v>0</v>
      </c>
      <c r="U3016" s="7">
        <f>T3016*O3016</f>
        <v>0</v>
      </c>
    </row>
    <row r="3017" spans="1:21">
      <c r="A3017" s="4" t="s">
        <v>4004</v>
      </c>
      <c r="B3017" s="4" t="s">
        <v>39</v>
      </c>
      <c r="C3017" s="5">
        <v>45958.37599537037</v>
      </c>
      <c r="D3017" s="5">
        <v>45958</v>
      </c>
      <c r="E3017" s="6">
        <f>IF(AND(C3017&lt;&gt;"",D3017&lt;&gt;""),D3017-C3017,"")</f>
        <v>0</v>
      </c>
      <c r="F3017" s="4" t="s">
        <v>3998</v>
      </c>
      <c r="G3017" s="4" t="s">
        <v>3999</v>
      </c>
      <c r="H3017" s="4" t="s">
        <v>32</v>
      </c>
      <c r="I3017" s="4" t="s">
        <v>33</v>
      </c>
      <c r="J3017" s="4">
        <v>0</v>
      </c>
      <c r="K3017" s="4">
        <v>0</v>
      </c>
      <c r="L3017" s="4">
        <f>J3017+K3017</f>
        <v>0</v>
      </c>
      <c r="M3017" s="4" t="s">
        <v>1777</v>
      </c>
      <c r="N3017" s="4"/>
      <c r="O3017" s="4">
        <v>1</v>
      </c>
      <c r="P3017" s="4" t="s">
        <v>135</v>
      </c>
      <c r="Q3017" s="4"/>
      <c r="R3017" s="7">
        <v>122000</v>
      </c>
      <c r="S3017" s="7">
        <v>0</v>
      </c>
      <c r="T3017" s="7">
        <f>R3017-S3017</f>
        <v>0</v>
      </c>
      <c r="U3017" s="7">
        <f>T3017*O3017</f>
        <v>0</v>
      </c>
    </row>
    <row r="3018" spans="1:21">
      <c r="A3018" s="4" t="s">
        <v>4004</v>
      </c>
      <c r="B3018" s="4" t="s">
        <v>39</v>
      </c>
      <c r="C3018" s="5">
        <v>45958.37599537037</v>
      </c>
      <c r="D3018" s="5">
        <v>45958</v>
      </c>
      <c r="E3018" s="6">
        <f>IF(AND(C3018&lt;&gt;"",D3018&lt;&gt;""),D3018-C3018,"")</f>
        <v>0</v>
      </c>
      <c r="F3018" s="4" t="s">
        <v>3998</v>
      </c>
      <c r="G3018" s="4" t="s">
        <v>3999</v>
      </c>
      <c r="H3018" s="4" t="s">
        <v>32</v>
      </c>
      <c r="I3018" s="4" t="s">
        <v>33</v>
      </c>
      <c r="J3018" s="4">
        <v>0</v>
      </c>
      <c r="K3018" s="4">
        <v>0</v>
      </c>
      <c r="L3018" s="4">
        <f>J3018+K3018</f>
        <v>0</v>
      </c>
      <c r="M3018" s="4" t="s">
        <v>915</v>
      </c>
      <c r="N3018" s="4"/>
      <c r="O3018" s="4">
        <v>1</v>
      </c>
      <c r="P3018" s="4" t="s">
        <v>135</v>
      </c>
      <c r="Q3018" s="4"/>
      <c r="R3018" s="7">
        <v>50000</v>
      </c>
      <c r="S3018" s="7">
        <v>0</v>
      </c>
      <c r="T3018" s="7">
        <f>R3018-S3018</f>
        <v>0</v>
      </c>
      <c r="U3018" s="7">
        <f>T3018*O3018</f>
        <v>0</v>
      </c>
    </row>
    <row r="3019" spans="1:21">
      <c r="A3019" s="4" t="s">
        <v>4005</v>
      </c>
      <c r="B3019" s="4" t="s">
        <v>39</v>
      </c>
      <c r="C3019" s="5">
        <v>45958.37762731482</v>
      </c>
      <c r="D3019" s="5">
        <v>45958</v>
      </c>
      <c r="E3019" s="6">
        <f>IF(AND(C3019&lt;&gt;"",D3019&lt;&gt;""),D3019-C3019,"")</f>
        <v>0</v>
      </c>
      <c r="F3019" s="4" t="s">
        <v>4006</v>
      </c>
      <c r="G3019" s="4" t="s">
        <v>4007</v>
      </c>
      <c r="H3019" s="4" t="s">
        <v>32</v>
      </c>
      <c r="I3019" s="4" t="s">
        <v>33</v>
      </c>
      <c r="J3019" s="4">
        <v>1</v>
      </c>
      <c r="K3019" s="4">
        <v>0</v>
      </c>
      <c r="L3019" s="4">
        <f>J3019+K3019</f>
        <v>0</v>
      </c>
      <c r="M3019" s="4" t="s">
        <v>1645</v>
      </c>
      <c r="N3019" s="4"/>
      <c r="O3019" s="4">
        <v>1</v>
      </c>
      <c r="P3019" s="4" t="s">
        <v>135</v>
      </c>
      <c r="Q3019" s="4"/>
      <c r="R3019" s="7">
        <v>2100000</v>
      </c>
      <c r="S3019" s="7">
        <v>0</v>
      </c>
      <c r="T3019" s="7">
        <f>R3019-S3019</f>
        <v>0</v>
      </c>
      <c r="U3019" s="7">
        <f>T3019*O3019</f>
        <v>0</v>
      </c>
    </row>
    <row r="3020" spans="1:21">
      <c r="A3020" s="4" t="s">
        <v>4008</v>
      </c>
      <c r="B3020" s="4" t="s">
        <v>39</v>
      </c>
      <c r="C3020" s="5">
        <v>45958.38924768518</v>
      </c>
      <c r="D3020" s="5">
        <v>45958</v>
      </c>
      <c r="E3020" s="6">
        <f>IF(AND(C3020&lt;&gt;"",D3020&lt;&gt;""),D3020-C3020,"")</f>
        <v>0</v>
      </c>
      <c r="F3020" s="4" t="s">
        <v>538</v>
      </c>
      <c r="G3020" s="4" t="s">
        <v>539</v>
      </c>
      <c r="H3020" s="4" t="s">
        <v>540</v>
      </c>
      <c r="I3020" s="4" t="s">
        <v>56</v>
      </c>
      <c r="J3020" s="4">
        <v>0</v>
      </c>
      <c r="K3020" s="4">
        <v>0</v>
      </c>
      <c r="L3020" s="4">
        <f>J3020+K3020</f>
        <v>0</v>
      </c>
      <c r="M3020" s="4" t="s">
        <v>370</v>
      </c>
      <c r="N3020" s="4"/>
      <c r="O3020" s="4">
        <v>1</v>
      </c>
      <c r="P3020" s="4" t="s">
        <v>135</v>
      </c>
      <c r="Q3020" s="4" t="s">
        <v>44</v>
      </c>
      <c r="R3020" s="7">
        <v>5000000</v>
      </c>
      <c r="S3020" s="7">
        <v>0</v>
      </c>
      <c r="T3020" s="7">
        <f>R3020-S3020</f>
        <v>0</v>
      </c>
      <c r="U3020" s="7">
        <f>T3020*O3020</f>
        <v>0</v>
      </c>
    </row>
    <row r="3021" spans="1:21">
      <c r="A3021" s="4" t="s">
        <v>4009</v>
      </c>
      <c r="B3021" s="4" t="s">
        <v>39</v>
      </c>
      <c r="C3021" s="5">
        <v>45958.39511574074</v>
      </c>
      <c r="D3021" s="5">
        <v>45958</v>
      </c>
      <c r="E3021" s="6">
        <f>IF(AND(C3021&lt;&gt;"",D3021&lt;&gt;""),D3021-C3021,"")</f>
        <v>0</v>
      </c>
      <c r="F3021" s="4" t="s">
        <v>4010</v>
      </c>
      <c r="G3021" s="4" t="s">
        <v>4011</v>
      </c>
      <c r="H3021" s="4" t="s">
        <v>32</v>
      </c>
      <c r="I3021" s="4" t="s">
        <v>33</v>
      </c>
      <c r="J3021" s="4">
        <v>1</v>
      </c>
      <c r="K3021" s="4">
        <v>0</v>
      </c>
      <c r="L3021" s="4">
        <f>J3021+K3021</f>
        <v>0</v>
      </c>
      <c r="M3021" s="4" t="s">
        <v>1645</v>
      </c>
      <c r="N3021" s="4"/>
      <c r="O3021" s="4">
        <v>1</v>
      </c>
      <c r="P3021" s="4" t="s">
        <v>135</v>
      </c>
      <c r="Q3021" s="4"/>
      <c r="R3021" s="7">
        <v>2100000</v>
      </c>
      <c r="S3021" s="7">
        <v>0</v>
      </c>
      <c r="T3021" s="7">
        <f>R3021-S3021</f>
        <v>0</v>
      </c>
      <c r="U3021" s="7">
        <f>T3021*O3021</f>
        <v>0</v>
      </c>
    </row>
    <row r="3022" spans="1:21">
      <c r="A3022" s="4" t="s">
        <v>4012</v>
      </c>
      <c r="B3022" s="4" t="s">
        <v>39</v>
      </c>
      <c r="C3022" s="5">
        <v>45958.40163194444</v>
      </c>
      <c r="D3022" s="5">
        <v>45958</v>
      </c>
      <c r="E3022" s="6">
        <f>IF(AND(C3022&lt;&gt;"",D3022&lt;&gt;""),D3022-C3022,"")</f>
        <v>0</v>
      </c>
      <c r="F3022" s="4" t="s">
        <v>4013</v>
      </c>
      <c r="G3022" s="4" t="s">
        <v>4014</v>
      </c>
      <c r="H3022" s="4" t="s">
        <v>32</v>
      </c>
      <c r="I3022" s="4" t="s">
        <v>33</v>
      </c>
      <c r="J3022" s="4">
        <v>1</v>
      </c>
      <c r="K3022" s="4">
        <v>0</v>
      </c>
      <c r="L3022" s="4">
        <f>J3022+K3022</f>
        <v>0</v>
      </c>
      <c r="M3022" s="4" t="s">
        <v>1645</v>
      </c>
      <c r="N3022" s="4"/>
      <c r="O3022" s="4">
        <v>1</v>
      </c>
      <c r="P3022" s="4" t="s">
        <v>135</v>
      </c>
      <c r="Q3022" s="4"/>
      <c r="R3022" s="7">
        <v>2100000</v>
      </c>
      <c r="S3022" s="7">
        <v>0</v>
      </c>
      <c r="T3022" s="7">
        <f>R3022-S3022</f>
        <v>0</v>
      </c>
      <c r="U3022" s="7">
        <f>T3022*O3022</f>
        <v>0</v>
      </c>
    </row>
    <row r="3023" spans="1:21">
      <c r="A3023" s="4" t="s">
        <v>4015</v>
      </c>
      <c r="B3023" s="4" t="s">
        <v>39</v>
      </c>
      <c r="C3023" s="5">
        <v>45958.41862268518</v>
      </c>
      <c r="D3023" s="5">
        <v>45958</v>
      </c>
      <c r="E3023" s="6">
        <f>IF(AND(C3023&lt;&gt;"",D3023&lt;&gt;""),D3023-C3023,"")</f>
        <v>0</v>
      </c>
      <c r="F3023" s="4" t="s">
        <v>3971</v>
      </c>
      <c r="G3023" s="4" t="s">
        <v>3972</v>
      </c>
      <c r="H3023" s="4" t="s">
        <v>3973</v>
      </c>
      <c r="I3023" s="4" t="s">
        <v>56</v>
      </c>
      <c r="J3023" s="4">
        <v>0</v>
      </c>
      <c r="K3023" s="4">
        <v>0</v>
      </c>
      <c r="L3023" s="4">
        <f>J3023+K3023</f>
        <v>0</v>
      </c>
      <c r="M3023" s="4" t="s">
        <v>3416</v>
      </c>
      <c r="N3023" s="4"/>
      <c r="O3023" s="4">
        <v>1</v>
      </c>
      <c r="P3023" s="4" t="s">
        <v>135</v>
      </c>
      <c r="Q3023" s="4"/>
      <c r="R3023" s="7">
        <v>163000</v>
      </c>
      <c r="S3023" s="7">
        <v>0</v>
      </c>
      <c r="T3023" s="7">
        <f>R3023-S3023</f>
        <v>0</v>
      </c>
      <c r="U3023" s="7">
        <f>T3023*O3023</f>
        <v>0</v>
      </c>
    </row>
    <row r="3024" spans="1:21">
      <c r="A3024" s="4" t="s">
        <v>4015</v>
      </c>
      <c r="B3024" s="4" t="s">
        <v>48</v>
      </c>
      <c r="C3024" s="5">
        <v>45958.41864583334</v>
      </c>
      <c r="D3024" s="5">
        <v>45961</v>
      </c>
      <c r="E3024" s="6">
        <f>IF(AND(C3024&lt;&gt;"",D3024&lt;&gt;""),D3024-C3024,"")</f>
        <v>0</v>
      </c>
      <c r="F3024" s="4" t="s">
        <v>1399</v>
      </c>
      <c r="G3024" s="4" t="s">
        <v>202</v>
      </c>
      <c r="H3024" s="4" t="s">
        <v>32</v>
      </c>
      <c r="I3024" s="4" t="s">
        <v>33</v>
      </c>
      <c r="J3024" s="4">
        <v>13</v>
      </c>
      <c r="K3024" s="4">
        <v>3</v>
      </c>
      <c r="L3024" s="4">
        <f>J3024+K3024</f>
        <v>0</v>
      </c>
      <c r="M3024" s="4"/>
      <c r="N3024" s="4"/>
      <c r="O3024" s="4">
        <v>0</v>
      </c>
      <c r="P3024" s="4"/>
      <c r="Q3024" s="4"/>
      <c r="R3024" s="7">
        <v>0</v>
      </c>
      <c r="S3024" s="7">
        <v>0</v>
      </c>
      <c r="T3024" s="7">
        <f>R3024-S3024</f>
        <v>0</v>
      </c>
      <c r="U3024" s="7">
        <f>T3024*O3024</f>
        <v>0</v>
      </c>
    </row>
    <row r="3025" spans="1:21">
      <c r="A3025" s="4" t="s">
        <v>4016</v>
      </c>
      <c r="B3025" s="4" t="s">
        <v>39</v>
      </c>
      <c r="C3025" s="5">
        <v>45958.42197916667</v>
      </c>
      <c r="D3025" s="5">
        <v>45958</v>
      </c>
      <c r="E3025" s="6">
        <f>IF(AND(C3025&lt;&gt;"",D3025&lt;&gt;""),D3025-C3025,"")</f>
        <v>0</v>
      </c>
      <c r="F3025" s="4" t="s">
        <v>4017</v>
      </c>
      <c r="G3025" s="4" t="s">
        <v>4018</v>
      </c>
      <c r="H3025" s="4" t="s">
        <v>32</v>
      </c>
      <c r="I3025" s="4" t="s">
        <v>33</v>
      </c>
      <c r="J3025" s="4">
        <v>1</v>
      </c>
      <c r="K3025" s="4">
        <v>0</v>
      </c>
      <c r="L3025" s="4">
        <f>J3025+K3025</f>
        <v>0</v>
      </c>
      <c r="M3025" s="4" t="s">
        <v>1645</v>
      </c>
      <c r="N3025" s="4"/>
      <c r="O3025" s="4">
        <v>1</v>
      </c>
      <c r="P3025" s="4" t="s">
        <v>135</v>
      </c>
      <c r="Q3025" s="4"/>
      <c r="R3025" s="7">
        <v>2100000</v>
      </c>
      <c r="S3025" s="7">
        <v>0</v>
      </c>
      <c r="T3025" s="7">
        <f>R3025-S3025</f>
        <v>0</v>
      </c>
      <c r="U3025" s="7">
        <f>T3025*O3025</f>
        <v>0</v>
      </c>
    </row>
    <row r="3026" spans="1:21">
      <c r="A3026" s="4" t="s">
        <v>4019</v>
      </c>
      <c r="B3026" s="4" t="s">
        <v>48</v>
      </c>
      <c r="C3026" s="5">
        <v>45958.43309027778</v>
      </c>
      <c r="D3026" s="5">
        <v>45961</v>
      </c>
      <c r="E3026" s="6">
        <f>IF(AND(C3026&lt;&gt;"",D3026&lt;&gt;""),D3026-C3026,"")</f>
        <v>0</v>
      </c>
      <c r="F3026" s="4" t="s">
        <v>64</v>
      </c>
      <c r="G3026" s="4" t="s">
        <v>65</v>
      </c>
      <c r="H3026" s="4" t="s">
        <v>32</v>
      </c>
      <c r="I3026" s="4" t="s">
        <v>33</v>
      </c>
      <c r="J3026" s="4">
        <v>3</v>
      </c>
      <c r="K3026" s="4">
        <v>2</v>
      </c>
      <c r="L3026" s="4">
        <f>J3026+K3026</f>
        <v>0</v>
      </c>
      <c r="M3026" s="4"/>
      <c r="N3026" s="4"/>
      <c r="O3026" s="4">
        <v>0</v>
      </c>
      <c r="P3026" s="4"/>
      <c r="Q3026" s="4"/>
      <c r="R3026" s="7">
        <v>0</v>
      </c>
      <c r="S3026" s="7">
        <v>0</v>
      </c>
      <c r="T3026" s="7">
        <f>R3026-S3026</f>
        <v>0</v>
      </c>
      <c r="U3026" s="7">
        <f>T3026*O3026</f>
        <v>0</v>
      </c>
    </row>
    <row r="3027" spans="1:21">
      <c r="A3027" s="4" t="s">
        <v>4020</v>
      </c>
      <c r="B3027" s="4" t="s">
        <v>48</v>
      </c>
      <c r="C3027" s="5">
        <v>45958.43449074074</v>
      </c>
      <c r="D3027" s="5">
        <v>45961</v>
      </c>
      <c r="E3027" s="6">
        <f>IF(AND(C3027&lt;&gt;"",D3027&lt;&gt;""),D3027-C3027,"")</f>
        <v>0</v>
      </c>
      <c r="F3027" s="4" t="s">
        <v>64</v>
      </c>
      <c r="G3027" s="4" t="s">
        <v>65</v>
      </c>
      <c r="H3027" s="4" t="s">
        <v>32</v>
      </c>
      <c r="I3027" s="4" t="s">
        <v>33</v>
      </c>
      <c r="J3027" s="4">
        <v>3</v>
      </c>
      <c r="K3027" s="4">
        <v>2</v>
      </c>
      <c r="L3027" s="4">
        <f>J3027+K3027</f>
        <v>0</v>
      </c>
      <c r="M3027" s="4"/>
      <c r="N3027" s="4"/>
      <c r="O3027" s="4">
        <v>0</v>
      </c>
      <c r="P3027" s="4"/>
      <c r="Q3027" s="4"/>
      <c r="R3027" s="7">
        <v>0</v>
      </c>
      <c r="S3027" s="7">
        <v>0</v>
      </c>
      <c r="T3027" s="7">
        <f>R3027-S3027</f>
        <v>0</v>
      </c>
      <c r="U3027" s="7">
        <f>T3027*O3027</f>
        <v>0</v>
      </c>
    </row>
    <row r="3028" spans="1:21">
      <c r="A3028" s="4" t="s">
        <v>4021</v>
      </c>
      <c r="B3028" s="4" t="s">
        <v>48</v>
      </c>
      <c r="C3028" s="5">
        <v>45958.4502662037</v>
      </c>
      <c r="D3028" s="5">
        <v>45961</v>
      </c>
      <c r="E3028" s="6">
        <f>IF(AND(C3028&lt;&gt;"",D3028&lt;&gt;""),D3028-C3028,"")</f>
        <v>0</v>
      </c>
      <c r="F3028" s="4" t="s">
        <v>64</v>
      </c>
      <c r="G3028" s="4" t="s">
        <v>65</v>
      </c>
      <c r="H3028" s="4" t="s">
        <v>32</v>
      </c>
      <c r="I3028" s="4" t="s">
        <v>33</v>
      </c>
      <c r="J3028" s="4">
        <v>3</v>
      </c>
      <c r="K3028" s="4">
        <v>2</v>
      </c>
      <c r="L3028" s="4">
        <f>J3028+K3028</f>
        <v>0</v>
      </c>
      <c r="M3028" s="4"/>
      <c r="N3028" s="4"/>
      <c r="O3028" s="4">
        <v>0</v>
      </c>
      <c r="P3028" s="4"/>
      <c r="Q3028" s="4"/>
      <c r="R3028" s="7">
        <v>0</v>
      </c>
      <c r="S3028" s="7">
        <v>0</v>
      </c>
      <c r="T3028" s="7">
        <f>R3028-S3028</f>
        <v>0</v>
      </c>
      <c r="U3028" s="7">
        <f>T3028*O3028</f>
        <v>0</v>
      </c>
    </row>
    <row r="3029" spans="1:21">
      <c r="A3029" s="4" t="s">
        <v>4022</v>
      </c>
      <c r="B3029" s="4" t="s">
        <v>48</v>
      </c>
      <c r="C3029" s="5">
        <v>45958.50302083333</v>
      </c>
      <c r="D3029" s="5">
        <v>45961</v>
      </c>
      <c r="E3029" s="6">
        <f>IF(AND(C3029&lt;&gt;"",D3029&lt;&gt;""),D3029-C3029,"")</f>
        <v>0</v>
      </c>
      <c r="F3029" s="4" t="s">
        <v>1399</v>
      </c>
      <c r="G3029" s="4" t="s">
        <v>202</v>
      </c>
      <c r="H3029" s="4" t="s">
        <v>32</v>
      </c>
      <c r="I3029" s="4" t="s">
        <v>33</v>
      </c>
      <c r="J3029" s="4">
        <v>13</v>
      </c>
      <c r="K3029" s="4">
        <v>3</v>
      </c>
      <c r="L3029" s="4">
        <f>J3029+K3029</f>
        <v>0</v>
      </c>
      <c r="M3029" s="4"/>
      <c r="N3029" s="4"/>
      <c r="O3029" s="4">
        <v>0</v>
      </c>
      <c r="P3029" s="4"/>
      <c r="Q3029" s="4"/>
      <c r="R3029" s="7">
        <v>0</v>
      </c>
      <c r="S3029" s="7">
        <v>0</v>
      </c>
      <c r="T3029" s="7">
        <f>R3029-S3029</f>
        <v>0</v>
      </c>
      <c r="U3029" s="7">
        <f>T3029*O3029</f>
        <v>0</v>
      </c>
    </row>
    <row r="3030" spans="1:21">
      <c r="A3030" s="4" t="s">
        <v>4023</v>
      </c>
      <c r="B3030" s="4" t="s">
        <v>48</v>
      </c>
      <c r="C3030" s="5">
        <v>45958.54302083333</v>
      </c>
      <c r="D3030" s="5">
        <v>45961</v>
      </c>
      <c r="E3030" s="6">
        <f>IF(AND(C3030&lt;&gt;"",D3030&lt;&gt;""),D3030-C3030,"")</f>
        <v>0</v>
      </c>
      <c r="F3030" s="4" t="s">
        <v>64</v>
      </c>
      <c r="G3030" s="4" t="s">
        <v>65</v>
      </c>
      <c r="H3030" s="4" t="s">
        <v>32</v>
      </c>
      <c r="I3030" s="4" t="s">
        <v>33</v>
      </c>
      <c r="J3030" s="4">
        <v>12</v>
      </c>
      <c r="K3030" s="4">
        <v>3</v>
      </c>
      <c r="L3030" s="4">
        <f>J3030+K3030</f>
        <v>0</v>
      </c>
      <c r="M3030" s="4"/>
      <c r="N3030" s="4"/>
      <c r="O3030" s="4">
        <v>0</v>
      </c>
      <c r="P3030" s="4"/>
      <c r="Q3030" s="4"/>
      <c r="R3030" s="7">
        <v>0</v>
      </c>
      <c r="S3030" s="7">
        <v>0</v>
      </c>
      <c r="T3030" s="7">
        <f>R3030-S3030</f>
        <v>0</v>
      </c>
      <c r="U3030" s="7">
        <f>T3030*O3030</f>
        <v>0</v>
      </c>
    </row>
    <row r="3031" spans="1:21">
      <c r="A3031" s="4" t="s">
        <v>4024</v>
      </c>
      <c r="B3031" s="4" t="s">
        <v>39</v>
      </c>
      <c r="C3031" s="5">
        <v>45958.54304398148</v>
      </c>
      <c r="D3031" s="5">
        <v>45958</v>
      </c>
      <c r="E3031" s="6">
        <f>IF(AND(C3031&lt;&gt;"",D3031&lt;&gt;""),D3031-C3031,"")</f>
        <v>0</v>
      </c>
      <c r="F3031" s="4" t="s">
        <v>4025</v>
      </c>
      <c r="G3031" s="4" t="s">
        <v>4026</v>
      </c>
      <c r="H3031" s="4" t="s">
        <v>32</v>
      </c>
      <c r="I3031" s="4" t="s">
        <v>33</v>
      </c>
      <c r="J3031" s="4">
        <v>1</v>
      </c>
      <c r="K3031" s="4">
        <v>0</v>
      </c>
      <c r="L3031" s="4">
        <f>J3031+K3031</f>
        <v>0</v>
      </c>
      <c r="M3031" s="4" t="s">
        <v>2291</v>
      </c>
      <c r="N3031" s="4"/>
      <c r="O3031" s="4">
        <v>1</v>
      </c>
      <c r="P3031" s="4" t="s">
        <v>135</v>
      </c>
      <c r="Q3031" s="4" t="s">
        <v>44</v>
      </c>
      <c r="R3031" s="7">
        <v>1300000</v>
      </c>
      <c r="S3031" s="7">
        <v>0</v>
      </c>
      <c r="T3031" s="7">
        <f>R3031-S3031</f>
        <v>0</v>
      </c>
      <c r="U3031" s="7">
        <f>T3031*O3031</f>
        <v>0</v>
      </c>
    </row>
    <row r="3032" spans="1:21">
      <c r="A3032" s="4" t="s">
        <v>4027</v>
      </c>
      <c r="B3032" s="4" t="s">
        <v>48</v>
      </c>
      <c r="C3032" s="5">
        <v>45958.54708333333</v>
      </c>
      <c r="D3032" s="5">
        <v>45961</v>
      </c>
      <c r="E3032" s="6">
        <f>IF(AND(C3032&lt;&gt;"",D3032&lt;&gt;""),D3032-C3032,"")</f>
        <v>0</v>
      </c>
      <c r="F3032" s="4" t="s">
        <v>64</v>
      </c>
      <c r="G3032" s="4" t="s">
        <v>65</v>
      </c>
      <c r="H3032" s="4" t="s">
        <v>32</v>
      </c>
      <c r="I3032" s="4" t="s">
        <v>33</v>
      </c>
      <c r="J3032" s="4">
        <v>13</v>
      </c>
      <c r="K3032" s="4">
        <v>3</v>
      </c>
      <c r="L3032" s="4">
        <f>J3032+K3032</f>
        <v>0</v>
      </c>
      <c r="M3032" s="4"/>
      <c r="N3032" s="4"/>
      <c r="O3032" s="4">
        <v>0</v>
      </c>
      <c r="P3032" s="4"/>
      <c r="Q3032" s="4"/>
      <c r="R3032" s="7">
        <v>0</v>
      </c>
      <c r="S3032" s="7">
        <v>0</v>
      </c>
      <c r="T3032" s="7">
        <f>R3032-S3032</f>
        <v>0</v>
      </c>
      <c r="U3032" s="7">
        <f>T3032*O3032</f>
        <v>0</v>
      </c>
    </row>
    <row r="3033" spans="1:21">
      <c r="A3033" s="4" t="s">
        <v>4028</v>
      </c>
      <c r="B3033" s="4" t="s">
        <v>48</v>
      </c>
      <c r="C3033" s="5">
        <v>45958.55567129629</v>
      </c>
      <c r="D3033" s="5">
        <v>45961</v>
      </c>
      <c r="E3033" s="6">
        <f>IF(AND(C3033&lt;&gt;"",D3033&lt;&gt;""),D3033-C3033,"")</f>
        <v>0</v>
      </c>
      <c r="F3033" s="4" t="s">
        <v>2408</v>
      </c>
      <c r="G3033" s="4" t="s">
        <v>2404</v>
      </c>
      <c r="H3033" s="4" t="s">
        <v>32</v>
      </c>
      <c r="I3033" s="4" t="s">
        <v>33</v>
      </c>
      <c r="J3033" s="4">
        <v>12</v>
      </c>
      <c r="K3033" s="4">
        <v>3</v>
      </c>
      <c r="L3033" s="4">
        <f>J3033+K3033</f>
        <v>0</v>
      </c>
      <c r="M3033" s="4"/>
      <c r="N3033" s="4"/>
      <c r="O3033" s="4">
        <v>0</v>
      </c>
      <c r="P3033" s="4"/>
      <c r="Q3033" s="4"/>
      <c r="R3033" s="7">
        <v>0</v>
      </c>
      <c r="S3033" s="7">
        <v>0</v>
      </c>
      <c r="T3033" s="7">
        <f>R3033-S3033</f>
        <v>0</v>
      </c>
      <c r="U3033" s="7">
        <f>T3033*O3033</f>
        <v>0</v>
      </c>
    </row>
    <row r="3034" spans="1:21">
      <c r="A3034" s="4" t="s">
        <v>4029</v>
      </c>
      <c r="B3034" s="4" t="s">
        <v>48</v>
      </c>
      <c r="C3034" s="5">
        <v>45958.56118055555</v>
      </c>
      <c r="D3034" s="5">
        <v>45961</v>
      </c>
      <c r="E3034" s="6">
        <f>IF(AND(C3034&lt;&gt;"",D3034&lt;&gt;""),D3034-C3034,"")</f>
        <v>0</v>
      </c>
      <c r="F3034" s="4" t="s">
        <v>64</v>
      </c>
      <c r="G3034" s="4" t="s">
        <v>4030</v>
      </c>
      <c r="H3034" s="4" t="s">
        <v>32</v>
      </c>
      <c r="I3034" s="4" t="s">
        <v>33</v>
      </c>
      <c r="J3034" s="4">
        <v>12</v>
      </c>
      <c r="K3034" s="4">
        <v>3</v>
      </c>
      <c r="L3034" s="4">
        <f>J3034+K3034</f>
        <v>0</v>
      </c>
      <c r="M3034" s="4"/>
      <c r="N3034" s="4"/>
      <c r="O3034" s="4">
        <v>0</v>
      </c>
      <c r="P3034" s="4"/>
      <c r="Q3034" s="4"/>
      <c r="R3034" s="7">
        <v>0</v>
      </c>
      <c r="S3034" s="7">
        <v>0</v>
      </c>
      <c r="T3034" s="7">
        <f>R3034-S3034</f>
        <v>0</v>
      </c>
      <c r="U3034" s="7">
        <f>T3034*O3034</f>
        <v>0</v>
      </c>
    </row>
    <row r="3035" spans="1:21">
      <c r="A3035" s="4" t="s">
        <v>4031</v>
      </c>
      <c r="B3035" s="4" t="s">
        <v>39</v>
      </c>
      <c r="C3035" s="5">
        <v>45958.56204861111</v>
      </c>
      <c r="D3035" s="5">
        <v>45958</v>
      </c>
      <c r="E3035" s="6">
        <f>IF(AND(C3035&lt;&gt;"",D3035&lt;&gt;""),D3035-C3035,"")</f>
        <v>0</v>
      </c>
      <c r="F3035" s="4" t="s">
        <v>4032</v>
      </c>
      <c r="G3035" s="4" t="s">
        <v>4033</v>
      </c>
      <c r="H3035" s="4" t="s">
        <v>32</v>
      </c>
      <c r="I3035" s="4" t="s">
        <v>33</v>
      </c>
      <c r="J3035" s="4">
        <v>1</v>
      </c>
      <c r="K3035" s="4">
        <v>0</v>
      </c>
      <c r="L3035" s="4">
        <f>J3035+K3035</f>
        <v>0</v>
      </c>
      <c r="M3035" s="4" t="s">
        <v>42</v>
      </c>
      <c r="N3035" s="4"/>
      <c r="O3035" s="4">
        <v>1</v>
      </c>
      <c r="P3035" s="4" t="s">
        <v>135</v>
      </c>
      <c r="Q3035" s="4" t="s">
        <v>44</v>
      </c>
      <c r="R3035" s="7">
        <v>370000</v>
      </c>
      <c r="S3035" s="7">
        <v>0</v>
      </c>
      <c r="T3035" s="7">
        <f>R3035-S3035</f>
        <v>0</v>
      </c>
      <c r="U3035" s="7">
        <f>T3035*O3035</f>
        <v>0</v>
      </c>
    </row>
    <row r="3036" spans="1:21">
      <c r="A3036" s="4" t="s">
        <v>4031</v>
      </c>
      <c r="B3036" s="4" t="s">
        <v>39</v>
      </c>
      <c r="C3036" s="5">
        <v>45958.56204861111</v>
      </c>
      <c r="D3036" s="5">
        <v>45958</v>
      </c>
      <c r="E3036" s="6">
        <f>IF(AND(C3036&lt;&gt;"",D3036&lt;&gt;""),D3036-C3036,"")</f>
        <v>0</v>
      </c>
      <c r="F3036" s="4" t="s">
        <v>4032</v>
      </c>
      <c r="G3036" s="4" t="s">
        <v>4033</v>
      </c>
      <c r="H3036" s="4" t="s">
        <v>32</v>
      </c>
      <c r="I3036" s="4" t="s">
        <v>33</v>
      </c>
      <c r="J3036" s="4">
        <v>1</v>
      </c>
      <c r="K3036" s="4">
        <v>0</v>
      </c>
      <c r="L3036" s="4">
        <f>J3036+K3036</f>
        <v>0</v>
      </c>
      <c r="M3036" s="4" t="s">
        <v>42</v>
      </c>
      <c r="N3036" s="4"/>
      <c r="O3036" s="4">
        <v>1</v>
      </c>
      <c r="P3036" s="4" t="s">
        <v>135</v>
      </c>
      <c r="Q3036" s="4" t="s">
        <v>44</v>
      </c>
      <c r="R3036" s="7">
        <v>370000</v>
      </c>
      <c r="S3036" s="7">
        <v>0</v>
      </c>
      <c r="T3036" s="7">
        <f>R3036-S3036</f>
        <v>0</v>
      </c>
      <c r="U3036" s="7">
        <f>T3036*O3036</f>
        <v>0</v>
      </c>
    </row>
    <row r="3037" spans="1:21">
      <c r="A3037" s="4" t="s">
        <v>4031</v>
      </c>
      <c r="B3037" s="4" t="s">
        <v>39</v>
      </c>
      <c r="C3037" s="5">
        <v>45958.56204861111</v>
      </c>
      <c r="D3037" s="5">
        <v>45958</v>
      </c>
      <c r="E3037" s="6">
        <f>IF(AND(C3037&lt;&gt;"",D3037&lt;&gt;""),D3037-C3037,"")</f>
        <v>0</v>
      </c>
      <c r="F3037" s="4" t="s">
        <v>4032</v>
      </c>
      <c r="G3037" s="4" t="s">
        <v>4033</v>
      </c>
      <c r="H3037" s="4" t="s">
        <v>32</v>
      </c>
      <c r="I3037" s="4" t="s">
        <v>33</v>
      </c>
      <c r="J3037" s="4">
        <v>1</v>
      </c>
      <c r="K3037" s="4">
        <v>0</v>
      </c>
      <c r="L3037" s="4">
        <f>J3037+K3037</f>
        <v>0</v>
      </c>
      <c r="M3037" s="4" t="s">
        <v>42</v>
      </c>
      <c r="N3037" s="4"/>
      <c r="O3037" s="4">
        <v>1</v>
      </c>
      <c r="P3037" s="4" t="s">
        <v>135</v>
      </c>
      <c r="Q3037" s="4" t="s">
        <v>44</v>
      </c>
      <c r="R3037" s="7">
        <v>370000</v>
      </c>
      <c r="S3037" s="7">
        <v>0</v>
      </c>
      <c r="T3037" s="7">
        <f>R3037-S3037</f>
        <v>0</v>
      </c>
      <c r="U3037" s="7">
        <f>T3037*O3037</f>
        <v>0</v>
      </c>
    </row>
    <row r="3038" spans="1:21">
      <c r="A3038" s="4" t="s">
        <v>4031</v>
      </c>
      <c r="B3038" s="4" t="s">
        <v>39</v>
      </c>
      <c r="C3038" s="5">
        <v>45958.56204861111</v>
      </c>
      <c r="D3038" s="5">
        <v>45958</v>
      </c>
      <c r="E3038" s="6">
        <f>IF(AND(C3038&lt;&gt;"",D3038&lt;&gt;""),D3038-C3038,"")</f>
        <v>0</v>
      </c>
      <c r="F3038" s="4" t="s">
        <v>4032</v>
      </c>
      <c r="G3038" s="4" t="s">
        <v>4033</v>
      </c>
      <c r="H3038" s="4" t="s">
        <v>32</v>
      </c>
      <c r="I3038" s="4" t="s">
        <v>33</v>
      </c>
      <c r="J3038" s="4">
        <v>1</v>
      </c>
      <c r="K3038" s="4">
        <v>0</v>
      </c>
      <c r="L3038" s="4">
        <f>J3038+K3038</f>
        <v>0</v>
      </c>
      <c r="M3038" s="4" t="s">
        <v>42</v>
      </c>
      <c r="N3038" s="4"/>
      <c r="O3038" s="4">
        <v>1</v>
      </c>
      <c r="P3038" s="4" t="s">
        <v>135</v>
      </c>
      <c r="Q3038" s="4" t="s">
        <v>44</v>
      </c>
      <c r="R3038" s="7">
        <v>370000</v>
      </c>
      <c r="S3038" s="7">
        <v>0</v>
      </c>
      <c r="T3038" s="7">
        <f>R3038-S3038</f>
        <v>0</v>
      </c>
      <c r="U3038" s="7">
        <f>T3038*O3038</f>
        <v>0</v>
      </c>
    </row>
    <row r="3039" spans="1:21">
      <c r="A3039" s="4" t="s">
        <v>4031</v>
      </c>
      <c r="B3039" s="4" t="s">
        <v>39</v>
      </c>
      <c r="C3039" s="5">
        <v>45958.56204861111</v>
      </c>
      <c r="D3039" s="5">
        <v>45958</v>
      </c>
      <c r="E3039" s="6">
        <f>IF(AND(C3039&lt;&gt;"",D3039&lt;&gt;""),D3039-C3039,"")</f>
        <v>0</v>
      </c>
      <c r="F3039" s="4" t="s">
        <v>4032</v>
      </c>
      <c r="G3039" s="4" t="s">
        <v>4033</v>
      </c>
      <c r="H3039" s="4" t="s">
        <v>32</v>
      </c>
      <c r="I3039" s="4" t="s">
        <v>33</v>
      </c>
      <c r="J3039" s="4">
        <v>1</v>
      </c>
      <c r="K3039" s="4">
        <v>0</v>
      </c>
      <c r="L3039" s="4">
        <f>J3039+K3039</f>
        <v>0</v>
      </c>
      <c r="M3039" s="4" t="s">
        <v>42</v>
      </c>
      <c r="N3039" s="4"/>
      <c r="O3039" s="4">
        <v>1</v>
      </c>
      <c r="P3039" s="4" t="s">
        <v>135</v>
      </c>
      <c r="Q3039" s="4" t="s">
        <v>44</v>
      </c>
      <c r="R3039" s="7">
        <v>370000</v>
      </c>
      <c r="S3039" s="7">
        <v>0</v>
      </c>
      <c r="T3039" s="7">
        <f>R3039-S3039</f>
        <v>0</v>
      </c>
      <c r="U3039" s="7">
        <f>T3039*O3039</f>
        <v>0</v>
      </c>
    </row>
    <row r="3040" spans="1:21">
      <c r="A3040" s="4" t="s">
        <v>4031</v>
      </c>
      <c r="B3040" s="4" t="s">
        <v>39</v>
      </c>
      <c r="C3040" s="5">
        <v>45958.56204861111</v>
      </c>
      <c r="D3040" s="5">
        <v>45958</v>
      </c>
      <c r="E3040" s="6">
        <f>IF(AND(C3040&lt;&gt;"",D3040&lt;&gt;""),D3040-C3040,"")</f>
        <v>0</v>
      </c>
      <c r="F3040" s="4" t="s">
        <v>4032</v>
      </c>
      <c r="G3040" s="4" t="s">
        <v>4033</v>
      </c>
      <c r="H3040" s="4" t="s">
        <v>32</v>
      </c>
      <c r="I3040" s="4" t="s">
        <v>33</v>
      </c>
      <c r="J3040" s="4">
        <v>1</v>
      </c>
      <c r="K3040" s="4">
        <v>0</v>
      </c>
      <c r="L3040" s="4">
        <f>J3040+K3040</f>
        <v>0</v>
      </c>
      <c r="M3040" s="4" t="s">
        <v>42</v>
      </c>
      <c r="N3040" s="4"/>
      <c r="O3040" s="4">
        <v>1</v>
      </c>
      <c r="P3040" s="4" t="s">
        <v>135</v>
      </c>
      <c r="Q3040" s="4" t="s">
        <v>44</v>
      </c>
      <c r="R3040" s="7">
        <v>370000</v>
      </c>
      <c r="S3040" s="7">
        <v>0</v>
      </c>
      <c r="T3040" s="7">
        <f>R3040-S3040</f>
        <v>0</v>
      </c>
      <c r="U3040" s="7">
        <f>T3040*O3040</f>
        <v>0</v>
      </c>
    </row>
    <row r="3041" spans="1:21">
      <c r="A3041" s="4" t="s">
        <v>4031</v>
      </c>
      <c r="B3041" s="4" t="s">
        <v>39</v>
      </c>
      <c r="C3041" s="5">
        <v>45958.56204861111</v>
      </c>
      <c r="D3041" s="5">
        <v>45958</v>
      </c>
      <c r="E3041" s="6">
        <f>IF(AND(C3041&lt;&gt;"",D3041&lt;&gt;""),D3041-C3041,"")</f>
        <v>0</v>
      </c>
      <c r="F3041" s="4" t="s">
        <v>4032</v>
      </c>
      <c r="G3041" s="4" t="s">
        <v>4033</v>
      </c>
      <c r="H3041" s="4" t="s">
        <v>32</v>
      </c>
      <c r="I3041" s="4" t="s">
        <v>33</v>
      </c>
      <c r="J3041" s="4">
        <v>1</v>
      </c>
      <c r="K3041" s="4">
        <v>0</v>
      </c>
      <c r="L3041" s="4">
        <f>J3041+K3041</f>
        <v>0</v>
      </c>
      <c r="M3041" s="4" t="s">
        <v>42</v>
      </c>
      <c r="N3041" s="4"/>
      <c r="O3041" s="4">
        <v>1</v>
      </c>
      <c r="P3041" s="4" t="s">
        <v>135</v>
      </c>
      <c r="Q3041" s="4" t="s">
        <v>44</v>
      </c>
      <c r="R3041" s="7">
        <v>370000</v>
      </c>
      <c r="S3041" s="7">
        <v>0</v>
      </c>
      <c r="T3041" s="7">
        <f>R3041-S3041</f>
        <v>0</v>
      </c>
      <c r="U3041" s="7">
        <f>T3041*O3041</f>
        <v>0</v>
      </c>
    </row>
    <row r="3042" spans="1:21">
      <c r="A3042" s="4" t="s">
        <v>4031</v>
      </c>
      <c r="B3042" s="4" t="s">
        <v>39</v>
      </c>
      <c r="C3042" s="5">
        <v>45958.56204861111</v>
      </c>
      <c r="D3042" s="5">
        <v>45958</v>
      </c>
      <c r="E3042" s="6">
        <f>IF(AND(C3042&lt;&gt;"",D3042&lt;&gt;""),D3042-C3042,"")</f>
        <v>0</v>
      </c>
      <c r="F3042" s="4" t="s">
        <v>4032</v>
      </c>
      <c r="G3042" s="4" t="s">
        <v>4033</v>
      </c>
      <c r="H3042" s="4" t="s">
        <v>32</v>
      </c>
      <c r="I3042" s="4" t="s">
        <v>33</v>
      </c>
      <c r="J3042" s="4">
        <v>1</v>
      </c>
      <c r="K3042" s="4">
        <v>0</v>
      </c>
      <c r="L3042" s="4">
        <f>J3042+K3042</f>
        <v>0</v>
      </c>
      <c r="M3042" s="4" t="s">
        <v>42</v>
      </c>
      <c r="N3042" s="4"/>
      <c r="O3042" s="4">
        <v>1</v>
      </c>
      <c r="P3042" s="4" t="s">
        <v>135</v>
      </c>
      <c r="Q3042" s="4" t="s">
        <v>44</v>
      </c>
      <c r="R3042" s="7">
        <v>370000</v>
      </c>
      <c r="S3042" s="7">
        <v>0</v>
      </c>
      <c r="T3042" s="7">
        <f>R3042-S3042</f>
        <v>0</v>
      </c>
      <c r="U3042" s="7">
        <f>T3042*O3042</f>
        <v>0</v>
      </c>
    </row>
    <row r="3043" spans="1:21">
      <c r="A3043" s="4" t="s">
        <v>4031</v>
      </c>
      <c r="B3043" s="4" t="s">
        <v>39</v>
      </c>
      <c r="C3043" s="5">
        <v>45958.56204861111</v>
      </c>
      <c r="D3043" s="5">
        <v>45958</v>
      </c>
      <c r="E3043" s="6">
        <f>IF(AND(C3043&lt;&gt;"",D3043&lt;&gt;""),D3043-C3043,"")</f>
        <v>0</v>
      </c>
      <c r="F3043" s="4" t="s">
        <v>4032</v>
      </c>
      <c r="G3043" s="4" t="s">
        <v>4033</v>
      </c>
      <c r="H3043" s="4" t="s">
        <v>32</v>
      </c>
      <c r="I3043" s="4" t="s">
        <v>33</v>
      </c>
      <c r="J3043" s="4">
        <v>1</v>
      </c>
      <c r="K3043" s="4">
        <v>0</v>
      </c>
      <c r="L3043" s="4">
        <f>J3043+K3043</f>
        <v>0</v>
      </c>
      <c r="M3043" s="4" t="s">
        <v>42</v>
      </c>
      <c r="N3043" s="4"/>
      <c r="O3043" s="4">
        <v>1</v>
      </c>
      <c r="P3043" s="4" t="s">
        <v>135</v>
      </c>
      <c r="Q3043" s="4" t="s">
        <v>44</v>
      </c>
      <c r="R3043" s="7">
        <v>370000</v>
      </c>
      <c r="S3043" s="7">
        <v>0</v>
      </c>
      <c r="T3043" s="7">
        <f>R3043-S3043</f>
        <v>0</v>
      </c>
      <c r="U3043" s="7">
        <f>T3043*O3043</f>
        <v>0</v>
      </c>
    </row>
    <row r="3044" spans="1:21">
      <c r="A3044" s="4" t="s">
        <v>4031</v>
      </c>
      <c r="B3044" s="4" t="s">
        <v>39</v>
      </c>
      <c r="C3044" s="5">
        <v>45958.56204861111</v>
      </c>
      <c r="D3044" s="5">
        <v>45958</v>
      </c>
      <c r="E3044" s="6">
        <f>IF(AND(C3044&lt;&gt;"",D3044&lt;&gt;""),D3044-C3044,"")</f>
        <v>0</v>
      </c>
      <c r="F3044" s="4" t="s">
        <v>4032</v>
      </c>
      <c r="G3044" s="4" t="s">
        <v>4033</v>
      </c>
      <c r="H3044" s="4" t="s">
        <v>32</v>
      </c>
      <c r="I3044" s="4" t="s">
        <v>33</v>
      </c>
      <c r="J3044" s="4">
        <v>1</v>
      </c>
      <c r="K3044" s="4">
        <v>0</v>
      </c>
      <c r="L3044" s="4">
        <f>J3044+K3044</f>
        <v>0</v>
      </c>
      <c r="M3044" s="4" t="s">
        <v>42</v>
      </c>
      <c r="N3044" s="4"/>
      <c r="O3044" s="4">
        <v>1</v>
      </c>
      <c r="P3044" s="4" t="s">
        <v>135</v>
      </c>
      <c r="Q3044" s="4" t="s">
        <v>44</v>
      </c>
      <c r="R3044" s="7">
        <v>370000</v>
      </c>
      <c r="S3044" s="7">
        <v>0</v>
      </c>
      <c r="T3044" s="7">
        <f>R3044-S3044</f>
        <v>0</v>
      </c>
      <c r="U3044" s="7">
        <f>T3044*O3044</f>
        <v>0</v>
      </c>
    </row>
    <row r="3045" spans="1:21">
      <c r="A3045" s="4" t="s">
        <v>4031</v>
      </c>
      <c r="B3045" s="4" t="s">
        <v>39</v>
      </c>
      <c r="C3045" s="5">
        <v>45958.56204861111</v>
      </c>
      <c r="D3045" s="5">
        <v>45958</v>
      </c>
      <c r="E3045" s="6">
        <f>IF(AND(C3045&lt;&gt;"",D3045&lt;&gt;""),D3045-C3045,"")</f>
        <v>0</v>
      </c>
      <c r="F3045" s="4" t="s">
        <v>4032</v>
      </c>
      <c r="G3045" s="4" t="s">
        <v>4033</v>
      </c>
      <c r="H3045" s="4" t="s">
        <v>32</v>
      </c>
      <c r="I3045" s="4" t="s">
        <v>33</v>
      </c>
      <c r="J3045" s="4">
        <v>1</v>
      </c>
      <c r="K3045" s="4">
        <v>0</v>
      </c>
      <c r="L3045" s="4">
        <f>J3045+K3045</f>
        <v>0</v>
      </c>
      <c r="M3045" s="4" t="s">
        <v>42</v>
      </c>
      <c r="N3045" s="4"/>
      <c r="O3045" s="4">
        <v>1</v>
      </c>
      <c r="P3045" s="4" t="s">
        <v>135</v>
      </c>
      <c r="Q3045" s="4" t="s">
        <v>44</v>
      </c>
      <c r="R3045" s="7">
        <v>370000</v>
      </c>
      <c r="S3045" s="7">
        <v>0</v>
      </c>
      <c r="T3045" s="7">
        <f>R3045-S3045</f>
        <v>0</v>
      </c>
      <c r="U3045" s="7">
        <f>T3045*O3045</f>
        <v>0</v>
      </c>
    </row>
    <row r="3046" spans="1:21">
      <c r="A3046" s="4" t="s">
        <v>4031</v>
      </c>
      <c r="B3046" s="4" t="s">
        <v>39</v>
      </c>
      <c r="C3046" s="5">
        <v>45958.56204861111</v>
      </c>
      <c r="D3046" s="5">
        <v>45958</v>
      </c>
      <c r="E3046" s="6">
        <f>IF(AND(C3046&lt;&gt;"",D3046&lt;&gt;""),D3046-C3046,"")</f>
        <v>0</v>
      </c>
      <c r="F3046" s="4" t="s">
        <v>4032</v>
      </c>
      <c r="G3046" s="4" t="s">
        <v>4033</v>
      </c>
      <c r="H3046" s="4" t="s">
        <v>32</v>
      </c>
      <c r="I3046" s="4" t="s">
        <v>33</v>
      </c>
      <c r="J3046" s="4">
        <v>1</v>
      </c>
      <c r="K3046" s="4">
        <v>0</v>
      </c>
      <c r="L3046" s="4">
        <f>J3046+K3046</f>
        <v>0</v>
      </c>
      <c r="M3046" s="4" t="s">
        <v>42</v>
      </c>
      <c r="N3046" s="4"/>
      <c r="O3046" s="4">
        <v>1</v>
      </c>
      <c r="P3046" s="4" t="s">
        <v>135</v>
      </c>
      <c r="Q3046" s="4" t="s">
        <v>44</v>
      </c>
      <c r="R3046" s="7">
        <v>370000</v>
      </c>
      <c r="S3046" s="7">
        <v>0</v>
      </c>
      <c r="T3046" s="7">
        <f>R3046-S3046</f>
        <v>0</v>
      </c>
      <c r="U3046" s="7">
        <f>T3046*O3046</f>
        <v>0</v>
      </c>
    </row>
    <row r="3047" spans="1:21">
      <c r="A3047" s="4" t="s">
        <v>4031</v>
      </c>
      <c r="B3047" s="4" t="s">
        <v>39</v>
      </c>
      <c r="C3047" s="5">
        <v>45958.56204861111</v>
      </c>
      <c r="D3047" s="5">
        <v>45958</v>
      </c>
      <c r="E3047" s="6">
        <f>IF(AND(C3047&lt;&gt;"",D3047&lt;&gt;""),D3047-C3047,"")</f>
        <v>0</v>
      </c>
      <c r="F3047" s="4" t="s">
        <v>4032</v>
      </c>
      <c r="G3047" s="4" t="s">
        <v>4033</v>
      </c>
      <c r="H3047" s="4" t="s">
        <v>32</v>
      </c>
      <c r="I3047" s="4" t="s">
        <v>33</v>
      </c>
      <c r="J3047" s="4">
        <v>1</v>
      </c>
      <c r="K3047" s="4">
        <v>0</v>
      </c>
      <c r="L3047" s="4">
        <f>J3047+K3047</f>
        <v>0</v>
      </c>
      <c r="M3047" s="4" t="s">
        <v>42</v>
      </c>
      <c r="N3047" s="4"/>
      <c r="O3047" s="4">
        <v>1</v>
      </c>
      <c r="P3047" s="4" t="s">
        <v>135</v>
      </c>
      <c r="Q3047" s="4" t="s">
        <v>44</v>
      </c>
      <c r="R3047" s="7">
        <v>370000</v>
      </c>
      <c r="S3047" s="7">
        <v>0</v>
      </c>
      <c r="T3047" s="7">
        <f>R3047-S3047</f>
        <v>0</v>
      </c>
      <c r="U3047" s="7">
        <f>T3047*O3047</f>
        <v>0</v>
      </c>
    </row>
    <row r="3048" spans="1:21">
      <c r="A3048" s="4" t="s">
        <v>4031</v>
      </c>
      <c r="B3048" s="4" t="s">
        <v>39</v>
      </c>
      <c r="C3048" s="5">
        <v>45958.56204861111</v>
      </c>
      <c r="D3048" s="5">
        <v>45958</v>
      </c>
      <c r="E3048" s="6">
        <f>IF(AND(C3048&lt;&gt;"",D3048&lt;&gt;""),D3048-C3048,"")</f>
        <v>0</v>
      </c>
      <c r="F3048" s="4" t="s">
        <v>4032</v>
      </c>
      <c r="G3048" s="4" t="s">
        <v>4033</v>
      </c>
      <c r="H3048" s="4" t="s">
        <v>32</v>
      </c>
      <c r="I3048" s="4" t="s">
        <v>33</v>
      </c>
      <c r="J3048" s="4">
        <v>1</v>
      </c>
      <c r="K3048" s="4">
        <v>0</v>
      </c>
      <c r="L3048" s="4">
        <f>J3048+K3048</f>
        <v>0</v>
      </c>
      <c r="M3048" s="4" t="s">
        <v>42</v>
      </c>
      <c r="N3048" s="4"/>
      <c r="O3048" s="4">
        <v>1</v>
      </c>
      <c r="P3048" s="4" t="s">
        <v>135</v>
      </c>
      <c r="Q3048" s="4" t="s">
        <v>44</v>
      </c>
      <c r="R3048" s="7">
        <v>370000</v>
      </c>
      <c r="S3048" s="7">
        <v>0</v>
      </c>
      <c r="T3048" s="7">
        <f>R3048-S3048</f>
        <v>0</v>
      </c>
      <c r="U3048" s="7">
        <f>T3048*O3048</f>
        <v>0</v>
      </c>
    </row>
    <row r="3049" spans="1:21">
      <c r="A3049" s="4" t="s">
        <v>4031</v>
      </c>
      <c r="B3049" s="4" t="s">
        <v>39</v>
      </c>
      <c r="C3049" s="5">
        <v>45958.56204861111</v>
      </c>
      <c r="D3049" s="5">
        <v>45958</v>
      </c>
      <c r="E3049" s="6">
        <f>IF(AND(C3049&lt;&gt;"",D3049&lt;&gt;""),D3049-C3049,"")</f>
        <v>0</v>
      </c>
      <c r="F3049" s="4" t="s">
        <v>4032</v>
      </c>
      <c r="G3049" s="4" t="s">
        <v>4033</v>
      </c>
      <c r="H3049" s="4" t="s">
        <v>32</v>
      </c>
      <c r="I3049" s="4" t="s">
        <v>33</v>
      </c>
      <c r="J3049" s="4">
        <v>1</v>
      </c>
      <c r="K3049" s="4">
        <v>0</v>
      </c>
      <c r="L3049" s="4">
        <f>J3049+K3049</f>
        <v>0</v>
      </c>
      <c r="M3049" s="4" t="s">
        <v>42</v>
      </c>
      <c r="N3049" s="4"/>
      <c r="O3049" s="4">
        <v>1</v>
      </c>
      <c r="P3049" s="4" t="s">
        <v>135</v>
      </c>
      <c r="Q3049" s="4" t="s">
        <v>44</v>
      </c>
      <c r="R3049" s="7">
        <v>370000</v>
      </c>
      <c r="S3049" s="7">
        <v>0</v>
      </c>
      <c r="T3049" s="7">
        <f>R3049-S3049</f>
        <v>0</v>
      </c>
      <c r="U3049" s="7">
        <f>T3049*O3049</f>
        <v>0</v>
      </c>
    </row>
    <row r="3050" spans="1:21">
      <c r="A3050" s="4" t="s">
        <v>4031</v>
      </c>
      <c r="B3050" s="4" t="s">
        <v>39</v>
      </c>
      <c r="C3050" s="5">
        <v>45958.56204861111</v>
      </c>
      <c r="D3050" s="5">
        <v>45958</v>
      </c>
      <c r="E3050" s="6">
        <f>IF(AND(C3050&lt;&gt;"",D3050&lt;&gt;""),D3050-C3050,"")</f>
        <v>0</v>
      </c>
      <c r="F3050" s="4" t="s">
        <v>4032</v>
      </c>
      <c r="G3050" s="4" t="s">
        <v>4033</v>
      </c>
      <c r="H3050" s="4" t="s">
        <v>32</v>
      </c>
      <c r="I3050" s="4" t="s">
        <v>33</v>
      </c>
      <c r="J3050" s="4">
        <v>1</v>
      </c>
      <c r="K3050" s="4">
        <v>0</v>
      </c>
      <c r="L3050" s="4">
        <f>J3050+K3050</f>
        <v>0</v>
      </c>
      <c r="M3050" s="4" t="s">
        <v>42</v>
      </c>
      <c r="N3050" s="4"/>
      <c r="O3050" s="4">
        <v>1</v>
      </c>
      <c r="P3050" s="4" t="s">
        <v>135</v>
      </c>
      <c r="Q3050" s="4" t="s">
        <v>44</v>
      </c>
      <c r="R3050" s="7">
        <v>370000</v>
      </c>
      <c r="S3050" s="7">
        <v>0</v>
      </c>
      <c r="T3050" s="7">
        <f>R3050-S3050</f>
        <v>0</v>
      </c>
      <c r="U3050" s="7">
        <f>T3050*O3050</f>
        <v>0</v>
      </c>
    </row>
    <row r="3051" spans="1:21">
      <c r="A3051" s="4" t="s">
        <v>4031</v>
      </c>
      <c r="B3051" s="4" t="s">
        <v>39</v>
      </c>
      <c r="C3051" s="5">
        <v>45958.56204861111</v>
      </c>
      <c r="D3051" s="5">
        <v>45958</v>
      </c>
      <c r="E3051" s="6">
        <f>IF(AND(C3051&lt;&gt;"",D3051&lt;&gt;""),D3051-C3051,"")</f>
        <v>0</v>
      </c>
      <c r="F3051" s="4" t="s">
        <v>4032</v>
      </c>
      <c r="G3051" s="4" t="s">
        <v>4033</v>
      </c>
      <c r="H3051" s="4" t="s">
        <v>32</v>
      </c>
      <c r="I3051" s="4" t="s">
        <v>33</v>
      </c>
      <c r="J3051" s="4">
        <v>1</v>
      </c>
      <c r="K3051" s="4">
        <v>0</v>
      </c>
      <c r="L3051" s="4">
        <f>J3051+K3051</f>
        <v>0</v>
      </c>
      <c r="M3051" s="4" t="s">
        <v>42</v>
      </c>
      <c r="N3051" s="4"/>
      <c r="O3051" s="4">
        <v>1</v>
      </c>
      <c r="P3051" s="4" t="s">
        <v>135</v>
      </c>
      <c r="Q3051" s="4" t="s">
        <v>44</v>
      </c>
      <c r="R3051" s="7">
        <v>370000</v>
      </c>
      <c r="S3051" s="7">
        <v>0</v>
      </c>
      <c r="T3051" s="7">
        <f>R3051-S3051</f>
        <v>0</v>
      </c>
      <c r="U3051" s="7">
        <f>T3051*O3051</f>
        <v>0</v>
      </c>
    </row>
    <row r="3052" spans="1:21">
      <c r="A3052" s="4" t="s">
        <v>4031</v>
      </c>
      <c r="B3052" s="4" t="s">
        <v>39</v>
      </c>
      <c r="C3052" s="5">
        <v>45958.56204861111</v>
      </c>
      <c r="D3052" s="5">
        <v>45958</v>
      </c>
      <c r="E3052" s="6">
        <f>IF(AND(C3052&lt;&gt;"",D3052&lt;&gt;""),D3052-C3052,"")</f>
        <v>0</v>
      </c>
      <c r="F3052" s="4" t="s">
        <v>4032</v>
      </c>
      <c r="G3052" s="4" t="s">
        <v>4033</v>
      </c>
      <c r="H3052" s="4" t="s">
        <v>32</v>
      </c>
      <c r="I3052" s="4" t="s">
        <v>33</v>
      </c>
      <c r="J3052" s="4">
        <v>1</v>
      </c>
      <c r="K3052" s="4">
        <v>0</v>
      </c>
      <c r="L3052" s="4">
        <f>J3052+K3052</f>
        <v>0</v>
      </c>
      <c r="M3052" s="4" t="s">
        <v>42</v>
      </c>
      <c r="N3052" s="4"/>
      <c r="O3052" s="4">
        <v>1</v>
      </c>
      <c r="P3052" s="4" t="s">
        <v>135</v>
      </c>
      <c r="Q3052" s="4" t="s">
        <v>44</v>
      </c>
      <c r="R3052" s="7">
        <v>370000</v>
      </c>
      <c r="S3052" s="7">
        <v>0</v>
      </c>
      <c r="T3052" s="7">
        <f>R3052-S3052</f>
        <v>0</v>
      </c>
      <c r="U3052" s="7">
        <f>T3052*O3052</f>
        <v>0</v>
      </c>
    </row>
    <row r="3053" spans="1:21">
      <c r="A3053" s="4" t="s">
        <v>4031</v>
      </c>
      <c r="B3053" s="4" t="s">
        <v>39</v>
      </c>
      <c r="C3053" s="5">
        <v>45958.56204861111</v>
      </c>
      <c r="D3053" s="5">
        <v>45958</v>
      </c>
      <c r="E3053" s="6">
        <f>IF(AND(C3053&lt;&gt;"",D3053&lt;&gt;""),D3053-C3053,"")</f>
        <v>0</v>
      </c>
      <c r="F3053" s="4" t="s">
        <v>4032</v>
      </c>
      <c r="G3053" s="4" t="s">
        <v>4033</v>
      </c>
      <c r="H3053" s="4" t="s">
        <v>32</v>
      </c>
      <c r="I3053" s="4" t="s">
        <v>33</v>
      </c>
      <c r="J3053" s="4">
        <v>1</v>
      </c>
      <c r="K3053" s="4">
        <v>0</v>
      </c>
      <c r="L3053" s="4">
        <f>J3053+K3053</f>
        <v>0</v>
      </c>
      <c r="M3053" s="4" t="s">
        <v>42</v>
      </c>
      <c r="N3053" s="4"/>
      <c r="O3053" s="4">
        <v>1</v>
      </c>
      <c r="P3053" s="4" t="s">
        <v>135</v>
      </c>
      <c r="Q3053" s="4" t="s">
        <v>44</v>
      </c>
      <c r="R3053" s="7">
        <v>370000</v>
      </c>
      <c r="S3053" s="7">
        <v>0</v>
      </c>
      <c r="T3053" s="7">
        <f>R3053-S3053</f>
        <v>0</v>
      </c>
      <c r="U3053" s="7">
        <f>T3053*O3053</f>
        <v>0</v>
      </c>
    </row>
    <row r="3054" spans="1:21">
      <c r="A3054" s="4" t="s">
        <v>4031</v>
      </c>
      <c r="B3054" s="4" t="s">
        <v>39</v>
      </c>
      <c r="C3054" s="5">
        <v>45958.56204861111</v>
      </c>
      <c r="D3054" s="5">
        <v>45958</v>
      </c>
      <c r="E3054" s="6">
        <f>IF(AND(C3054&lt;&gt;"",D3054&lt;&gt;""),D3054-C3054,"")</f>
        <v>0</v>
      </c>
      <c r="F3054" s="4" t="s">
        <v>4032</v>
      </c>
      <c r="G3054" s="4" t="s">
        <v>4033</v>
      </c>
      <c r="H3054" s="4" t="s">
        <v>32</v>
      </c>
      <c r="I3054" s="4" t="s">
        <v>33</v>
      </c>
      <c r="J3054" s="4">
        <v>1</v>
      </c>
      <c r="K3054" s="4">
        <v>0</v>
      </c>
      <c r="L3054" s="4">
        <f>J3054+K3054</f>
        <v>0</v>
      </c>
      <c r="M3054" s="4" t="s">
        <v>42</v>
      </c>
      <c r="N3054" s="4"/>
      <c r="O3054" s="4">
        <v>1</v>
      </c>
      <c r="P3054" s="4" t="s">
        <v>135</v>
      </c>
      <c r="Q3054" s="4" t="s">
        <v>44</v>
      </c>
      <c r="R3054" s="7">
        <v>370000</v>
      </c>
      <c r="S3054" s="7">
        <v>0</v>
      </c>
      <c r="T3054" s="7">
        <f>R3054-S3054</f>
        <v>0</v>
      </c>
      <c r="U3054" s="7">
        <f>T3054*O3054</f>
        <v>0</v>
      </c>
    </row>
    <row r="3055" spans="1:21">
      <c r="A3055" s="4" t="s">
        <v>4031</v>
      </c>
      <c r="B3055" s="4" t="s">
        <v>39</v>
      </c>
      <c r="C3055" s="5">
        <v>45958.56204861111</v>
      </c>
      <c r="D3055" s="5">
        <v>45958</v>
      </c>
      <c r="E3055" s="6">
        <f>IF(AND(C3055&lt;&gt;"",D3055&lt;&gt;""),D3055-C3055,"")</f>
        <v>0</v>
      </c>
      <c r="F3055" s="4" t="s">
        <v>4032</v>
      </c>
      <c r="G3055" s="4" t="s">
        <v>4033</v>
      </c>
      <c r="H3055" s="4" t="s">
        <v>32</v>
      </c>
      <c r="I3055" s="4" t="s">
        <v>33</v>
      </c>
      <c r="J3055" s="4">
        <v>1</v>
      </c>
      <c r="K3055" s="4">
        <v>0</v>
      </c>
      <c r="L3055" s="4">
        <f>J3055+K3055</f>
        <v>0</v>
      </c>
      <c r="M3055" s="4" t="s">
        <v>42</v>
      </c>
      <c r="N3055" s="4"/>
      <c r="O3055" s="4">
        <v>1</v>
      </c>
      <c r="P3055" s="4" t="s">
        <v>135</v>
      </c>
      <c r="Q3055" s="4" t="s">
        <v>44</v>
      </c>
      <c r="R3055" s="7">
        <v>370000</v>
      </c>
      <c r="S3055" s="7">
        <v>0</v>
      </c>
      <c r="T3055" s="7">
        <f>R3055-S3055</f>
        <v>0</v>
      </c>
      <c r="U3055" s="7">
        <f>T3055*O3055</f>
        <v>0</v>
      </c>
    </row>
    <row r="3056" spans="1:21">
      <c r="A3056" s="4" t="s">
        <v>4031</v>
      </c>
      <c r="B3056" s="4" t="s">
        <v>39</v>
      </c>
      <c r="C3056" s="5">
        <v>45958.56204861111</v>
      </c>
      <c r="D3056" s="5">
        <v>45958</v>
      </c>
      <c r="E3056" s="6">
        <f>IF(AND(C3056&lt;&gt;"",D3056&lt;&gt;""),D3056-C3056,"")</f>
        <v>0</v>
      </c>
      <c r="F3056" s="4" t="s">
        <v>4032</v>
      </c>
      <c r="G3056" s="4" t="s">
        <v>4033</v>
      </c>
      <c r="H3056" s="4" t="s">
        <v>32</v>
      </c>
      <c r="I3056" s="4" t="s">
        <v>33</v>
      </c>
      <c r="J3056" s="4">
        <v>100</v>
      </c>
      <c r="K3056" s="4">
        <v>0</v>
      </c>
      <c r="L3056" s="4">
        <f>J3056+K3056</f>
        <v>0</v>
      </c>
      <c r="M3056" s="4" t="s">
        <v>42</v>
      </c>
      <c r="N3056" s="4"/>
      <c r="O3056" s="4">
        <v>100</v>
      </c>
      <c r="P3056" s="4" t="s">
        <v>135</v>
      </c>
      <c r="Q3056" s="4" t="s">
        <v>44</v>
      </c>
      <c r="R3056" s="7">
        <v>370000</v>
      </c>
      <c r="S3056" s="7">
        <v>0</v>
      </c>
      <c r="T3056" s="7">
        <f>R3056-S3056</f>
        <v>0</v>
      </c>
      <c r="U3056" s="7">
        <f>T3056*O3056</f>
        <v>0</v>
      </c>
    </row>
    <row r="3057" spans="1:21">
      <c r="A3057" s="4" t="s">
        <v>4034</v>
      </c>
      <c r="B3057" s="4" t="s">
        <v>48</v>
      </c>
      <c r="C3057" s="5">
        <v>45958.56442129629</v>
      </c>
      <c r="D3057" s="5">
        <v>45961</v>
      </c>
      <c r="E3057" s="6">
        <f>IF(AND(C3057&lt;&gt;"",D3057&lt;&gt;""),D3057-C3057,"")</f>
        <v>0</v>
      </c>
      <c r="F3057" s="4" t="s">
        <v>64</v>
      </c>
      <c r="G3057" s="4" t="s">
        <v>796</v>
      </c>
      <c r="H3057" s="4" t="s">
        <v>32</v>
      </c>
      <c r="I3057" s="4" t="s">
        <v>33</v>
      </c>
      <c r="J3057" s="4">
        <v>12</v>
      </c>
      <c r="K3057" s="4">
        <v>3</v>
      </c>
      <c r="L3057" s="4">
        <f>J3057+K3057</f>
        <v>0</v>
      </c>
      <c r="M3057" s="4"/>
      <c r="N3057" s="4"/>
      <c r="O3057" s="4">
        <v>0</v>
      </c>
      <c r="P3057" s="4"/>
      <c r="Q3057" s="4"/>
      <c r="R3057" s="7">
        <v>0</v>
      </c>
      <c r="S3057" s="7">
        <v>0</v>
      </c>
      <c r="T3057" s="7">
        <f>R3057-S3057</f>
        <v>0</v>
      </c>
      <c r="U3057" s="7">
        <f>T3057*O3057</f>
        <v>0</v>
      </c>
    </row>
    <row r="3058" spans="1:21">
      <c r="A3058" s="4" t="s">
        <v>4035</v>
      </c>
      <c r="B3058" s="4" t="s">
        <v>48</v>
      </c>
      <c r="C3058" s="5">
        <v>45958.5668287037</v>
      </c>
      <c r="D3058" s="5">
        <v>45961</v>
      </c>
      <c r="E3058" s="6">
        <f>IF(AND(C3058&lt;&gt;"",D3058&lt;&gt;""),D3058-C3058,"")</f>
        <v>0</v>
      </c>
      <c r="F3058" s="4" t="s">
        <v>2408</v>
      </c>
      <c r="G3058" s="4" t="s">
        <v>2404</v>
      </c>
      <c r="H3058" s="4" t="s">
        <v>32</v>
      </c>
      <c r="I3058" s="4" t="s">
        <v>33</v>
      </c>
      <c r="J3058" s="4">
        <v>12</v>
      </c>
      <c r="K3058" s="4">
        <v>3</v>
      </c>
      <c r="L3058" s="4">
        <f>J3058+K3058</f>
        <v>0</v>
      </c>
      <c r="M3058" s="4"/>
      <c r="N3058" s="4"/>
      <c r="O3058" s="4">
        <v>0</v>
      </c>
      <c r="P3058" s="4"/>
      <c r="Q3058" s="4"/>
      <c r="R3058" s="7">
        <v>0</v>
      </c>
      <c r="S3058" s="7">
        <v>0</v>
      </c>
      <c r="T3058" s="7">
        <f>R3058-S3058</f>
        <v>0</v>
      </c>
      <c r="U3058" s="7">
        <f>T3058*O3058</f>
        <v>0</v>
      </c>
    </row>
    <row r="3059" spans="1:21">
      <c r="A3059" s="4" t="s">
        <v>4036</v>
      </c>
      <c r="B3059" s="4" t="s">
        <v>48</v>
      </c>
      <c r="C3059" s="5">
        <v>45958.5691087963</v>
      </c>
      <c r="D3059" s="5">
        <v>45961</v>
      </c>
      <c r="E3059" s="6">
        <f>IF(AND(C3059&lt;&gt;"",D3059&lt;&gt;""),D3059-C3059,"")</f>
        <v>0</v>
      </c>
      <c r="F3059" s="4" t="s">
        <v>4037</v>
      </c>
      <c r="G3059" s="4" t="s">
        <v>4038</v>
      </c>
      <c r="H3059" s="4"/>
      <c r="I3059" s="4" t="s">
        <v>56</v>
      </c>
      <c r="J3059" s="4">
        <v>4</v>
      </c>
      <c r="K3059" s="4">
        <v>3</v>
      </c>
      <c r="L3059" s="4">
        <f>J3059+K3059</f>
        <v>0</v>
      </c>
      <c r="M3059" s="4"/>
      <c r="N3059" s="4"/>
      <c r="O3059" s="4">
        <v>0</v>
      </c>
      <c r="P3059" s="4"/>
      <c r="Q3059" s="4"/>
      <c r="R3059" s="7">
        <v>0</v>
      </c>
      <c r="S3059" s="7">
        <v>0</v>
      </c>
      <c r="T3059" s="7">
        <f>R3059-S3059</f>
        <v>0</v>
      </c>
      <c r="U3059" s="7">
        <f>T3059*O3059</f>
        <v>0</v>
      </c>
    </row>
    <row r="3060" spans="1:21">
      <c r="A3060" s="4" t="s">
        <v>4039</v>
      </c>
      <c r="B3060" s="4" t="s">
        <v>48</v>
      </c>
      <c r="C3060" s="5">
        <v>45958.57216435186</v>
      </c>
      <c r="D3060" s="5">
        <v>45961</v>
      </c>
      <c r="E3060" s="6">
        <f>IF(AND(C3060&lt;&gt;"",D3060&lt;&gt;""),D3060-C3060,"")</f>
        <v>0</v>
      </c>
      <c r="F3060" s="4" t="s">
        <v>4040</v>
      </c>
      <c r="G3060" s="4" t="s">
        <v>4041</v>
      </c>
      <c r="H3060" s="4"/>
      <c r="I3060" s="4" t="s">
        <v>56</v>
      </c>
      <c r="J3060" s="4">
        <v>12</v>
      </c>
      <c r="K3060" s="4">
        <v>3</v>
      </c>
      <c r="L3060" s="4">
        <f>J3060+K3060</f>
        <v>0</v>
      </c>
      <c r="M3060" s="4"/>
      <c r="N3060" s="4"/>
      <c r="O3060" s="4">
        <v>0</v>
      </c>
      <c r="P3060" s="4"/>
      <c r="Q3060" s="4"/>
      <c r="R3060" s="7">
        <v>0</v>
      </c>
      <c r="S3060" s="7">
        <v>0</v>
      </c>
      <c r="T3060" s="7">
        <f>R3060-S3060</f>
        <v>0</v>
      </c>
      <c r="U3060" s="7">
        <f>T3060*O3060</f>
        <v>0</v>
      </c>
    </row>
    <row r="3061" spans="1:21">
      <c r="A3061" s="4" t="s">
        <v>4042</v>
      </c>
      <c r="B3061" s="4" t="s">
        <v>39</v>
      </c>
      <c r="C3061" s="5">
        <v>45958.58417824074</v>
      </c>
      <c r="D3061" s="5">
        <v>45958</v>
      </c>
      <c r="E3061" s="6">
        <f>IF(AND(C3061&lt;&gt;"",D3061&lt;&gt;""),D3061-C3061,"")</f>
        <v>0</v>
      </c>
      <c r="F3061" s="4" t="s">
        <v>4043</v>
      </c>
      <c r="G3061" s="4" t="s">
        <v>4044</v>
      </c>
      <c r="H3061" s="4" t="s">
        <v>32</v>
      </c>
      <c r="I3061" s="4" t="s">
        <v>33</v>
      </c>
      <c r="J3061" s="4">
        <v>1</v>
      </c>
      <c r="K3061" s="4">
        <v>0</v>
      </c>
      <c r="L3061" s="4">
        <f>J3061+K3061</f>
        <v>0</v>
      </c>
      <c r="M3061" s="4" t="s">
        <v>1645</v>
      </c>
      <c r="N3061" s="4"/>
      <c r="O3061" s="4">
        <v>1</v>
      </c>
      <c r="P3061" s="4" t="s">
        <v>135</v>
      </c>
      <c r="Q3061" s="4"/>
      <c r="R3061" s="7">
        <v>2100000</v>
      </c>
      <c r="S3061" s="7">
        <v>0</v>
      </c>
      <c r="T3061" s="7">
        <f>R3061-S3061</f>
        <v>0</v>
      </c>
      <c r="U3061" s="7">
        <f>T3061*O3061</f>
        <v>0</v>
      </c>
    </row>
    <row r="3062" spans="1:21">
      <c r="A3062" s="4" t="s">
        <v>4045</v>
      </c>
      <c r="B3062" s="4" t="s">
        <v>39</v>
      </c>
      <c r="C3062" s="5">
        <v>45958.58850694444</v>
      </c>
      <c r="D3062" s="5">
        <v>45958</v>
      </c>
      <c r="E3062" s="6">
        <f>IF(AND(C3062&lt;&gt;"",D3062&lt;&gt;""),D3062-C3062,"")</f>
        <v>0</v>
      </c>
      <c r="F3062" s="4" t="s">
        <v>4046</v>
      </c>
      <c r="G3062" s="4" t="s">
        <v>4047</v>
      </c>
      <c r="H3062" s="4" t="s">
        <v>32</v>
      </c>
      <c r="I3062" s="4" t="s">
        <v>33</v>
      </c>
      <c r="J3062" s="4">
        <v>1</v>
      </c>
      <c r="K3062" s="4">
        <v>0</v>
      </c>
      <c r="L3062" s="4">
        <f>J3062+K3062</f>
        <v>0</v>
      </c>
      <c r="M3062" s="4" t="s">
        <v>1645</v>
      </c>
      <c r="N3062" s="4"/>
      <c r="O3062" s="4">
        <v>1</v>
      </c>
      <c r="P3062" s="4" t="s">
        <v>135</v>
      </c>
      <c r="Q3062" s="4" t="s">
        <v>4048</v>
      </c>
      <c r="R3062" s="7">
        <v>1701000</v>
      </c>
      <c r="S3062" s="7">
        <v>0</v>
      </c>
      <c r="T3062" s="7">
        <f>R3062-S3062</f>
        <v>0</v>
      </c>
      <c r="U3062" s="7">
        <f>T3062*O3062</f>
        <v>0</v>
      </c>
    </row>
    <row r="3063" spans="1:21">
      <c r="A3063" s="4" t="s">
        <v>4049</v>
      </c>
      <c r="B3063" s="4" t="s">
        <v>39</v>
      </c>
      <c r="C3063" s="5">
        <v>45958.61979166666</v>
      </c>
      <c r="D3063" s="5">
        <v>45958</v>
      </c>
      <c r="E3063" s="6">
        <f>IF(AND(C3063&lt;&gt;"",D3063&lt;&gt;""),D3063-C3063,"")</f>
        <v>0</v>
      </c>
      <c r="F3063" s="4" t="s">
        <v>4050</v>
      </c>
      <c r="G3063" s="4" t="s">
        <v>4051</v>
      </c>
      <c r="H3063" s="4" t="s">
        <v>32</v>
      </c>
      <c r="I3063" s="4" t="s">
        <v>33</v>
      </c>
      <c r="J3063" s="4">
        <v>1</v>
      </c>
      <c r="K3063" s="4">
        <v>0</v>
      </c>
      <c r="L3063" s="4">
        <f>J3063+K3063</f>
        <v>0</v>
      </c>
      <c r="M3063" s="4" t="s">
        <v>2291</v>
      </c>
      <c r="N3063" s="4"/>
      <c r="O3063" s="4">
        <v>1</v>
      </c>
      <c r="P3063" s="4" t="s">
        <v>135</v>
      </c>
      <c r="Q3063" s="4" t="s">
        <v>44</v>
      </c>
      <c r="R3063" s="7">
        <v>1300000</v>
      </c>
      <c r="S3063" s="7">
        <v>0</v>
      </c>
      <c r="T3063" s="7">
        <f>R3063-S3063</f>
        <v>0</v>
      </c>
      <c r="U3063" s="7">
        <f>T3063*O3063</f>
        <v>0</v>
      </c>
    </row>
    <row r="3064" spans="1:21">
      <c r="A3064" s="4" t="s">
        <v>4052</v>
      </c>
      <c r="B3064" s="4" t="s">
        <v>39</v>
      </c>
      <c r="C3064" s="5">
        <v>45958.63989583333</v>
      </c>
      <c r="D3064" s="5">
        <v>45958</v>
      </c>
      <c r="E3064" s="6">
        <f>IF(AND(C3064&lt;&gt;"",D3064&lt;&gt;""),D3064-C3064,"")</f>
        <v>0</v>
      </c>
      <c r="F3064" s="4" t="s">
        <v>4053</v>
      </c>
      <c r="G3064" s="4" t="s">
        <v>4054</v>
      </c>
      <c r="H3064" s="4" t="s">
        <v>32</v>
      </c>
      <c r="I3064" s="4" t="s">
        <v>33</v>
      </c>
      <c r="J3064" s="4">
        <v>1</v>
      </c>
      <c r="K3064" s="4">
        <v>0</v>
      </c>
      <c r="L3064" s="4">
        <f>J3064+K3064</f>
        <v>0</v>
      </c>
      <c r="M3064" s="4" t="s">
        <v>2291</v>
      </c>
      <c r="N3064" s="4"/>
      <c r="O3064" s="4">
        <v>1</v>
      </c>
      <c r="P3064" s="4" t="s">
        <v>135</v>
      </c>
      <c r="Q3064" s="4" t="s">
        <v>4048</v>
      </c>
      <c r="R3064" s="7">
        <v>1053000</v>
      </c>
      <c r="S3064" s="7">
        <v>0</v>
      </c>
      <c r="T3064" s="7">
        <f>R3064-S3064</f>
        <v>0</v>
      </c>
      <c r="U3064" s="7">
        <f>T3064*O3064</f>
        <v>0</v>
      </c>
    </row>
    <row r="3065" spans="1:21">
      <c r="A3065" s="4" t="s">
        <v>4055</v>
      </c>
      <c r="B3065" s="4" t="s">
        <v>39</v>
      </c>
      <c r="C3065" s="5">
        <v>45958.64041666667</v>
      </c>
      <c r="D3065" s="5">
        <v>45958</v>
      </c>
      <c r="E3065" s="6">
        <f>IF(AND(C3065&lt;&gt;"",D3065&lt;&gt;""),D3065-C3065,"")</f>
        <v>0</v>
      </c>
      <c r="F3065" s="4" t="s">
        <v>4056</v>
      </c>
      <c r="G3065" s="4" t="s">
        <v>4057</v>
      </c>
      <c r="H3065" s="4" t="s">
        <v>32</v>
      </c>
      <c r="I3065" s="4" t="s">
        <v>33</v>
      </c>
      <c r="J3065" s="4">
        <v>1</v>
      </c>
      <c r="K3065" s="4">
        <v>0</v>
      </c>
      <c r="L3065" s="4">
        <f>J3065+K3065</f>
        <v>0</v>
      </c>
      <c r="M3065" s="4" t="s">
        <v>1645</v>
      </c>
      <c r="N3065" s="4"/>
      <c r="O3065" s="4">
        <v>1</v>
      </c>
      <c r="P3065" s="4" t="s">
        <v>135</v>
      </c>
      <c r="Q3065" s="4" t="s">
        <v>44</v>
      </c>
      <c r="R3065" s="7">
        <v>2100000</v>
      </c>
      <c r="S3065" s="7">
        <v>0</v>
      </c>
      <c r="T3065" s="7">
        <f>R3065-S3065</f>
        <v>0</v>
      </c>
      <c r="U3065" s="7">
        <f>T3065*O3065</f>
        <v>0</v>
      </c>
    </row>
    <row r="3066" spans="1:21">
      <c r="A3066" s="4" t="s">
        <v>4058</v>
      </c>
      <c r="B3066" s="4" t="s">
        <v>39</v>
      </c>
      <c r="C3066" s="5">
        <v>45958.64081018518</v>
      </c>
      <c r="D3066" s="5">
        <v>45958</v>
      </c>
      <c r="E3066" s="6">
        <f>IF(AND(C3066&lt;&gt;"",D3066&lt;&gt;""),D3066-C3066,"")</f>
        <v>0</v>
      </c>
      <c r="F3066" s="4" t="s">
        <v>4059</v>
      </c>
      <c r="G3066" s="4" t="s">
        <v>4060</v>
      </c>
      <c r="H3066" s="4" t="s">
        <v>32</v>
      </c>
      <c r="I3066" s="4" t="s">
        <v>33</v>
      </c>
      <c r="J3066" s="4">
        <v>1</v>
      </c>
      <c r="K3066" s="4">
        <v>0</v>
      </c>
      <c r="L3066" s="4">
        <f>J3066+K3066</f>
        <v>0</v>
      </c>
      <c r="M3066" s="4" t="s">
        <v>1645</v>
      </c>
      <c r="N3066" s="4"/>
      <c r="O3066" s="4">
        <v>1</v>
      </c>
      <c r="P3066" s="4" t="s">
        <v>135</v>
      </c>
      <c r="Q3066" s="4" t="s">
        <v>4048</v>
      </c>
      <c r="R3066" s="7">
        <v>1701000</v>
      </c>
      <c r="S3066" s="7">
        <v>0</v>
      </c>
      <c r="T3066" s="7">
        <f>R3066-S3066</f>
        <v>0</v>
      </c>
      <c r="U3066" s="7">
        <f>T3066*O3066</f>
        <v>0</v>
      </c>
    </row>
    <row r="3067" spans="1:21">
      <c r="A3067" s="4" t="s">
        <v>4061</v>
      </c>
      <c r="B3067" s="4" t="s">
        <v>39</v>
      </c>
      <c r="C3067" s="5">
        <v>45958.64244212963</v>
      </c>
      <c r="D3067" s="5">
        <v>45958</v>
      </c>
      <c r="E3067" s="6">
        <f>IF(AND(C3067&lt;&gt;"",D3067&lt;&gt;""),D3067-C3067,"")</f>
        <v>0</v>
      </c>
      <c r="F3067" s="4" t="s">
        <v>4062</v>
      </c>
      <c r="G3067" s="4" t="s">
        <v>4063</v>
      </c>
      <c r="H3067" s="4" t="s">
        <v>32</v>
      </c>
      <c r="I3067" s="4" t="s">
        <v>33</v>
      </c>
      <c r="J3067" s="4">
        <v>1</v>
      </c>
      <c r="K3067" s="4">
        <v>0</v>
      </c>
      <c r="L3067" s="4">
        <f>J3067+K3067</f>
        <v>0</v>
      </c>
      <c r="M3067" s="4" t="s">
        <v>1645</v>
      </c>
      <c r="N3067" s="4"/>
      <c r="O3067" s="4">
        <v>1</v>
      </c>
      <c r="P3067" s="4" t="s">
        <v>135</v>
      </c>
      <c r="Q3067" s="4" t="s">
        <v>4048</v>
      </c>
      <c r="R3067" s="7">
        <v>1701000</v>
      </c>
      <c r="S3067" s="7">
        <v>0</v>
      </c>
      <c r="T3067" s="7">
        <f>R3067-S3067</f>
        <v>0</v>
      </c>
      <c r="U3067" s="7">
        <f>T3067*O3067</f>
        <v>0</v>
      </c>
    </row>
    <row r="3068" spans="1:21">
      <c r="A3068" s="4" t="s">
        <v>4064</v>
      </c>
      <c r="B3068" s="4" t="s">
        <v>39</v>
      </c>
      <c r="C3068" s="5">
        <v>45958.65357638889</v>
      </c>
      <c r="D3068" s="5">
        <v>45958</v>
      </c>
      <c r="E3068" s="6">
        <f>IF(AND(C3068&lt;&gt;"",D3068&lt;&gt;""),D3068-C3068,"")</f>
        <v>0</v>
      </c>
      <c r="F3068" s="4" t="s">
        <v>4065</v>
      </c>
      <c r="G3068" s="4" t="s">
        <v>4066</v>
      </c>
      <c r="H3068" s="4" t="s">
        <v>32</v>
      </c>
      <c r="I3068" s="4" t="s">
        <v>33</v>
      </c>
      <c r="J3068" s="4">
        <v>1</v>
      </c>
      <c r="K3068" s="4">
        <v>0</v>
      </c>
      <c r="L3068" s="4">
        <f>J3068+K3068</f>
        <v>0</v>
      </c>
      <c r="M3068" s="4" t="s">
        <v>976</v>
      </c>
      <c r="N3068" s="4"/>
      <c r="O3068" s="4">
        <v>1</v>
      </c>
      <c r="P3068" s="4" t="s">
        <v>135</v>
      </c>
      <c r="Q3068" s="4" t="s">
        <v>3213</v>
      </c>
      <c r="R3068" s="7">
        <v>1500000</v>
      </c>
      <c r="S3068" s="7">
        <v>0</v>
      </c>
      <c r="T3068" s="7">
        <f>R3068-S3068</f>
        <v>0</v>
      </c>
      <c r="U3068" s="7">
        <f>T3068*O3068</f>
        <v>0</v>
      </c>
    </row>
    <row r="3069" spans="1:21">
      <c r="A3069" s="4" t="s">
        <v>4067</v>
      </c>
      <c r="B3069" s="4" t="s">
        <v>39</v>
      </c>
      <c r="C3069" s="5">
        <v>45958.65693287037</v>
      </c>
      <c r="D3069" s="5">
        <v>45958</v>
      </c>
      <c r="E3069" s="6">
        <f>IF(AND(C3069&lt;&gt;"",D3069&lt;&gt;""),D3069-C3069,"")</f>
        <v>0</v>
      </c>
      <c r="F3069" s="4" t="s">
        <v>4068</v>
      </c>
      <c r="G3069" s="4" t="s">
        <v>4069</v>
      </c>
      <c r="H3069" s="4" t="s">
        <v>32</v>
      </c>
      <c r="I3069" s="4" t="s">
        <v>33</v>
      </c>
      <c r="J3069" s="4">
        <v>1</v>
      </c>
      <c r="K3069" s="4">
        <v>0</v>
      </c>
      <c r="L3069" s="4">
        <f>J3069+K3069</f>
        <v>0</v>
      </c>
      <c r="M3069" s="4" t="s">
        <v>976</v>
      </c>
      <c r="N3069" s="4"/>
      <c r="O3069" s="4">
        <v>1</v>
      </c>
      <c r="P3069" s="4" t="s">
        <v>135</v>
      </c>
      <c r="Q3069" s="4" t="s">
        <v>44</v>
      </c>
      <c r="R3069" s="7">
        <v>1500000</v>
      </c>
      <c r="S3069" s="7">
        <v>0</v>
      </c>
      <c r="T3069" s="7">
        <f>R3069-S3069</f>
        <v>0</v>
      </c>
      <c r="U3069" s="7">
        <f>T3069*O3069</f>
        <v>0</v>
      </c>
    </row>
    <row r="3070" spans="1:21">
      <c r="A3070" s="4" t="s">
        <v>4070</v>
      </c>
      <c r="B3070" s="4" t="s">
        <v>39</v>
      </c>
      <c r="C3070" s="5">
        <v>45958.65917824074</v>
      </c>
      <c r="D3070" s="5">
        <v>45958</v>
      </c>
      <c r="E3070" s="6">
        <f>IF(AND(C3070&lt;&gt;"",D3070&lt;&gt;""),D3070-C3070,"")</f>
        <v>0</v>
      </c>
      <c r="F3070" s="4" t="s">
        <v>4071</v>
      </c>
      <c r="G3070" s="4" t="s">
        <v>4072</v>
      </c>
      <c r="H3070" s="4" t="s">
        <v>32</v>
      </c>
      <c r="I3070" s="4" t="s">
        <v>33</v>
      </c>
      <c r="J3070" s="4">
        <v>1</v>
      </c>
      <c r="K3070" s="4">
        <v>0</v>
      </c>
      <c r="L3070" s="4">
        <f>J3070+K3070</f>
        <v>0</v>
      </c>
      <c r="M3070" s="4" t="s">
        <v>2291</v>
      </c>
      <c r="N3070" s="4"/>
      <c r="O3070" s="4">
        <v>1</v>
      </c>
      <c r="P3070" s="4" t="s">
        <v>135</v>
      </c>
      <c r="Q3070" s="4" t="s">
        <v>3213</v>
      </c>
      <c r="R3070" s="7">
        <v>1300000</v>
      </c>
      <c r="S3070" s="7">
        <v>0</v>
      </c>
      <c r="T3070" s="7">
        <f>R3070-S3070</f>
        <v>0</v>
      </c>
      <c r="U3070" s="7">
        <f>T3070*O3070</f>
        <v>0</v>
      </c>
    </row>
    <row r="3071" spans="1:21">
      <c r="A3071" s="4" t="s">
        <v>4073</v>
      </c>
      <c r="B3071" s="4" t="s">
        <v>39</v>
      </c>
      <c r="C3071" s="5">
        <v>45958.65984953703</v>
      </c>
      <c r="D3071" s="5">
        <v>45958</v>
      </c>
      <c r="E3071" s="6">
        <f>IF(AND(C3071&lt;&gt;"",D3071&lt;&gt;""),D3071-C3071,"")</f>
        <v>0</v>
      </c>
      <c r="F3071" s="4" t="s">
        <v>4074</v>
      </c>
      <c r="G3071" s="4" t="s">
        <v>4075</v>
      </c>
      <c r="H3071" s="4" t="s">
        <v>32</v>
      </c>
      <c r="I3071" s="4" t="s">
        <v>33</v>
      </c>
      <c r="J3071" s="4">
        <v>1</v>
      </c>
      <c r="K3071" s="4">
        <v>0</v>
      </c>
      <c r="L3071" s="4">
        <f>J3071+K3071</f>
        <v>0</v>
      </c>
      <c r="M3071" s="4" t="s">
        <v>1645</v>
      </c>
      <c r="N3071" s="4"/>
      <c r="O3071" s="4">
        <v>1</v>
      </c>
      <c r="P3071" s="4" t="s">
        <v>135</v>
      </c>
      <c r="Q3071" s="4" t="s">
        <v>3213</v>
      </c>
      <c r="R3071" s="7">
        <v>2100000</v>
      </c>
      <c r="S3071" s="7">
        <v>0</v>
      </c>
      <c r="T3071" s="7">
        <f>R3071-S3071</f>
        <v>0</v>
      </c>
      <c r="U3071" s="7">
        <f>T3071*O3071</f>
        <v>0</v>
      </c>
    </row>
    <row r="3072" spans="1:21">
      <c r="A3072" s="4" t="s">
        <v>4076</v>
      </c>
      <c r="B3072" s="4" t="s">
        <v>39</v>
      </c>
      <c r="C3072" s="5">
        <v>45958.66428240741</v>
      </c>
      <c r="D3072" s="5">
        <v>45958</v>
      </c>
      <c r="E3072" s="6">
        <f>IF(AND(C3072&lt;&gt;"",D3072&lt;&gt;""),D3072-C3072,"")</f>
        <v>0</v>
      </c>
      <c r="F3072" s="4" t="s">
        <v>4077</v>
      </c>
      <c r="G3072" s="4" t="s">
        <v>4078</v>
      </c>
      <c r="H3072" s="4" t="s">
        <v>32</v>
      </c>
      <c r="I3072" s="4" t="s">
        <v>33</v>
      </c>
      <c r="J3072" s="4">
        <v>1</v>
      </c>
      <c r="K3072" s="4">
        <v>0</v>
      </c>
      <c r="L3072" s="4">
        <f>J3072+K3072</f>
        <v>0</v>
      </c>
      <c r="M3072" s="4" t="s">
        <v>1645</v>
      </c>
      <c r="N3072" s="4"/>
      <c r="O3072" s="4">
        <v>1</v>
      </c>
      <c r="P3072" s="4" t="s">
        <v>135</v>
      </c>
      <c r="Q3072" s="4" t="s">
        <v>4048</v>
      </c>
      <c r="R3072" s="7">
        <v>1701000</v>
      </c>
      <c r="S3072" s="7">
        <v>0</v>
      </c>
      <c r="T3072" s="7">
        <f>R3072-S3072</f>
        <v>0</v>
      </c>
      <c r="U3072" s="7">
        <f>T3072*O3072</f>
        <v>0</v>
      </c>
    </row>
    <row r="3073" spans="1:21">
      <c r="A3073" s="4" t="s">
        <v>4079</v>
      </c>
      <c r="B3073" s="4" t="s">
        <v>39</v>
      </c>
      <c r="C3073" s="5">
        <v>45958.68533564815</v>
      </c>
      <c r="D3073" s="5">
        <v>45958</v>
      </c>
      <c r="E3073" s="6">
        <f>IF(AND(C3073&lt;&gt;"",D3073&lt;&gt;""),D3073-C3073,"")</f>
        <v>0</v>
      </c>
      <c r="F3073" s="4" t="s">
        <v>4080</v>
      </c>
      <c r="G3073" s="4" t="s">
        <v>4081</v>
      </c>
      <c r="H3073" s="4" t="s">
        <v>32</v>
      </c>
      <c r="I3073" s="4" t="s">
        <v>33</v>
      </c>
      <c r="J3073" s="4">
        <v>1</v>
      </c>
      <c r="K3073" s="4">
        <v>0</v>
      </c>
      <c r="L3073" s="4">
        <f>J3073+K3073</f>
        <v>0</v>
      </c>
      <c r="M3073" s="4" t="s">
        <v>1645</v>
      </c>
      <c r="N3073" s="4"/>
      <c r="O3073" s="4">
        <v>1</v>
      </c>
      <c r="P3073" s="4" t="s">
        <v>135</v>
      </c>
      <c r="Q3073" s="4" t="s">
        <v>4048</v>
      </c>
      <c r="R3073" s="7">
        <v>1701000</v>
      </c>
      <c r="S3073" s="7">
        <v>0</v>
      </c>
      <c r="T3073" s="7">
        <f>R3073-S3073</f>
        <v>0</v>
      </c>
      <c r="U3073" s="7">
        <f>T3073*O3073</f>
        <v>0</v>
      </c>
    </row>
    <row r="3074" spans="1:21">
      <c r="A3074" s="4" t="s">
        <v>4082</v>
      </c>
      <c r="B3074" s="4" t="s">
        <v>39</v>
      </c>
      <c r="C3074" s="5">
        <v>45958.69050925926</v>
      </c>
      <c r="D3074" s="5">
        <v>45958</v>
      </c>
      <c r="E3074" s="6">
        <f>IF(AND(C3074&lt;&gt;"",D3074&lt;&gt;""),D3074-C3074,"")</f>
        <v>0</v>
      </c>
      <c r="F3074" s="4" t="s">
        <v>4083</v>
      </c>
      <c r="G3074" s="4" t="s">
        <v>4084</v>
      </c>
      <c r="H3074" s="4" t="s">
        <v>32</v>
      </c>
      <c r="I3074" s="4" t="s">
        <v>33</v>
      </c>
      <c r="J3074" s="4">
        <v>0</v>
      </c>
      <c r="K3074" s="4">
        <v>1</v>
      </c>
      <c r="L3074" s="4">
        <f>J3074+K3074</f>
        <v>0</v>
      </c>
      <c r="M3074" s="4" t="s">
        <v>81</v>
      </c>
      <c r="N3074" s="4"/>
      <c r="O3074" s="4">
        <v>1</v>
      </c>
      <c r="P3074" s="4" t="s">
        <v>135</v>
      </c>
      <c r="Q3074" s="4" t="s">
        <v>44</v>
      </c>
      <c r="R3074" s="7">
        <v>495000</v>
      </c>
      <c r="S3074" s="7">
        <v>0</v>
      </c>
      <c r="T3074" s="7">
        <f>R3074-S3074</f>
        <v>0</v>
      </c>
      <c r="U3074" s="7">
        <f>T3074*O3074</f>
        <v>0</v>
      </c>
    </row>
    <row r="3075" spans="1:21">
      <c r="A3075" s="4" t="s">
        <v>4082</v>
      </c>
      <c r="B3075" s="4" t="s">
        <v>39</v>
      </c>
      <c r="C3075" s="5">
        <v>45958.69050925926</v>
      </c>
      <c r="D3075" s="5">
        <v>45958</v>
      </c>
      <c r="E3075" s="6">
        <f>IF(AND(C3075&lt;&gt;"",D3075&lt;&gt;""),D3075-C3075,"")</f>
        <v>0</v>
      </c>
      <c r="F3075" s="4" t="s">
        <v>4083</v>
      </c>
      <c r="G3075" s="4" t="s">
        <v>4084</v>
      </c>
      <c r="H3075" s="4" t="s">
        <v>32</v>
      </c>
      <c r="I3075" s="4" t="s">
        <v>33</v>
      </c>
      <c r="J3075" s="4">
        <v>0</v>
      </c>
      <c r="K3075" s="4">
        <v>1</v>
      </c>
      <c r="L3075" s="4">
        <f>J3075+K3075</f>
        <v>0</v>
      </c>
      <c r="M3075" s="4" t="s">
        <v>81</v>
      </c>
      <c r="N3075" s="4"/>
      <c r="O3075" s="4">
        <v>1</v>
      </c>
      <c r="P3075" s="4" t="s">
        <v>135</v>
      </c>
      <c r="Q3075" s="4" t="s">
        <v>44</v>
      </c>
      <c r="R3075" s="7">
        <v>495000</v>
      </c>
      <c r="S3075" s="7">
        <v>0</v>
      </c>
      <c r="T3075" s="7">
        <f>R3075-S3075</f>
        <v>0</v>
      </c>
      <c r="U3075" s="7">
        <f>T3075*O3075</f>
        <v>0</v>
      </c>
    </row>
    <row r="3076" spans="1:21">
      <c r="A3076" s="4" t="s">
        <v>4082</v>
      </c>
      <c r="B3076" s="4" t="s">
        <v>39</v>
      </c>
      <c r="C3076" s="5">
        <v>45958.69050925926</v>
      </c>
      <c r="D3076" s="5">
        <v>45958</v>
      </c>
      <c r="E3076" s="6">
        <f>IF(AND(C3076&lt;&gt;"",D3076&lt;&gt;""),D3076-C3076,"")</f>
        <v>0</v>
      </c>
      <c r="F3076" s="4" t="s">
        <v>4083</v>
      </c>
      <c r="G3076" s="4" t="s">
        <v>4084</v>
      </c>
      <c r="H3076" s="4" t="s">
        <v>32</v>
      </c>
      <c r="I3076" s="4" t="s">
        <v>33</v>
      </c>
      <c r="J3076" s="4">
        <v>1</v>
      </c>
      <c r="K3076" s="4">
        <v>0</v>
      </c>
      <c r="L3076" s="4">
        <f>J3076+K3076</f>
        <v>0</v>
      </c>
      <c r="M3076" s="4" t="s">
        <v>80</v>
      </c>
      <c r="N3076" s="4"/>
      <c r="O3076" s="4">
        <v>1</v>
      </c>
      <c r="P3076" s="4" t="s">
        <v>135</v>
      </c>
      <c r="Q3076" s="4" t="s">
        <v>44</v>
      </c>
      <c r="R3076" s="7">
        <v>610000</v>
      </c>
      <c r="S3076" s="7">
        <v>0</v>
      </c>
      <c r="T3076" s="7">
        <f>R3076-S3076</f>
        <v>0</v>
      </c>
      <c r="U3076" s="7">
        <f>T3076*O3076</f>
        <v>0</v>
      </c>
    </row>
    <row r="3077" spans="1:21">
      <c r="A3077" s="4" t="s">
        <v>4082</v>
      </c>
      <c r="B3077" s="4" t="s">
        <v>39</v>
      </c>
      <c r="C3077" s="5">
        <v>45958.69050925926</v>
      </c>
      <c r="D3077" s="5">
        <v>45958</v>
      </c>
      <c r="E3077" s="6">
        <f>IF(AND(C3077&lt;&gt;"",D3077&lt;&gt;""),D3077-C3077,"")</f>
        <v>0</v>
      </c>
      <c r="F3077" s="4" t="s">
        <v>4083</v>
      </c>
      <c r="G3077" s="4" t="s">
        <v>4084</v>
      </c>
      <c r="H3077" s="4" t="s">
        <v>32</v>
      </c>
      <c r="I3077" s="4" t="s">
        <v>33</v>
      </c>
      <c r="J3077" s="4">
        <v>1</v>
      </c>
      <c r="K3077" s="4">
        <v>0</v>
      </c>
      <c r="L3077" s="4">
        <f>J3077+K3077</f>
        <v>0</v>
      </c>
      <c r="M3077" s="4" t="s">
        <v>80</v>
      </c>
      <c r="N3077" s="4"/>
      <c r="O3077" s="4">
        <v>1</v>
      </c>
      <c r="P3077" s="4" t="s">
        <v>135</v>
      </c>
      <c r="Q3077" s="4" t="s">
        <v>44</v>
      </c>
      <c r="R3077" s="7">
        <v>610000</v>
      </c>
      <c r="S3077" s="7">
        <v>0</v>
      </c>
      <c r="T3077" s="7">
        <f>R3077-S3077</f>
        <v>0</v>
      </c>
      <c r="U3077" s="7">
        <f>T3077*O3077</f>
        <v>0</v>
      </c>
    </row>
    <row r="3078" spans="1:21">
      <c r="A3078" s="4" t="s">
        <v>4085</v>
      </c>
      <c r="B3078" s="4" t="s">
        <v>39</v>
      </c>
      <c r="C3078" s="5">
        <v>45958.69618055555</v>
      </c>
      <c r="D3078" s="5">
        <v>45958</v>
      </c>
      <c r="E3078" s="6">
        <f>IF(AND(C3078&lt;&gt;"",D3078&lt;&gt;""),D3078-C3078,"")</f>
        <v>0</v>
      </c>
      <c r="F3078" s="4" t="s">
        <v>4086</v>
      </c>
      <c r="G3078" s="4" t="s">
        <v>4087</v>
      </c>
      <c r="H3078" s="4" t="s">
        <v>32</v>
      </c>
      <c r="I3078" s="4" t="s">
        <v>33</v>
      </c>
      <c r="J3078" s="4">
        <v>1</v>
      </c>
      <c r="K3078" s="4">
        <v>0</v>
      </c>
      <c r="L3078" s="4">
        <f>J3078+K3078</f>
        <v>0</v>
      </c>
      <c r="M3078" s="4" t="s">
        <v>1645</v>
      </c>
      <c r="N3078" s="4"/>
      <c r="O3078" s="4">
        <v>1</v>
      </c>
      <c r="P3078" s="4" t="s">
        <v>135</v>
      </c>
      <c r="Q3078" s="4" t="s">
        <v>4048</v>
      </c>
      <c r="R3078" s="7">
        <v>1701000</v>
      </c>
      <c r="S3078" s="7">
        <v>0</v>
      </c>
      <c r="T3078" s="7">
        <f>R3078-S3078</f>
        <v>0</v>
      </c>
      <c r="U3078" s="7">
        <f>T3078*O3078</f>
        <v>0</v>
      </c>
    </row>
    <row r="3079" spans="1:21">
      <c r="A3079" s="4" t="s">
        <v>4088</v>
      </c>
      <c r="B3079" s="4" t="s">
        <v>39</v>
      </c>
      <c r="C3079" s="5">
        <v>45958.70329861111</v>
      </c>
      <c r="D3079" s="5">
        <v>45958</v>
      </c>
      <c r="E3079" s="6">
        <f>IF(AND(C3079&lt;&gt;"",D3079&lt;&gt;""),D3079-C3079,"")</f>
        <v>0</v>
      </c>
      <c r="F3079" s="4" t="s">
        <v>4089</v>
      </c>
      <c r="G3079" s="4" t="s">
        <v>4090</v>
      </c>
      <c r="H3079" s="4" t="s">
        <v>32</v>
      </c>
      <c r="I3079" s="4" t="s">
        <v>33</v>
      </c>
      <c r="J3079" s="4">
        <v>1</v>
      </c>
      <c r="K3079" s="4">
        <v>0</v>
      </c>
      <c r="L3079" s="4">
        <f>J3079+K3079</f>
        <v>0</v>
      </c>
      <c r="M3079" s="4" t="s">
        <v>1645</v>
      </c>
      <c r="N3079" s="4"/>
      <c r="O3079" s="4">
        <v>1</v>
      </c>
      <c r="P3079" s="4" t="s">
        <v>135</v>
      </c>
      <c r="Q3079" s="4" t="s">
        <v>3213</v>
      </c>
      <c r="R3079" s="7">
        <v>2100000</v>
      </c>
      <c r="S3079" s="7">
        <v>0</v>
      </c>
      <c r="T3079" s="7">
        <f>R3079-S3079</f>
        <v>0</v>
      </c>
      <c r="U3079" s="7">
        <f>T3079*O3079</f>
        <v>0</v>
      </c>
    </row>
    <row r="3080" spans="1:21">
      <c r="A3080" s="4" t="s">
        <v>4091</v>
      </c>
      <c r="B3080" s="4" t="s">
        <v>39</v>
      </c>
      <c r="C3080" s="5">
        <v>45958.70859953704</v>
      </c>
      <c r="D3080" s="5">
        <v>45958</v>
      </c>
      <c r="E3080" s="6">
        <f>IF(AND(C3080&lt;&gt;"",D3080&lt;&gt;""),D3080-C3080,"")</f>
        <v>0</v>
      </c>
      <c r="F3080" s="4" t="s">
        <v>4092</v>
      </c>
      <c r="G3080" s="4" t="s">
        <v>4093</v>
      </c>
      <c r="H3080" s="4" t="s">
        <v>32</v>
      </c>
      <c r="I3080" s="4" t="s">
        <v>33</v>
      </c>
      <c r="J3080" s="4">
        <v>1</v>
      </c>
      <c r="K3080" s="4">
        <v>0</v>
      </c>
      <c r="L3080" s="4">
        <f>J3080+K3080</f>
        <v>0</v>
      </c>
      <c r="M3080" s="4" t="s">
        <v>1645</v>
      </c>
      <c r="N3080" s="4"/>
      <c r="O3080" s="4">
        <v>1</v>
      </c>
      <c r="P3080" s="4" t="s">
        <v>135</v>
      </c>
      <c r="Q3080" s="4" t="s">
        <v>4048</v>
      </c>
      <c r="R3080" s="7">
        <v>1701000</v>
      </c>
      <c r="S3080" s="7">
        <v>0</v>
      </c>
      <c r="T3080" s="7">
        <f>R3080-S3080</f>
        <v>0</v>
      </c>
      <c r="U3080" s="7">
        <f>T3080*O3080</f>
        <v>0</v>
      </c>
    </row>
    <row r="3081" spans="1:21">
      <c r="A3081" s="4" t="s">
        <v>4091</v>
      </c>
      <c r="B3081" s="4" t="s">
        <v>39</v>
      </c>
      <c r="C3081" s="5">
        <v>45958.70859953704</v>
      </c>
      <c r="D3081" s="5">
        <v>45958</v>
      </c>
      <c r="E3081" s="6">
        <f>IF(AND(C3081&lt;&gt;"",D3081&lt;&gt;""),D3081-C3081,"")</f>
        <v>0</v>
      </c>
      <c r="F3081" s="4" t="s">
        <v>4092</v>
      </c>
      <c r="G3081" s="4" t="s">
        <v>4093</v>
      </c>
      <c r="H3081" s="4" t="s">
        <v>32</v>
      </c>
      <c r="I3081" s="4" t="s">
        <v>33</v>
      </c>
      <c r="J3081" s="4">
        <v>2</v>
      </c>
      <c r="K3081" s="4">
        <v>0</v>
      </c>
      <c r="L3081" s="4">
        <f>J3081+K3081</f>
        <v>0</v>
      </c>
      <c r="M3081" s="4" t="s">
        <v>80</v>
      </c>
      <c r="N3081" s="4"/>
      <c r="O3081" s="4">
        <v>2</v>
      </c>
      <c r="P3081" s="4" t="s">
        <v>135</v>
      </c>
      <c r="Q3081" s="4" t="s">
        <v>4048</v>
      </c>
      <c r="R3081" s="7">
        <v>440000</v>
      </c>
      <c r="S3081" s="7">
        <v>0</v>
      </c>
      <c r="T3081" s="7">
        <f>R3081-S3081</f>
        <v>0</v>
      </c>
      <c r="U3081" s="7">
        <f>T3081*O3081</f>
        <v>0</v>
      </c>
    </row>
    <row r="3082" spans="1:21">
      <c r="A3082" s="4" t="s">
        <v>4094</v>
      </c>
      <c r="B3082" s="4" t="s">
        <v>39</v>
      </c>
      <c r="C3082" s="5">
        <v>45958.71587962963</v>
      </c>
      <c r="D3082" s="5">
        <v>45958</v>
      </c>
      <c r="E3082" s="6">
        <f>IF(AND(C3082&lt;&gt;"",D3082&lt;&gt;""),D3082-C3082,"")</f>
        <v>0</v>
      </c>
      <c r="F3082" s="4" t="s">
        <v>4095</v>
      </c>
      <c r="G3082" s="4" t="s">
        <v>4096</v>
      </c>
      <c r="H3082" s="4" t="s">
        <v>32</v>
      </c>
      <c r="I3082" s="4" t="s">
        <v>33</v>
      </c>
      <c r="J3082" s="4">
        <v>0</v>
      </c>
      <c r="K3082" s="4">
        <v>0</v>
      </c>
      <c r="L3082" s="4">
        <f>J3082+K3082</f>
        <v>0</v>
      </c>
      <c r="M3082" s="4" t="s">
        <v>1533</v>
      </c>
      <c r="N3082" s="4"/>
      <c r="O3082" s="4">
        <v>1</v>
      </c>
      <c r="P3082" s="4" t="s">
        <v>135</v>
      </c>
      <c r="Q3082" s="4"/>
      <c r="R3082" s="7">
        <v>108000</v>
      </c>
      <c r="S3082" s="7">
        <v>0</v>
      </c>
      <c r="T3082" s="7">
        <f>R3082-S3082</f>
        <v>0</v>
      </c>
      <c r="U3082" s="7">
        <f>T3082*O3082</f>
        <v>0</v>
      </c>
    </row>
    <row r="3083" spans="1:21">
      <c r="A3083" s="4" t="s">
        <v>4094</v>
      </c>
      <c r="B3083" s="4" t="s">
        <v>39</v>
      </c>
      <c r="C3083" s="5">
        <v>45958.71587962963</v>
      </c>
      <c r="D3083" s="5">
        <v>45958</v>
      </c>
      <c r="E3083" s="6">
        <f>IF(AND(C3083&lt;&gt;"",D3083&lt;&gt;""),D3083-C3083,"")</f>
        <v>0</v>
      </c>
      <c r="F3083" s="4" t="s">
        <v>4095</v>
      </c>
      <c r="G3083" s="4" t="s">
        <v>4096</v>
      </c>
      <c r="H3083" s="4" t="s">
        <v>32</v>
      </c>
      <c r="I3083" s="4" t="s">
        <v>33</v>
      </c>
      <c r="J3083" s="4">
        <v>0</v>
      </c>
      <c r="K3083" s="4">
        <v>0</v>
      </c>
      <c r="L3083" s="4">
        <f>J3083+K3083</f>
        <v>0</v>
      </c>
      <c r="M3083" s="4" t="s">
        <v>1533</v>
      </c>
      <c r="N3083" s="4"/>
      <c r="O3083" s="4">
        <v>1</v>
      </c>
      <c r="P3083" s="4" t="s">
        <v>135</v>
      </c>
      <c r="Q3083" s="4"/>
      <c r="R3083" s="7">
        <v>108000</v>
      </c>
      <c r="S3083" s="7">
        <v>0</v>
      </c>
      <c r="T3083" s="7">
        <f>R3083-S3083</f>
        <v>0</v>
      </c>
      <c r="U3083" s="7">
        <f>T3083*O3083</f>
        <v>0</v>
      </c>
    </row>
    <row r="3084" spans="1:21">
      <c r="A3084" s="4" t="s">
        <v>4094</v>
      </c>
      <c r="B3084" s="4" t="s">
        <v>39</v>
      </c>
      <c r="C3084" s="5">
        <v>45958.71587962963</v>
      </c>
      <c r="D3084" s="5">
        <v>45958</v>
      </c>
      <c r="E3084" s="6">
        <f>IF(AND(C3084&lt;&gt;"",D3084&lt;&gt;""),D3084-C3084,"")</f>
        <v>0</v>
      </c>
      <c r="F3084" s="4" t="s">
        <v>4095</v>
      </c>
      <c r="G3084" s="4" t="s">
        <v>4096</v>
      </c>
      <c r="H3084" s="4" t="s">
        <v>32</v>
      </c>
      <c r="I3084" s="4" t="s">
        <v>33</v>
      </c>
      <c r="J3084" s="4">
        <v>0</v>
      </c>
      <c r="K3084" s="4">
        <v>0</v>
      </c>
      <c r="L3084" s="4">
        <f>J3084+K3084</f>
        <v>0</v>
      </c>
      <c r="M3084" s="4" t="s">
        <v>1419</v>
      </c>
      <c r="N3084" s="4"/>
      <c r="O3084" s="4">
        <v>1</v>
      </c>
      <c r="P3084" s="4" t="s">
        <v>135</v>
      </c>
      <c r="Q3084" s="4"/>
      <c r="R3084" s="7">
        <v>160000</v>
      </c>
      <c r="S3084" s="7">
        <v>0</v>
      </c>
      <c r="T3084" s="7">
        <f>R3084-S3084</f>
        <v>0</v>
      </c>
      <c r="U3084" s="7">
        <f>T3084*O3084</f>
        <v>0</v>
      </c>
    </row>
    <row r="3085" spans="1:21">
      <c r="A3085" s="4" t="s">
        <v>4094</v>
      </c>
      <c r="B3085" s="4" t="s">
        <v>39</v>
      </c>
      <c r="C3085" s="5">
        <v>45958.71587962963</v>
      </c>
      <c r="D3085" s="5">
        <v>45958</v>
      </c>
      <c r="E3085" s="6">
        <f>IF(AND(C3085&lt;&gt;"",D3085&lt;&gt;""),D3085-C3085,"")</f>
        <v>0</v>
      </c>
      <c r="F3085" s="4" t="s">
        <v>4095</v>
      </c>
      <c r="G3085" s="4" t="s">
        <v>4096</v>
      </c>
      <c r="H3085" s="4" t="s">
        <v>32</v>
      </c>
      <c r="I3085" s="4" t="s">
        <v>33</v>
      </c>
      <c r="J3085" s="4">
        <v>0</v>
      </c>
      <c r="K3085" s="4">
        <v>0</v>
      </c>
      <c r="L3085" s="4">
        <f>J3085+K3085</f>
        <v>0</v>
      </c>
      <c r="M3085" s="4" t="s">
        <v>1533</v>
      </c>
      <c r="N3085" s="4"/>
      <c r="O3085" s="4">
        <v>1</v>
      </c>
      <c r="P3085" s="4" t="s">
        <v>135</v>
      </c>
      <c r="Q3085" s="4"/>
      <c r="R3085" s="7">
        <v>108000</v>
      </c>
      <c r="S3085" s="7">
        <v>0</v>
      </c>
      <c r="T3085" s="7">
        <f>R3085-S3085</f>
        <v>0</v>
      </c>
      <c r="U3085" s="7">
        <f>T3085*O3085</f>
        <v>0</v>
      </c>
    </row>
    <row r="3086" spans="1:21">
      <c r="A3086" s="4" t="s">
        <v>4097</v>
      </c>
      <c r="B3086" s="4" t="s">
        <v>39</v>
      </c>
      <c r="C3086" s="5">
        <v>45958.71789351852</v>
      </c>
      <c r="D3086" s="5">
        <v>45958</v>
      </c>
      <c r="E3086" s="6">
        <f>IF(AND(C3086&lt;&gt;"",D3086&lt;&gt;""),D3086-C3086,"")</f>
        <v>0</v>
      </c>
      <c r="F3086" s="4" t="s">
        <v>4098</v>
      </c>
      <c r="G3086" s="4" t="s">
        <v>4099</v>
      </c>
      <c r="H3086" s="4" t="s">
        <v>32</v>
      </c>
      <c r="I3086" s="4" t="s">
        <v>33</v>
      </c>
      <c r="J3086" s="4">
        <v>0</v>
      </c>
      <c r="K3086" s="4">
        <v>0</v>
      </c>
      <c r="L3086" s="4">
        <f>J3086+K3086</f>
        <v>0</v>
      </c>
      <c r="M3086" s="4" t="s">
        <v>1726</v>
      </c>
      <c r="N3086" s="4"/>
      <c r="O3086" s="4">
        <v>1</v>
      </c>
      <c r="P3086" s="4" t="s">
        <v>135</v>
      </c>
      <c r="Q3086" s="4"/>
      <c r="R3086" s="7">
        <v>64000</v>
      </c>
      <c r="S3086" s="7">
        <v>0</v>
      </c>
      <c r="T3086" s="7">
        <f>R3086-S3086</f>
        <v>0</v>
      </c>
      <c r="U3086" s="7">
        <f>T3086*O3086</f>
        <v>0</v>
      </c>
    </row>
    <row r="3087" spans="1:21">
      <c r="A3087" s="4" t="s">
        <v>4097</v>
      </c>
      <c r="B3087" s="4" t="s">
        <v>39</v>
      </c>
      <c r="C3087" s="5">
        <v>45958.71789351852</v>
      </c>
      <c r="D3087" s="5">
        <v>45958</v>
      </c>
      <c r="E3087" s="6">
        <f>IF(AND(C3087&lt;&gt;"",D3087&lt;&gt;""),D3087-C3087,"")</f>
        <v>0</v>
      </c>
      <c r="F3087" s="4" t="s">
        <v>4098</v>
      </c>
      <c r="G3087" s="4" t="s">
        <v>4099</v>
      </c>
      <c r="H3087" s="4" t="s">
        <v>32</v>
      </c>
      <c r="I3087" s="4" t="s">
        <v>33</v>
      </c>
      <c r="J3087" s="4">
        <v>0</v>
      </c>
      <c r="K3087" s="4">
        <v>0</v>
      </c>
      <c r="L3087" s="4">
        <f>J3087+K3087</f>
        <v>0</v>
      </c>
      <c r="M3087" s="4" t="s">
        <v>1726</v>
      </c>
      <c r="N3087" s="4"/>
      <c r="O3087" s="4">
        <v>1</v>
      </c>
      <c r="P3087" s="4" t="s">
        <v>135</v>
      </c>
      <c r="Q3087" s="4"/>
      <c r="R3087" s="7">
        <v>64000</v>
      </c>
      <c r="S3087" s="7">
        <v>0</v>
      </c>
      <c r="T3087" s="7">
        <f>R3087-S3087</f>
        <v>0</v>
      </c>
      <c r="U3087" s="7">
        <f>T3087*O3087</f>
        <v>0</v>
      </c>
    </row>
    <row r="3088" spans="1:21">
      <c r="A3088" s="4" t="s">
        <v>4097</v>
      </c>
      <c r="B3088" s="4" t="s">
        <v>39</v>
      </c>
      <c r="C3088" s="5">
        <v>45958.71789351852</v>
      </c>
      <c r="D3088" s="5">
        <v>45958</v>
      </c>
      <c r="E3088" s="6">
        <f>IF(AND(C3088&lt;&gt;"",D3088&lt;&gt;""),D3088-C3088,"")</f>
        <v>0</v>
      </c>
      <c r="F3088" s="4" t="s">
        <v>4098</v>
      </c>
      <c r="G3088" s="4" t="s">
        <v>4099</v>
      </c>
      <c r="H3088" s="4" t="s">
        <v>32</v>
      </c>
      <c r="I3088" s="4" t="s">
        <v>33</v>
      </c>
      <c r="J3088" s="4">
        <v>0</v>
      </c>
      <c r="K3088" s="4">
        <v>0</v>
      </c>
      <c r="L3088" s="4">
        <f>J3088+K3088</f>
        <v>0</v>
      </c>
      <c r="M3088" s="4" t="s">
        <v>3839</v>
      </c>
      <c r="N3088" s="4"/>
      <c r="O3088" s="4">
        <v>1</v>
      </c>
      <c r="P3088" s="4" t="s">
        <v>135</v>
      </c>
      <c r="Q3088" s="4"/>
      <c r="R3088" s="7">
        <v>102000</v>
      </c>
      <c r="S3088" s="7">
        <v>0</v>
      </c>
      <c r="T3088" s="7">
        <f>R3088-S3088</f>
        <v>0</v>
      </c>
      <c r="U3088" s="7">
        <f>T3088*O3088</f>
        <v>0</v>
      </c>
    </row>
    <row r="3089" spans="1:21">
      <c r="A3089" s="4" t="s">
        <v>4097</v>
      </c>
      <c r="B3089" s="4" t="s">
        <v>39</v>
      </c>
      <c r="C3089" s="5">
        <v>45958.71789351852</v>
      </c>
      <c r="D3089" s="5">
        <v>45958</v>
      </c>
      <c r="E3089" s="6">
        <f>IF(AND(C3089&lt;&gt;"",D3089&lt;&gt;""),D3089-C3089,"")</f>
        <v>0</v>
      </c>
      <c r="F3089" s="4" t="s">
        <v>4098</v>
      </c>
      <c r="G3089" s="4" t="s">
        <v>4099</v>
      </c>
      <c r="H3089" s="4" t="s">
        <v>32</v>
      </c>
      <c r="I3089" s="4" t="s">
        <v>33</v>
      </c>
      <c r="J3089" s="4">
        <v>0</v>
      </c>
      <c r="K3089" s="4">
        <v>0</v>
      </c>
      <c r="L3089" s="4">
        <f>J3089+K3089</f>
        <v>0</v>
      </c>
      <c r="M3089" s="4" t="s">
        <v>3839</v>
      </c>
      <c r="N3089" s="4"/>
      <c r="O3089" s="4">
        <v>1</v>
      </c>
      <c r="P3089" s="4" t="s">
        <v>135</v>
      </c>
      <c r="Q3089" s="4"/>
      <c r="R3089" s="7">
        <v>102000</v>
      </c>
      <c r="S3089" s="7">
        <v>0</v>
      </c>
      <c r="T3089" s="7">
        <f>R3089-S3089</f>
        <v>0</v>
      </c>
      <c r="U3089" s="7">
        <f>T3089*O3089</f>
        <v>0</v>
      </c>
    </row>
    <row r="3090" spans="1:21">
      <c r="A3090" s="4" t="s">
        <v>4100</v>
      </c>
      <c r="B3090" s="4" t="s">
        <v>39</v>
      </c>
      <c r="C3090" s="5">
        <v>45959.05670138889</v>
      </c>
      <c r="D3090" s="5">
        <v>45959</v>
      </c>
      <c r="E3090" s="6">
        <f>IF(AND(C3090&lt;&gt;"",D3090&lt;&gt;""),D3090-C3090,"")</f>
        <v>0</v>
      </c>
      <c r="F3090" s="4" t="s">
        <v>1361</v>
      </c>
      <c r="G3090" s="4" t="s">
        <v>1362</v>
      </c>
      <c r="H3090" s="4" t="s">
        <v>32</v>
      </c>
      <c r="I3090" s="4" t="s">
        <v>33</v>
      </c>
      <c r="J3090" s="4">
        <v>0</v>
      </c>
      <c r="K3090" s="4">
        <v>0</v>
      </c>
      <c r="L3090" s="4">
        <f>J3090+K3090</f>
        <v>0</v>
      </c>
      <c r="M3090" s="4" t="s">
        <v>370</v>
      </c>
      <c r="N3090" s="4"/>
      <c r="O3090" s="4">
        <v>1</v>
      </c>
      <c r="P3090" s="4" t="s">
        <v>135</v>
      </c>
      <c r="Q3090" s="4" t="s">
        <v>44</v>
      </c>
      <c r="R3090" s="7">
        <v>5000000</v>
      </c>
      <c r="S3090" s="7">
        <v>0</v>
      </c>
      <c r="T3090" s="7">
        <f>R3090-S3090</f>
        <v>0</v>
      </c>
      <c r="U3090" s="7">
        <f>T3090*O3090</f>
        <v>0</v>
      </c>
    </row>
    <row r="3091" spans="1:21">
      <c r="A3091" s="4" t="s">
        <v>4101</v>
      </c>
      <c r="B3091" s="4" t="s">
        <v>39</v>
      </c>
      <c r="C3091" s="5">
        <v>45959.0582175926</v>
      </c>
      <c r="D3091" s="5">
        <v>45959</v>
      </c>
      <c r="E3091" s="6">
        <f>IF(AND(C3091&lt;&gt;"",D3091&lt;&gt;""),D3091-C3091,"")</f>
        <v>0</v>
      </c>
      <c r="F3091" s="4" t="s">
        <v>4102</v>
      </c>
      <c r="G3091" s="4" t="s">
        <v>4103</v>
      </c>
      <c r="H3091" s="4" t="s">
        <v>32</v>
      </c>
      <c r="I3091" s="4" t="s">
        <v>33</v>
      </c>
      <c r="J3091" s="4">
        <v>1</v>
      </c>
      <c r="K3091" s="4">
        <v>0</v>
      </c>
      <c r="L3091" s="4">
        <f>J3091+K3091</f>
        <v>0</v>
      </c>
      <c r="M3091" s="4" t="s">
        <v>80</v>
      </c>
      <c r="N3091" s="4"/>
      <c r="O3091" s="4">
        <v>1</v>
      </c>
      <c r="P3091" s="4" t="s">
        <v>135</v>
      </c>
      <c r="Q3091" s="4" t="s">
        <v>4048</v>
      </c>
      <c r="R3091" s="7">
        <v>440000</v>
      </c>
      <c r="S3091" s="7">
        <v>0</v>
      </c>
      <c r="T3091" s="7">
        <f>R3091-S3091</f>
        <v>0</v>
      </c>
      <c r="U3091" s="7">
        <f>T3091*O3091</f>
        <v>0</v>
      </c>
    </row>
    <row r="3092" spans="1:21">
      <c r="A3092" s="4" t="s">
        <v>4101</v>
      </c>
      <c r="B3092" s="4" t="s">
        <v>39</v>
      </c>
      <c r="C3092" s="5">
        <v>45959.0582175926</v>
      </c>
      <c r="D3092" s="5">
        <v>45959</v>
      </c>
      <c r="E3092" s="6">
        <f>IF(AND(C3092&lt;&gt;"",D3092&lt;&gt;""),D3092-C3092,"")</f>
        <v>0</v>
      </c>
      <c r="F3092" s="4" t="s">
        <v>4102</v>
      </c>
      <c r="G3092" s="4" t="s">
        <v>4103</v>
      </c>
      <c r="H3092" s="4" t="s">
        <v>32</v>
      </c>
      <c r="I3092" s="4" t="s">
        <v>33</v>
      </c>
      <c r="J3092" s="4">
        <v>1</v>
      </c>
      <c r="K3092" s="4">
        <v>0</v>
      </c>
      <c r="L3092" s="4">
        <f>J3092+K3092</f>
        <v>0</v>
      </c>
      <c r="M3092" s="4" t="s">
        <v>1645</v>
      </c>
      <c r="N3092" s="4"/>
      <c r="O3092" s="4">
        <v>1</v>
      </c>
      <c r="P3092" s="4" t="s">
        <v>135</v>
      </c>
      <c r="Q3092" s="4" t="s">
        <v>4048</v>
      </c>
      <c r="R3092" s="7">
        <v>1701000</v>
      </c>
      <c r="S3092" s="7">
        <v>0</v>
      </c>
      <c r="T3092" s="7">
        <f>R3092-S3092</f>
        <v>0</v>
      </c>
      <c r="U3092" s="7">
        <f>T3092*O3092</f>
        <v>0</v>
      </c>
    </row>
    <row r="3093" spans="1:21">
      <c r="A3093" s="4" t="s">
        <v>4101</v>
      </c>
      <c r="B3093" s="4" t="s">
        <v>39</v>
      </c>
      <c r="C3093" s="5">
        <v>45959.0582175926</v>
      </c>
      <c r="D3093" s="5">
        <v>45959</v>
      </c>
      <c r="E3093" s="6">
        <f>IF(AND(C3093&lt;&gt;"",D3093&lt;&gt;""),D3093-C3093,"")</f>
        <v>0</v>
      </c>
      <c r="F3093" s="4" t="s">
        <v>4102</v>
      </c>
      <c r="G3093" s="4" t="s">
        <v>4103</v>
      </c>
      <c r="H3093" s="4" t="s">
        <v>32</v>
      </c>
      <c r="I3093" s="4" t="s">
        <v>33</v>
      </c>
      <c r="J3093" s="4">
        <v>1</v>
      </c>
      <c r="K3093" s="4">
        <v>0</v>
      </c>
      <c r="L3093" s="4">
        <f>J3093+K3093</f>
        <v>0</v>
      </c>
      <c r="M3093" s="4" t="s">
        <v>80</v>
      </c>
      <c r="N3093" s="4"/>
      <c r="O3093" s="4">
        <v>1</v>
      </c>
      <c r="P3093" s="4" t="s">
        <v>135</v>
      </c>
      <c r="Q3093" s="4" t="s">
        <v>4048</v>
      </c>
      <c r="R3093" s="7">
        <v>440000</v>
      </c>
      <c r="S3093" s="7">
        <v>0</v>
      </c>
      <c r="T3093" s="7">
        <f>R3093-S3093</f>
        <v>0</v>
      </c>
      <c r="U3093" s="7">
        <f>T3093*O3093</f>
        <v>0</v>
      </c>
    </row>
    <row r="3094" spans="1:21">
      <c r="A3094" s="4" t="s">
        <v>4104</v>
      </c>
      <c r="B3094" s="4" t="s">
        <v>39</v>
      </c>
      <c r="C3094" s="5">
        <v>45959.05832175926</v>
      </c>
      <c r="D3094" s="5">
        <v>45959</v>
      </c>
      <c r="E3094" s="6">
        <f>IF(AND(C3094&lt;&gt;"",D3094&lt;&gt;""),D3094-C3094,"")</f>
        <v>0</v>
      </c>
      <c r="F3094" s="4" t="s">
        <v>2887</v>
      </c>
      <c r="G3094" s="4" t="s">
        <v>2888</v>
      </c>
      <c r="H3094" s="4" t="s">
        <v>32</v>
      </c>
      <c r="I3094" s="4" t="s">
        <v>33</v>
      </c>
      <c r="J3094" s="4">
        <v>0</v>
      </c>
      <c r="K3094" s="4">
        <v>0</v>
      </c>
      <c r="L3094" s="4">
        <f>J3094+K3094</f>
        <v>0</v>
      </c>
      <c r="M3094" s="4" t="s">
        <v>370</v>
      </c>
      <c r="N3094" s="4"/>
      <c r="O3094" s="4">
        <v>1</v>
      </c>
      <c r="P3094" s="4" t="s">
        <v>135</v>
      </c>
      <c r="Q3094" s="4" t="s">
        <v>44</v>
      </c>
      <c r="R3094" s="7">
        <v>5000000</v>
      </c>
      <c r="S3094" s="7">
        <v>0</v>
      </c>
      <c r="T3094" s="7">
        <f>R3094-S3094</f>
        <v>0</v>
      </c>
      <c r="U3094" s="7">
        <f>T3094*O3094</f>
        <v>0</v>
      </c>
    </row>
    <row r="3095" spans="1:21">
      <c r="A3095" s="4" t="s">
        <v>4105</v>
      </c>
      <c r="B3095" s="4" t="s">
        <v>39</v>
      </c>
      <c r="C3095" s="5">
        <v>45959.06340277778</v>
      </c>
      <c r="D3095" s="5">
        <v>45959</v>
      </c>
      <c r="E3095" s="6">
        <f>IF(AND(C3095&lt;&gt;"",D3095&lt;&gt;""),D3095-C3095,"")</f>
        <v>0</v>
      </c>
      <c r="F3095" s="4" t="s">
        <v>4106</v>
      </c>
      <c r="G3095" s="4" t="s">
        <v>4107</v>
      </c>
      <c r="H3095" s="4" t="s">
        <v>32</v>
      </c>
      <c r="I3095" s="4" t="s">
        <v>33</v>
      </c>
      <c r="J3095" s="4">
        <v>1</v>
      </c>
      <c r="K3095" s="4">
        <v>0</v>
      </c>
      <c r="L3095" s="4">
        <f>J3095+K3095</f>
        <v>0</v>
      </c>
      <c r="M3095" s="4" t="s">
        <v>1645</v>
      </c>
      <c r="N3095" s="4"/>
      <c r="O3095" s="4">
        <v>1</v>
      </c>
      <c r="P3095" s="4" t="s">
        <v>135</v>
      </c>
      <c r="Q3095" s="4" t="s">
        <v>4048</v>
      </c>
      <c r="R3095" s="7">
        <v>1701000</v>
      </c>
      <c r="S3095" s="7">
        <v>0</v>
      </c>
      <c r="T3095" s="7">
        <f>R3095-S3095</f>
        <v>0</v>
      </c>
      <c r="U3095" s="7">
        <f>T3095*O3095</f>
        <v>0</v>
      </c>
    </row>
    <row r="3096" spans="1:21">
      <c r="A3096" s="4" t="s">
        <v>4105</v>
      </c>
      <c r="B3096" s="4" t="s">
        <v>39</v>
      </c>
      <c r="C3096" s="5">
        <v>45959.06340277778</v>
      </c>
      <c r="D3096" s="5">
        <v>45959</v>
      </c>
      <c r="E3096" s="6">
        <f>IF(AND(C3096&lt;&gt;"",D3096&lt;&gt;""),D3096-C3096,"")</f>
        <v>0</v>
      </c>
      <c r="F3096" s="4" t="s">
        <v>4106</v>
      </c>
      <c r="G3096" s="4" t="s">
        <v>4107</v>
      </c>
      <c r="H3096" s="4" t="s">
        <v>32</v>
      </c>
      <c r="I3096" s="4" t="s">
        <v>33</v>
      </c>
      <c r="J3096" s="4">
        <v>0</v>
      </c>
      <c r="K3096" s="4">
        <v>1</v>
      </c>
      <c r="L3096" s="4">
        <f>J3096+K3096</f>
        <v>0</v>
      </c>
      <c r="M3096" s="4" t="s">
        <v>81</v>
      </c>
      <c r="N3096" s="4"/>
      <c r="O3096" s="4">
        <v>1</v>
      </c>
      <c r="P3096" s="4" t="s">
        <v>135</v>
      </c>
      <c r="Q3096" s="4" t="s">
        <v>4048</v>
      </c>
      <c r="R3096" s="7">
        <v>356000</v>
      </c>
      <c r="S3096" s="7">
        <v>0</v>
      </c>
      <c r="T3096" s="7">
        <f>R3096-S3096</f>
        <v>0</v>
      </c>
      <c r="U3096" s="7">
        <f>T3096*O3096</f>
        <v>0</v>
      </c>
    </row>
    <row r="3097" spans="1:21">
      <c r="A3097" s="4" t="s">
        <v>4105</v>
      </c>
      <c r="B3097" s="4" t="s">
        <v>39</v>
      </c>
      <c r="C3097" s="5">
        <v>45959.06340277778</v>
      </c>
      <c r="D3097" s="5">
        <v>45959</v>
      </c>
      <c r="E3097" s="6">
        <f>IF(AND(C3097&lt;&gt;"",D3097&lt;&gt;""),D3097-C3097,"")</f>
        <v>0</v>
      </c>
      <c r="F3097" s="4" t="s">
        <v>4106</v>
      </c>
      <c r="G3097" s="4" t="s">
        <v>4107</v>
      </c>
      <c r="H3097" s="4" t="s">
        <v>32</v>
      </c>
      <c r="I3097" s="4" t="s">
        <v>33</v>
      </c>
      <c r="J3097" s="4">
        <v>1</v>
      </c>
      <c r="K3097" s="4">
        <v>0</v>
      </c>
      <c r="L3097" s="4">
        <f>J3097+K3097</f>
        <v>0</v>
      </c>
      <c r="M3097" s="4" t="s">
        <v>80</v>
      </c>
      <c r="N3097" s="4"/>
      <c r="O3097" s="4">
        <v>1</v>
      </c>
      <c r="P3097" s="4" t="s">
        <v>135</v>
      </c>
      <c r="Q3097" s="4" t="s">
        <v>4048</v>
      </c>
      <c r="R3097" s="7">
        <v>440000</v>
      </c>
      <c r="S3097" s="7">
        <v>0</v>
      </c>
      <c r="T3097" s="7">
        <f>R3097-S3097</f>
        <v>0</v>
      </c>
      <c r="U3097" s="7">
        <f>T3097*O3097</f>
        <v>0</v>
      </c>
    </row>
    <row r="3098" spans="1:21">
      <c r="A3098" s="4" t="s">
        <v>4108</v>
      </c>
      <c r="B3098" s="4" t="s">
        <v>39</v>
      </c>
      <c r="C3098" s="5">
        <v>45959.0659837963</v>
      </c>
      <c r="D3098" s="5">
        <v>45959</v>
      </c>
      <c r="E3098" s="6">
        <f>IF(AND(C3098&lt;&gt;"",D3098&lt;&gt;""),D3098-C3098,"")</f>
        <v>0</v>
      </c>
      <c r="F3098" s="4" t="s">
        <v>4109</v>
      </c>
      <c r="G3098" s="4" t="s">
        <v>4110</v>
      </c>
      <c r="H3098" s="4" t="s">
        <v>32</v>
      </c>
      <c r="I3098" s="4" t="s">
        <v>33</v>
      </c>
      <c r="J3098" s="4">
        <v>0</v>
      </c>
      <c r="K3098" s="4">
        <v>0</v>
      </c>
      <c r="L3098" s="4">
        <f>J3098+K3098</f>
        <v>0</v>
      </c>
      <c r="M3098" s="4" t="s">
        <v>1777</v>
      </c>
      <c r="N3098" s="4"/>
      <c r="O3098" s="4">
        <v>1</v>
      </c>
      <c r="P3098" s="4" t="s">
        <v>135</v>
      </c>
      <c r="Q3098" s="4"/>
      <c r="R3098" s="7">
        <v>122000</v>
      </c>
      <c r="S3098" s="7">
        <v>0</v>
      </c>
      <c r="T3098" s="7">
        <f>R3098-S3098</f>
        <v>0</v>
      </c>
      <c r="U3098" s="7">
        <f>T3098*O3098</f>
        <v>0</v>
      </c>
    </row>
    <row r="3099" spans="1:21">
      <c r="A3099" s="4" t="s">
        <v>4108</v>
      </c>
      <c r="B3099" s="4" t="s">
        <v>39</v>
      </c>
      <c r="C3099" s="5">
        <v>45959.0659837963</v>
      </c>
      <c r="D3099" s="5">
        <v>45959</v>
      </c>
      <c r="E3099" s="6">
        <f>IF(AND(C3099&lt;&gt;"",D3099&lt;&gt;""),D3099-C3099,"")</f>
        <v>0</v>
      </c>
      <c r="F3099" s="4" t="s">
        <v>4109</v>
      </c>
      <c r="G3099" s="4" t="s">
        <v>4110</v>
      </c>
      <c r="H3099" s="4" t="s">
        <v>32</v>
      </c>
      <c r="I3099" s="4" t="s">
        <v>33</v>
      </c>
      <c r="J3099" s="4">
        <v>0</v>
      </c>
      <c r="K3099" s="4">
        <v>0</v>
      </c>
      <c r="L3099" s="4">
        <f>J3099+K3099</f>
        <v>0</v>
      </c>
      <c r="M3099" s="4" t="s">
        <v>1726</v>
      </c>
      <c r="N3099" s="4"/>
      <c r="O3099" s="4">
        <v>1</v>
      </c>
      <c r="P3099" s="4" t="s">
        <v>135</v>
      </c>
      <c r="Q3099" s="4"/>
      <c r="R3099" s="7">
        <v>64000</v>
      </c>
      <c r="S3099" s="7">
        <v>0</v>
      </c>
      <c r="T3099" s="7">
        <f>R3099-S3099</f>
        <v>0</v>
      </c>
      <c r="U3099" s="7">
        <f>T3099*O3099</f>
        <v>0</v>
      </c>
    </row>
    <row r="3100" spans="1:21">
      <c r="A3100" s="4" t="s">
        <v>4108</v>
      </c>
      <c r="B3100" s="4" t="s">
        <v>39</v>
      </c>
      <c r="C3100" s="5">
        <v>45959.0659837963</v>
      </c>
      <c r="D3100" s="5">
        <v>45959</v>
      </c>
      <c r="E3100" s="6">
        <f>IF(AND(C3100&lt;&gt;"",D3100&lt;&gt;""),D3100-C3100,"")</f>
        <v>0</v>
      </c>
      <c r="F3100" s="4" t="s">
        <v>4109</v>
      </c>
      <c r="G3100" s="4" t="s">
        <v>4110</v>
      </c>
      <c r="H3100" s="4" t="s">
        <v>32</v>
      </c>
      <c r="I3100" s="4" t="s">
        <v>33</v>
      </c>
      <c r="J3100" s="4">
        <v>0</v>
      </c>
      <c r="K3100" s="4">
        <v>0</v>
      </c>
      <c r="L3100" s="4">
        <f>J3100+K3100</f>
        <v>0</v>
      </c>
      <c r="M3100" s="4" t="s">
        <v>1840</v>
      </c>
      <c r="N3100" s="4"/>
      <c r="O3100" s="4">
        <v>1</v>
      </c>
      <c r="P3100" s="4" t="s">
        <v>135</v>
      </c>
      <c r="Q3100" s="4"/>
      <c r="R3100" s="7">
        <v>153000</v>
      </c>
      <c r="S3100" s="7">
        <v>0</v>
      </c>
      <c r="T3100" s="7">
        <f>R3100-S3100</f>
        <v>0</v>
      </c>
      <c r="U3100" s="7">
        <f>T3100*O3100</f>
        <v>0</v>
      </c>
    </row>
    <row r="3101" spans="1:21">
      <c r="A3101" s="4" t="s">
        <v>4108</v>
      </c>
      <c r="B3101" s="4" t="s">
        <v>39</v>
      </c>
      <c r="C3101" s="5">
        <v>45959.0659837963</v>
      </c>
      <c r="D3101" s="5">
        <v>45959</v>
      </c>
      <c r="E3101" s="6">
        <f>IF(AND(C3101&lt;&gt;"",D3101&lt;&gt;""),D3101-C3101,"")</f>
        <v>0</v>
      </c>
      <c r="F3101" s="4" t="s">
        <v>4109</v>
      </c>
      <c r="G3101" s="4" t="s">
        <v>4110</v>
      </c>
      <c r="H3101" s="4" t="s">
        <v>32</v>
      </c>
      <c r="I3101" s="4" t="s">
        <v>33</v>
      </c>
      <c r="J3101" s="4">
        <v>0</v>
      </c>
      <c r="K3101" s="4">
        <v>0</v>
      </c>
      <c r="L3101" s="4">
        <f>J3101+K3101</f>
        <v>0</v>
      </c>
      <c r="M3101" s="4" t="s">
        <v>3901</v>
      </c>
      <c r="N3101" s="4"/>
      <c r="O3101" s="4">
        <v>1</v>
      </c>
      <c r="P3101" s="4" t="s">
        <v>135</v>
      </c>
      <c r="Q3101" s="4"/>
      <c r="R3101" s="7">
        <v>44000</v>
      </c>
      <c r="S3101" s="7">
        <v>0</v>
      </c>
      <c r="T3101" s="7">
        <f>R3101-S3101</f>
        <v>0</v>
      </c>
      <c r="U3101" s="7">
        <f>T3101*O3101</f>
        <v>0</v>
      </c>
    </row>
    <row r="3102" spans="1:21">
      <c r="A3102" s="4" t="s">
        <v>4108</v>
      </c>
      <c r="B3102" s="4" t="s">
        <v>39</v>
      </c>
      <c r="C3102" s="5">
        <v>45959.0659837963</v>
      </c>
      <c r="D3102" s="5">
        <v>45959</v>
      </c>
      <c r="E3102" s="6">
        <f>IF(AND(C3102&lt;&gt;"",D3102&lt;&gt;""),D3102-C3102,"")</f>
        <v>0</v>
      </c>
      <c r="F3102" s="4" t="s">
        <v>4109</v>
      </c>
      <c r="G3102" s="4" t="s">
        <v>4110</v>
      </c>
      <c r="H3102" s="4" t="s">
        <v>32</v>
      </c>
      <c r="I3102" s="4" t="s">
        <v>33</v>
      </c>
      <c r="J3102" s="4">
        <v>0</v>
      </c>
      <c r="K3102" s="4">
        <v>0</v>
      </c>
      <c r="L3102" s="4">
        <f>J3102+K3102</f>
        <v>0</v>
      </c>
      <c r="M3102" s="4" t="s">
        <v>3908</v>
      </c>
      <c r="N3102" s="4"/>
      <c r="O3102" s="4">
        <v>1</v>
      </c>
      <c r="P3102" s="4" t="s">
        <v>135</v>
      </c>
      <c r="Q3102" s="4"/>
      <c r="R3102" s="7">
        <v>64000</v>
      </c>
      <c r="S3102" s="7">
        <v>0</v>
      </c>
      <c r="T3102" s="7">
        <f>R3102-S3102</f>
        <v>0</v>
      </c>
      <c r="U3102" s="7">
        <f>T3102*O3102</f>
        <v>0</v>
      </c>
    </row>
    <row r="3103" spans="1:21">
      <c r="A3103" s="4" t="s">
        <v>4108</v>
      </c>
      <c r="B3103" s="4" t="s">
        <v>39</v>
      </c>
      <c r="C3103" s="5">
        <v>45959.0659837963</v>
      </c>
      <c r="D3103" s="5">
        <v>45959</v>
      </c>
      <c r="E3103" s="6">
        <f>IF(AND(C3103&lt;&gt;"",D3103&lt;&gt;""),D3103-C3103,"")</f>
        <v>0</v>
      </c>
      <c r="F3103" s="4" t="s">
        <v>4109</v>
      </c>
      <c r="G3103" s="4" t="s">
        <v>4110</v>
      </c>
      <c r="H3103" s="4" t="s">
        <v>32</v>
      </c>
      <c r="I3103" s="4" t="s">
        <v>33</v>
      </c>
      <c r="J3103" s="4">
        <v>0</v>
      </c>
      <c r="K3103" s="4">
        <v>0</v>
      </c>
      <c r="L3103" s="4">
        <f>J3103+K3103</f>
        <v>0</v>
      </c>
      <c r="M3103" s="4" t="s">
        <v>3932</v>
      </c>
      <c r="N3103" s="4"/>
      <c r="O3103" s="4">
        <v>1</v>
      </c>
      <c r="P3103" s="4" t="s">
        <v>135</v>
      </c>
      <c r="Q3103" s="4"/>
      <c r="R3103" s="7">
        <v>60000</v>
      </c>
      <c r="S3103" s="7">
        <v>0</v>
      </c>
      <c r="T3103" s="7">
        <f>R3103-S3103</f>
        <v>0</v>
      </c>
      <c r="U3103" s="7">
        <f>T3103*O3103</f>
        <v>0</v>
      </c>
    </row>
    <row r="3104" spans="1:21">
      <c r="A3104" s="4" t="s">
        <v>4108</v>
      </c>
      <c r="B3104" s="4" t="s">
        <v>39</v>
      </c>
      <c r="C3104" s="5">
        <v>45959.0659837963</v>
      </c>
      <c r="D3104" s="5">
        <v>45959</v>
      </c>
      <c r="E3104" s="6">
        <f>IF(AND(C3104&lt;&gt;"",D3104&lt;&gt;""),D3104-C3104,"")</f>
        <v>0</v>
      </c>
      <c r="F3104" s="4" t="s">
        <v>4109</v>
      </c>
      <c r="G3104" s="4" t="s">
        <v>4110</v>
      </c>
      <c r="H3104" s="4" t="s">
        <v>32</v>
      </c>
      <c r="I3104" s="4" t="s">
        <v>33</v>
      </c>
      <c r="J3104" s="4">
        <v>0</v>
      </c>
      <c r="K3104" s="4">
        <v>0</v>
      </c>
      <c r="L3104" s="4">
        <f>J3104+K3104</f>
        <v>0</v>
      </c>
      <c r="M3104" s="4" t="s">
        <v>3912</v>
      </c>
      <c r="N3104" s="4"/>
      <c r="O3104" s="4">
        <v>1</v>
      </c>
      <c r="P3104" s="4" t="s">
        <v>135</v>
      </c>
      <c r="Q3104" s="4"/>
      <c r="R3104" s="7">
        <v>44000</v>
      </c>
      <c r="S3104" s="7">
        <v>0</v>
      </c>
      <c r="T3104" s="7">
        <f>R3104-S3104</f>
        <v>0</v>
      </c>
      <c r="U3104" s="7">
        <f>T3104*O3104</f>
        <v>0</v>
      </c>
    </row>
    <row r="3105" spans="1:21">
      <c r="A3105" s="4" t="s">
        <v>4108</v>
      </c>
      <c r="B3105" s="4" t="s">
        <v>39</v>
      </c>
      <c r="C3105" s="5">
        <v>45959.0659837963</v>
      </c>
      <c r="D3105" s="5">
        <v>45959</v>
      </c>
      <c r="E3105" s="6">
        <f>IF(AND(C3105&lt;&gt;"",D3105&lt;&gt;""),D3105-C3105,"")</f>
        <v>0</v>
      </c>
      <c r="F3105" s="4" t="s">
        <v>4109</v>
      </c>
      <c r="G3105" s="4" t="s">
        <v>4110</v>
      </c>
      <c r="H3105" s="4" t="s">
        <v>32</v>
      </c>
      <c r="I3105" s="4" t="s">
        <v>33</v>
      </c>
      <c r="J3105" s="4">
        <v>0</v>
      </c>
      <c r="K3105" s="4">
        <v>0</v>
      </c>
      <c r="L3105" s="4">
        <f>J3105+K3105</f>
        <v>0</v>
      </c>
      <c r="M3105" s="4" t="s">
        <v>3924</v>
      </c>
      <c r="N3105" s="4"/>
      <c r="O3105" s="4">
        <v>1</v>
      </c>
      <c r="P3105" s="4" t="s">
        <v>135</v>
      </c>
      <c r="Q3105" s="4"/>
      <c r="R3105" s="7">
        <v>108000</v>
      </c>
      <c r="S3105" s="7">
        <v>0</v>
      </c>
      <c r="T3105" s="7">
        <f>R3105-S3105</f>
        <v>0</v>
      </c>
      <c r="U3105" s="7">
        <f>T3105*O3105</f>
        <v>0</v>
      </c>
    </row>
    <row r="3106" spans="1:21">
      <c r="A3106" s="4" t="s">
        <v>4108</v>
      </c>
      <c r="B3106" s="4" t="s">
        <v>39</v>
      </c>
      <c r="C3106" s="5">
        <v>45959.0659837963</v>
      </c>
      <c r="D3106" s="5">
        <v>45959</v>
      </c>
      <c r="E3106" s="6">
        <f>IF(AND(C3106&lt;&gt;"",D3106&lt;&gt;""),D3106-C3106,"")</f>
        <v>0</v>
      </c>
      <c r="F3106" s="4" t="s">
        <v>4109</v>
      </c>
      <c r="G3106" s="4" t="s">
        <v>4110</v>
      </c>
      <c r="H3106" s="4" t="s">
        <v>32</v>
      </c>
      <c r="I3106" s="4" t="s">
        <v>33</v>
      </c>
      <c r="J3106" s="4">
        <v>0</v>
      </c>
      <c r="K3106" s="4">
        <v>0</v>
      </c>
      <c r="L3106" s="4">
        <f>J3106+K3106</f>
        <v>0</v>
      </c>
      <c r="M3106" s="4" t="s">
        <v>1335</v>
      </c>
      <c r="N3106" s="4"/>
      <c r="O3106" s="4">
        <v>1</v>
      </c>
      <c r="P3106" s="4" t="s">
        <v>135</v>
      </c>
      <c r="Q3106" s="4"/>
      <c r="R3106" s="7">
        <v>45000</v>
      </c>
      <c r="S3106" s="7">
        <v>0</v>
      </c>
      <c r="T3106" s="7">
        <f>R3106-S3106</f>
        <v>0</v>
      </c>
      <c r="U3106" s="7">
        <f>T3106*O3106</f>
        <v>0</v>
      </c>
    </row>
    <row r="3107" spans="1:21">
      <c r="A3107" s="4" t="s">
        <v>4108</v>
      </c>
      <c r="B3107" s="4" t="s">
        <v>39</v>
      </c>
      <c r="C3107" s="5">
        <v>45959.0659837963</v>
      </c>
      <c r="D3107" s="5">
        <v>45959</v>
      </c>
      <c r="E3107" s="6">
        <f>IF(AND(C3107&lt;&gt;"",D3107&lt;&gt;""),D3107-C3107,"")</f>
        <v>0</v>
      </c>
      <c r="F3107" s="4" t="s">
        <v>4109</v>
      </c>
      <c r="G3107" s="4" t="s">
        <v>4110</v>
      </c>
      <c r="H3107" s="4" t="s">
        <v>32</v>
      </c>
      <c r="I3107" s="4" t="s">
        <v>33</v>
      </c>
      <c r="J3107" s="4">
        <v>0</v>
      </c>
      <c r="K3107" s="4">
        <v>0</v>
      </c>
      <c r="L3107" s="4">
        <f>J3107+K3107</f>
        <v>0</v>
      </c>
      <c r="M3107" s="4" t="s">
        <v>3914</v>
      </c>
      <c r="N3107" s="4"/>
      <c r="O3107" s="4">
        <v>1</v>
      </c>
      <c r="P3107" s="4" t="s">
        <v>135</v>
      </c>
      <c r="Q3107" s="4"/>
      <c r="R3107" s="7">
        <v>68000</v>
      </c>
      <c r="S3107" s="7">
        <v>0</v>
      </c>
      <c r="T3107" s="7">
        <f>R3107-S3107</f>
        <v>0</v>
      </c>
      <c r="U3107" s="7">
        <f>T3107*O3107</f>
        <v>0</v>
      </c>
    </row>
    <row r="3108" spans="1:21">
      <c r="A3108" s="4" t="s">
        <v>4108</v>
      </c>
      <c r="B3108" s="4" t="s">
        <v>39</v>
      </c>
      <c r="C3108" s="5">
        <v>45959.0659837963</v>
      </c>
      <c r="D3108" s="5">
        <v>45959</v>
      </c>
      <c r="E3108" s="6">
        <f>IF(AND(C3108&lt;&gt;"",D3108&lt;&gt;""),D3108-C3108,"")</f>
        <v>0</v>
      </c>
      <c r="F3108" s="4" t="s">
        <v>4109</v>
      </c>
      <c r="G3108" s="4" t="s">
        <v>4110</v>
      </c>
      <c r="H3108" s="4" t="s">
        <v>32</v>
      </c>
      <c r="I3108" s="4" t="s">
        <v>33</v>
      </c>
      <c r="J3108" s="4">
        <v>0</v>
      </c>
      <c r="K3108" s="4">
        <v>0</v>
      </c>
      <c r="L3108" s="4">
        <f>J3108+K3108</f>
        <v>0</v>
      </c>
      <c r="M3108" s="4" t="s">
        <v>1419</v>
      </c>
      <c r="N3108" s="4"/>
      <c r="O3108" s="4">
        <v>1</v>
      </c>
      <c r="P3108" s="4" t="s">
        <v>135</v>
      </c>
      <c r="Q3108" s="4"/>
      <c r="R3108" s="7">
        <v>160000</v>
      </c>
      <c r="S3108" s="7">
        <v>0</v>
      </c>
      <c r="T3108" s="7">
        <f>R3108-S3108</f>
        <v>0</v>
      </c>
      <c r="U3108" s="7">
        <f>T3108*O3108</f>
        <v>0</v>
      </c>
    </row>
    <row r="3109" spans="1:21">
      <c r="A3109" s="4" t="s">
        <v>4111</v>
      </c>
      <c r="B3109" s="4" t="s">
        <v>39</v>
      </c>
      <c r="C3109" s="5">
        <v>45959.07076388889</v>
      </c>
      <c r="D3109" s="5">
        <v>45959</v>
      </c>
      <c r="E3109" s="6">
        <f>IF(AND(C3109&lt;&gt;"",D3109&lt;&gt;""),D3109-C3109,"")</f>
        <v>0</v>
      </c>
      <c r="F3109" s="4" t="s">
        <v>3981</v>
      </c>
      <c r="G3109" s="4" t="s">
        <v>4112</v>
      </c>
      <c r="H3109" s="4" t="s">
        <v>32</v>
      </c>
      <c r="I3109" s="4" t="s">
        <v>33</v>
      </c>
      <c r="J3109" s="4">
        <v>0</v>
      </c>
      <c r="K3109" s="4">
        <v>0</v>
      </c>
      <c r="L3109" s="4">
        <f>J3109+K3109</f>
        <v>0</v>
      </c>
      <c r="M3109" s="4" t="s">
        <v>4113</v>
      </c>
      <c r="N3109" s="4"/>
      <c r="O3109" s="4">
        <v>1</v>
      </c>
      <c r="P3109" s="4" t="s">
        <v>135</v>
      </c>
      <c r="Q3109" s="4" t="s">
        <v>44</v>
      </c>
      <c r="R3109" s="7">
        <v>1250000</v>
      </c>
      <c r="S3109" s="7">
        <v>0</v>
      </c>
      <c r="T3109" s="7">
        <f>R3109-S3109</f>
        <v>0</v>
      </c>
      <c r="U3109" s="7">
        <f>T3109*O3109</f>
        <v>0</v>
      </c>
    </row>
    <row r="3110" spans="1:21">
      <c r="A3110" s="4" t="s">
        <v>4114</v>
      </c>
      <c r="B3110" s="4" t="s">
        <v>39</v>
      </c>
      <c r="C3110" s="5">
        <v>45959.10179398148</v>
      </c>
      <c r="D3110" s="5">
        <v>45959</v>
      </c>
      <c r="E3110" s="6">
        <f>IF(AND(C3110&lt;&gt;"",D3110&lt;&gt;""),D3110-C3110,"")</f>
        <v>0</v>
      </c>
      <c r="F3110" s="4" t="s">
        <v>4115</v>
      </c>
      <c r="G3110" s="4" t="s">
        <v>4116</v>
      </c>
      <c r="H3110" s="4" t="s">
        <v>32</v>
      </c>
      <c r="I3110" s="4" t="s">
        <v>33</v>
      </c>
      <c r="J3110" s="4">
        <v>0</v>
      </c>
      <c r="K3110" s="4">
        <v>0</v>
      </c>
      <c r="L3110" s="4">
        <f>J3110+K3110</f>
        <v>0</v>
      </c>
      <c r="M3110" s="4" t="s">
        <v>1457</v>
      </c>
      <c r="N3110" s="4"/>
      <c r="O3110" s="4">
        <v>1</v>
      </c>
      <c r="P3110" s="4" t="s">
        <v>135</v>
      </c>
      <c r="Q3110" s="4" t="s">
        <v>44</v>
      </c>
      <c r="R3110" s="7">
        <v>950000</v>
      </c>
      <c r="S3110" s="7">
        <v>0</v>
      </c>
      <c r="T3110" s="7">
        <f>R3110-S3110</f>
        <v>0</v>
      </c>
      <c r="U3110" s="7">
        <f>T3110*O3110</f>
        <v>0</v>
      </c>
    </row>
    <row r="3111" spans="1:21">
      <c r="A3111" s="4" t="s">
        <v>4114</v>
      </c>
      <c r="B3111" s="4" t="s">
        <v>39</v>
      </c>
      <c r="C3111" s="5">
        <v>45959.10179398148</v>
      </c>
      <c r="D3111" s="5">
        <v>45959</v>
      </c>
      <c r="E3111" s="6">
        <f>IF(AND(C3111&lt;&gt;"",D3111&lt;&gt;""),D3111-C3111,"")</f>
        <v>0</v>
      </c>
      <c r="F3111" s="4" t="s">
        <v>4115</v>
      </c>
      <c r="G3111" s="4" t="s">
        <v>4116</v>
      </c>
      <c r="H3111" s="4" t="s">
        <v>32</v>
      </c>
      <c r="I3111" s="4" t="s">
        <v>33</v>
      </c>
      <c r="J3111" s="4">
        <v>0</v>
      </c>
      <c r="K3111" s="4">
        <v>0</v>
      </c>
      <c r="L3111" s="4">
        <f>J3111+K3111</f>
        <v>0</v>
      </c>
      <c r="M3111" s="4" t="s">
        <v>370</v>
      </c>
      <c r="N3111" s="4"/>
      <c r="O3111" s="4">
        <v>1</v>
      </c>
      <c r="P3111" s="4" t="s">
        <v>135</v>
      </c>
      <c r="Q3111" s="4" t="s">
        <v>44</v>
      </c>
      <c r="R3111" s="7">
        <v>1000000</v>
      </c>
      <c r="S3111" s="7">
        <v>0</v>
      </c>
      <c r="T3111" s="7">
        <f>R3111-S3111</f>
        <v>0</v>
      </c>
      <c r="U3111" s="7">
        <f>T3111*O3111</f>
        <v>0</v>
      </c>
    </row>
    <row r="3112" spans="1:21">
      <c r="A3112" s="4" t="s">
        <v>4114</v>
      </c>
      <c r="B3112" s="4" t="s">
        <v>39</v>
      </c>
      <c r="C3112" s="5">
        <v>45959.10179398148</v>
      </c>
      <c r="D3112" s="5">
        <v>45959</v>
      </c>
      <c r="E3112" s="6">
        <f>IF(AND(C3112&lt;&gt;"",D3112&lt;&gt;""),D3112-C3112,"")</f>
        <v>0</v>
      </c>
      <c r="F3112" s="4" t="s">
        <v>4115</v>
      </c>
      <c r="G3112" s="4" t="s">
        <v>4116</v>
      </c>
      <c r="H3112" s="4" t="s">
        <v>32</v>
      </c>
      <c r="I3112" s="4" t="s">
        <v>33</v>
      </c>
      <c r="J3112" s="4">
        <v>1</v>
      </c>
      <c r="K3112" s="4">
        <v>0</v>
      </c>
      <c r="L3112" s="4">
        <f>J3112+K3112</f>
        <v>0</v>
      </c>
      <c r="M3112" s="4" t="s">
        <v>976</v>
      </c>
      <c r="N3112" s="4"/>
      <c r="O3112" s="4">
        <v>1</v>
      </c>
      <c r="P3112" s="4" t="s">
        <v>135</v>
      </c>
      <c r="Q3112" s="4" t="s">
        <v>44</v>
      </c>
      <c r="R3112" s="7">
        <v>1500000</v>
      </c>
      <c r="S3112" s="7">
        <v>0</v>
      </c>
      <c r="T3112" s="7">
        <f>R3112-S3112</f>
        <v>0</v>
      </c>
      <c r="U3112" s="7">
        <f>T3112*O3112</f>
        <v>0</v>
      </c>
    </row>
    <row r="3113" spans="1:21">
      <c r="A3113" s="4" t="s">
        <v>4117</v>
      </c>
      <c r="B3113" s="4" t="s">
        <v>48</v>
      </c>
      <c r="C3113" s="5">
        <v>45959.10778935185</v>
      </c>
      <c r="D3113" s="5">
        <v>45961</v>
      </c>
      <c r="E3113" s="6">
        <f>IF(AND(C3113&lt;&gt;"",D3113&lt;&gt;""),D3113-C3113,"")</f>
        <v>0</v>
      </c>
      <c r="F3113" s="4" t="s">
        <v>64</v>
      </c>
      <c r="G3113" s="4" t="s">
        <v>65</v>
      </c>
      <c r="H3113" s="4" t="s">
        <v>32</v>
      </c>
      <c r="I3113" s="4" t="s">
        <v>33</v>
      </c>
      <c r="J3113" s="4">
        <v>1</v>
      </c>
      <c r="K3113" s="4">
        <v>0</v>
      </c>
      <c r="L3113" s="4">
        <f>J3113+K3113</f>
        <v>0</v>
      </c>
      <c r="M3113" s="4"/>
      <c r="N3113" s="4"/>
      <c r="O3113" s="4">
        <v>0</v>
      </c>
      <c r="P3113" s="4"/>
      <c r="Q3113" s="4"/>
      <c r="R3113" s="7">
        <v>0</v>
      </c>
      <c r="S3113" s="7">
        <v>0</v>
      </c>
      <c r="T3113" s="7">
        <f>R3113-S3113</f>
        <v>0</v>
      </c>
      <c r="U3113" s="7">
        <f>T3113*O3113</f>
        <v>0</v>
      </c>
    </row>
    <row r="3114" spans="1:21">
      <c r="A3114" s="4" t="s">
        <v>4118</v>
      </c>
      <c r="B3114" s="4" t="s">
        <v>39</v>
      </c>
      <c r="C3114" s="5">
        <v>45959.10913194445</v>
      </c>
      <c r="D3114" s="5">
        <v>45959</v>
      </c>
      <c r="E3114" s="6">
        <f>IF(AND(C3114&lt;&gt;"",D3114&lt;&gt;""),D3114-C3114,"")</f>
        <v>0</v>
      </c>
      <c r="F3114" s="4" t="s">
        <v>4119</v>
      </c>
      <c r="G3114" s="4" t="s">
        <v>4120</v>
      </c>
      <c r="H3114" s="4" t="s">
        <v>32</v>
      </c>
      <c r="I3114" s="4" t="s">
        <v>33</v>
      </c>
      <c r="J3114" s="4">
        <v>0</v>
      </c>
      <c r="K3114" s="4">
        <v>0</v>
      </c>
      <c r="L3114" s="4">
        <f>J3114+K3114</f>
        <v>0</v>
      </c>
      <c r="M3114" s="4" t="s">
        <v>1840</v>
      </c>
      <c r="N3114" s="4"/>
      <c r="O3114" s="4">
        <v>4</v>
      </c>
      <c r="P3114" s="4" t="s">
        <v>135</v>
      </c>
      <c r="Q3114" s="4"/>
      <c r="R3114" s="7">
        <v>153000</v>
      </c>
      <c r="S3114" s="7">
        <v>0</v>
      </c>
      <c r="T3114" s="7">
        <f>R3114-S3114</f>
        <v>0</v>
      </c>
      <c r="U3114" s="7">
        <f>T3114*O3114</f>
        <v>0</v>
      </c>
    </row>
    <row r="3115" spans="1:21">
      <c r="A3115" s="4" t="s">
        <v>4121</v>
      </c>
      <c r="B3115" s="4" t="s">
        <v>39</v>
      </c>
      <c r="C3115" s="5">
        <v>45959.14047453704</v>
      </c>
      <c r="D3115" s="5">
        <v>45959</v>
      </c>
      <c r="E3115" s="6">
        <f>IF(AND(C3115&lt;&gt;"",D3115&lt;&gt;""),D3115-C3115,"")</f>
        <v>0</v>
      </c>
      <c r="F3115" s="4" t="s">
        <v>4122</v>
      </c>
      <c r="G3115" s="4" t="s">
        <v>4123</v>
      </c>
      <c r="H3115" s="4" t="s">
        <v>32</v>
      </c>
      <c r="I3115" s="4" t="s">
        <v>33</v>
      </c>
      <c r="J3115" s="4">
        <v>0</v>
      </c>
      <c r="K3115" s="4">
        <v>0</v>
      </c>
      <c r="L3115" s="4">
        <f>J3115+K3115</f>
        <v>0</v>
      </c>
      <c r="M3115" s="4" t="s">
        <v>370</v>
      </c>
      <c r="N3115" s="4"/>
      <c r="O3115" s="4">
        <v>1</v>
      </c>
      <c r="P3115" s="4" t="s">
        <v>135</v>
      </c>
      <c r="Q3115" s="4" t="s">
        <v>44</v>
      </c>
      <c r="R3115" s="7">
        <v>3000000</v>
      </c>
      <c r="S3115" s="7">
        <v>0</v>
      </c>
      <c r="T3115" s="7">
        <f>R3115-S3115</f>
        <v>0</v>
      </c>
      <c r="U3115" s="7">
        <f>T3115*O3115</f>
        <v>0</v>
      </c>
    </row>
    <row r="3116" spans="1:21">
      <c r="A3116" s="4" t="s">
        <v>4124</v>
      </c>
      <c r="B3116" s="4" t="s">
        <v>39</v>
      </c>
      <c r="C3116" s="5">
        <v>45959.16425925926</v>
      </c>
      <c r="D3116" s="5">
        <v>45959</v>
      </c>
      <c r="E3116" s="6">
        <f>IF(AND(C3116&lt;&gt;"",D3116&lt;&gt;""),D3116-C3116,"")</f>
        <v>0</v>
      </c>
      <c r="F3116" s="4" t="s">
        <v>4125</v>
      </c>
      <c r="G3116" s="4" t="s">
        <v>4126</v>
      </c>
      <c r="H3116" s="4" t="s">
        <v>32</v>
      </c>
      <c r="I3116" s="4" t="s">
        <v>33</v>
      </c>
      <c r="J3116" s="4">
        <v>1</v>
      </c>
      <c r="K3116" s="4">
        <v>0</v>
      </c>
      <c r="L3116" s="4">
        <f>J3116+K3116</f>
        <v>0</v>
      </c>
      <c r="M3116" s="4" t="s">
        <v>80</v>
      </c>
      <c r="N3116" s="4"/>
      <c r="O3116" s="4">
        <v>1</v>
      </c>
      <c r="P3116" s="4" t="s">
        <v>135</v>
      </c>
      <c r="Q3116" s="4"/>
      <c r="R3116" s="7">
        <v>610000</v>
      </c>
      <c r="S3116" s="7">
        <v>0</v>
      </c>
      <c r="T3116" s="7">
        <f>R3116-S3116</f>
        <v>0</v>
      </c>
      <c r="U3116" s="7">
        <f>T3116*O3116</f>
        <v>0</v>
      </c>
    </row>
    <row r="3117" spans="1:21">
      <c r="A3117" s="4" t="s">
        <v>4124</v>
      </c>
      <c r="B3117" s="4" t="s">
        <v>39</v>
      </c>
      <c r="C3117" s="5">
        <v>45959.16425925926</v>
      </c>
      <c r="D3117" s="5">
        <v>45959</v>
      </c>
      <c r="E3117" s="6">
        <f>IF(AND(C3117&lt;&gt;"",D3117&lt;&gt;""),D3117-C3117,"")</f>
        <v>0</v>
      </c>
      <c r="F3117" s="4" t="s">
        <v>4125</v>
      </c>
      <c r="G3117" s="4" t="s">
        <v>4126</v>
      </c>
      <c r="H3117" s="4" t="s">
        <v>32</v>
      </c>
      <c r="I3117" s="4" t="s">
        <v>33</v>
      </c>
      <c r="J3117" s="4">
        <v>1</v>
      </c>
      <c r="K3117" s="4">
        <v>0</v>
      </c>
      <c r="L3117" s="4">
        <f>J3117+K3117</f>
        <v>0</v>
      </c>
      <c r="M3117" s="4" t="s">
        <v>80</v>
      </c>
      <c r="N3117" s="4"/>
      <c r="O3117" s="4">
        <v>1</v>
      </c>
      <c r="P3117" s="4" t="s">
        <v>135</v>
      </c>
      <c r="Q3117" s="4"/>
      <c r="R3117" s="7">
        <v>610000</v>
      </c>
      <c r="S3117" s="7">
        <v>0</v>
      </c>
      <c r="T3117" s="7">
        <f>R3117-S3117</f>
        <v>0</v>
      </c>
      <c r="U3117" s="7">
        <f>T3117*O3117</f>
        <v>0</v>
      </c>
    </row>
    <row r="3118" spans="1:21">
      <c r="A3118" s="4" t="s">
        <v>4124</v>
      </c>
      <c r="B3118" s="4" t="s">
        <v>39</v>
      </c>
      <c r="C3118" s="5">
        <v>45959.16425925926</v>
      </c>
      <c r="D3118" s="5">
        <v>45959</v>
      </c>
      <c r="E3118" s="6">
        <f>IF(AND(C3118&lt;&gt;"",D3118&lt;&gt;""),D3118-C3118,"")</f>
        <v>0</v>
      </c>
      <c r="F3118" s="4" t="s">
        <v>4125</v>
      </c>
      <c r="G3118" s="4" t="s">
        <v>4126</v>
      </c>
      <c r="H3118" s="4" t="s">
        <v>32</v>
      </c>
      <c r="I3118" s="4" t="s">
        <v>33</v>
      </c>
      <c r="J3118" s="4">
        <v>0</v>
      </c>
      <c r="K3118" s="4">
        <v>1</v>
      </c>
      <c r="L3118" s="4">
        <f>J3118+K3118</f>
        <v>0</v>
      </c>
      <c r="M3118" s="4" t="s">
        <v>81</v>
      </c>
      <c r="N3118" s="4"/>
      <c r="O3118" s="4">
        <v>1</v>
      </c>
      <c r="P3118" s="4" t="s">
        <v>135</v>
      </c>
      <c r="Q3118" s="4"/>
      <c r="R3118" s="7">
        <v>495000</v>
      </c>
      <c r="S3118" s="7">
        <v>0</v>
      </c>
      <c r="T3118" s="7">
        <f>R3118-S3118</f>
        <v>0</v>
      </c>
      <c r="U3118" s="7">
        <f>T3118*O3118</f>
        <v>0</v>
      </c>
    </row>
    <row r="3119" spans="1:21">
      <c r="A3119" s="4" t="s">
        <v>4124</v>
      </c>
      <c r="B3119" s="4" t="s">
        <v>39</v>
      </c>
      <c r="C3119" s="5">
        <v>45959.16425925926</v>
      </c>
      <c r="D3119" s="5">
        <v>45959</v>
      </c>
      <c r="E3119" s="6">
        <f>IF(AND(C3119&lt;&gt;"",D3119&lt;&gt;""),D3119-C3119,"")</f>
        <v>0</v>
      </c>
      <c r="F3119" s="4" t="s">
        <v>4125</v>
      </c>
      <c r="G3119" s="4" t="s">
        <v>4126</v>
      </c>
      <c r="H3119" s="4" t="s">
        <v>32</v>
      </c>
      <c r="I3119" s="4" t="s">
        <v>33</v>
      </c>
      <c r="J3119" s="4">
        <v>0</v>
      </c>
      <c r="K3119" s="4">
        <v>1</v>
      </c>
      <c r="L3119" s="4">
        <f>J3119+K3119</f>
        <v>0</v>
      </c>
      <c r="M3119" s="4" t="s">
        <v>81</v>
      </c>
      <c r="N3119" s="4"/>
      <c r="O3119" s="4">
        <v>1</v>
      </c>
      <c r="P3119" s="4" t="s">
        <v>135</v>
      </c>
      <c r="Q3119" s="4"/>
      <c r="R3119" s="7">
        <v>495000</v>
      </c>
      <c r="S3119" s="7">
        <v>0</v>
      </c>
      <c r="T3119" s="7">
        <f>R3119-S3119</f>
        <v>0</v>
      </c>
      <c r="U3119" s="7">
        <f>T3119*O3119</f>
        <v>0</v>
      </c>
    </row>
    <row r="3120" spans="1:21">
      <c r="A3120" s="4" t="s">
        <v>4127</v>
      </c>
      <c r="B3120" s="4" t="s">
        <v>39</v>
      </c>
      <c r="C3120" s="5">
        <v>45959.18553240741</v>
      </c>
      <c r="D3120" s="5">
        <v>45959</v>
      </c>
      <c r="E3120" s="6">
        <f>IF(AND(C3120&lt;&gt;"",D3120&lt;&gt;""),D3120-C3120,"")</f>
        <v>0</v>
      </c>
      <c r="F3120" s="4" t="s">
        <v>4128</v>
      </c>
      <c r="G3120" s="4" t="s">
        <v>4129</v>
      </c>
      <c r="H3120" s="4" t="s">
        <v>190</v>
      </c>
      <c r="I3120" s="4" t="s">
        <v>56</v>
      </c>
      <c r="J3120" s="4">
        <v>0</v>
      </c>
      <c r="K3120" s="4">
        <v>1</v>
      </c>
      <c r="L3120" s="4">
        <f>J3120+K3120</f>
        <v>0</v>
      </c>
      <c r="M3120" s="4" t="s">
        <v>81</v>
      </c>
      <c r="N3120" s="4"/>
      <c r="O3120" s="4">
        <v>1</v>
      </c>
      <c r="P3120" s="4" t="s">
        <v>135</v>
      </c>
      <c r="Q3120" s="4"/>
      <c r="R3120" s="7">
        <v>495000</v>
      </c>
      <c r="S3120" s="7">
        <v>0</v>
      </c>
      <c r="T3120" s="7">
        <f>R3120-S3120</f>
        <v>0</v>
      </c>
      <c r="U3120" s="7">
        <f>T3120*O3120</f>
        <v>0</v>
      </c>
    </row>
    <row r="3121" spans="1:21">
      <c r="A3121" s="4" t="s">
        <v>4127</v>
      </c>
      <c r="B3121" s="4" t="s">
        <v>39</v>
      </c>
      <c r="C3121" s="5">
        <v>45959.18553240741</v>
      </c>
      <c r="D3121" s="5">
        <v>45959</v>
      </c>
      <c r="E3121" s="6">
        <f>IF(AND(C3121&lt;&gt;"",D3121&lt;&gt;""),D3121-C3121,"")</f>
        <v>0</v>
      </c>
      <c r="F3121" s="4" t="s">
        <v>4128</v>
      </c>
      <c r="G3121" s="4" t="s">
        <v>4129</v>
      </c>
      <c r="H3121" s="4" t="s">
        <v>190</v>
      </c>
      <c r="I3121" s="4" t="s">
        <v>56</v>
      </c>
      <c r="J3121" s="4">
        <v>0</v>
      </c>
      <c r="K3121" s="4">
        <v>1</v>
      </c>
      <c r="L3121" s="4">
        <f>J3121+K3121</f>
        <v>0</v>
      </c>
      <c r="M3121" s="4" t="s">
        <v>81</v>
      </c>
      <c r="N3121" s="4"/>
      <c r="O3121" s="4">
        <v>1</v>
      </c>
      <c r="P3121" s="4" t="s">
        <v>135</v>
      </c>
      <c r="Q3121" s="4"/>
      <c r="R3121" s="7">
        <v>495000</v>
      </c>
      <c r="S3121" s="7">
        <v>0</v>
      </c>
      <c r="T3121" s="7">
        <f>R3121-S3121</f>
        <v>0</v>
      </c>
      <c r="U3121" s="7">
        <f>T3121*O3121</f>
        <v>0</v>
      </c>
    </row>
    <row r="3122" spans="1:21">
      <c r="A3122" s="4" t="s">
        <v>4127</v>
      </c>
      <c r="B3122" s="4" t="s">
        <v>39</v>
      </c>
      <c r="C3122" s="5">
        <v>45959.18553240741</v>
      </c>
      <c r="D3122" s="5">
        <v>45959</v>
      </c>
      <c r="E3122" s="6">
        <f>IF(AND(C3122&lt;&gt;"",D3122&lt;&gt;""),D3122-C3122,"")</f>
        <v>0</v>
      </c>
      <c r="F3122" s="4" t="s">
        <v>4128</v>
      </c>
      <c r="G3122" s="4" t="s">
        <v>4129</v>
      </c>
      <c r="H3122" s="4" t="s">
        <v>190</v>
      </c>
      <c r="I3122" s="4" t="s">
        <v>56</v>
      </c>
      <c r="J3122" s="4">
        <v>1</v>
      </c>
      <c r="K3122" s="4">
        <v>0</v>
      </c>
      <c r="L3122" s="4">
        <f>J3122+K3122</f>
        <v>0</v>
      </c>
      <c r="M3122" s="4" t="s">
        <v>80</v>
      </c>
      <c r="N3122" s="4"/>
      <c r="O3122" s="4">
        <v>1</v>
      </c>
      <c r="P3122" s="4" t="s">
        <v>135</v>
      </c>
      <c r="Q3122" s="4"/>
      <c r="R3122" s="7">
        <v>610000</v>
      </c>
      <c r="S3122" s="7">
        <v>0</v>
      </c>
      <c r="T3122" s="7">
        <f>R3122-S3122</f>
        <v>0</v>
      </c>
      <c r="U3122" s="7">
        <f>T3122*O3122</f>
        <v>0</v>
      </c>
    </row>
    <row r="3123" spans="1:21">
      <c r="A3123" s="4" t="s">
        <v>4127</v>
      </c>
      <c r="B3123" s="4" t="s">
        <v>39</v>
      </c>
      <c r="C3123" s="5">
        <v>45959.18553240741</v>
      </c>
      <c r="D3123" s="5">
        <v>45959</v>
      </c>
      <c r="E3123" s="6">
        <f>IF(AND(C3123&lt;&gt;"",D3123&lt;&gt;""),D3123-C3123,"")</f>
        <v>0</v>
      </c>
      <c r="F3123" s="4" t="s">
        <v>4128</v>
      </c>
      <c r="G3123" s="4" t="s">
        <v>4129</v>
      </c>
      <c r="H3123" s="4" t="s">
        <v>190</v>
      </c>
      <c r="I3123" s="4" t="s">
        <v>56</v>
      </c>
      <c r="J3123" s="4">
        <v>1</v>
      </c>
      <c r="K3123" s="4">
        <v>0</v>
      </c>
      <c r="L3123" s="4">
        <f>J3123+K3123</f>
        <v>0</v>
      </c>
      <c r="M3123" s="4" t="s">
        <v>80</v>
      </c>
      <c r="N3123" s="4"/>
      <c r="O3123" s="4">
        <v>1</v>
      </c>
      <c r="P3123" s="4" t="s">
        <v>135</v>
      </c>
      <c r="Q3123" s="4"/>
      <c r="R3123" s="7">
        <v>610000</v>
      </c>
      <c r="S3123" s="7">
        <v>0</v>
      </c>
      <c r="T3123" s="7">
        <f>R3123-S3123</f>
        <v>0</v>
      </c>
      <c r="U3123" s="7">
        <f>T3123*O3123</f>
        <v>0</v>
      </c>
    </row>
    <row r="3124" spans="1:21">
      <c r="A3124" s="4" t="s">
        <v>4130</v>
      </c>
      <c r="B3124" s="4" t="s">
        <v>39</v>
      </c>
      <c r="C3124" s="5">
        <v>45959.18866898148</v>
      </c>
      <c r="D3124" s="5">
        <v>45959</v>
      </c>
      <c r="E3124" s="6">
        <f>IF(AND(C3124&lt;&gt;"",D3124&lt;&gt;""),D3124-C3124,"")</f>
        <v>0</v>
      </c>
      <c r="F3124" s="4" t="s">
        <v>4131</v>
      </c>
      <c r="G3124" s="4" t="s">
        <v>4132</v>
      </c>
      <c r="H3124" s="4" t="s">
        <v>32</v>
      </c>
      <c r="I3124" s="4" t="s">
        <v>33</v>
      </c>
      <c r="J3124" s="4">
        <v>1</v>
      </c>
      <c r="K3124" s="4">
        <v>0</v>
      </c>
      <c r="L3124" s="4">
        <f>J3124+K3124</f>
        <v>0</v>
      </c>
      <c r="M3124" s="4" t="s">
        <v>80</v>
      </c>
      <c r="N3124" s="4"/>
      <c r="O3124" s="4">
        <v>1</v>
      </c>
      <c r="P3124" s="4" t="s">
        <v>135</v>
      </c>
      <c r="Q3124" s="4"/>
      <c r="R3124" s="7">
        <v>610000</v>
      </c>
      <c r="S3124" s="7">
        <v>0</v>
      </c>
      <c r="T3124" s="7">
        <f>R3124-S3124</f>
        <v>0</v>
      </c>
      <c r="U3124" s="7">
        <f>T3124*O3124</f>
        <v>0</v>
      </c>
    </row>
    <row r="3125" spans="1:21">
      <c r="A3125" s="4" t="s">
        <v>4130</v>
      </c>
      <c r="B3125" s="4" t="s">
        <v>39</v>
      </c>
      <c r="C3125" s="5">
        <v>45959.18866898148</v>
      </c>
      <c r="D3125" s="5">
        <v>45959</v>
      </c>
      <c r="E3125" s="6">
        <f>IF(AND(C3125&lt;&gt;"",D3125&lt;&gt;""),D3125-C3125,"")</f>
        <v>0</v>
      </c>
      <c r="F3125" s="4" t="s">
        <v>4131</v>
      </c>
      <c r="G3125" s="4" t="s">
        <v>4132</v>
      </c>
      <c r="H3125" s="4" t="s">
        <v>32</v>
      </c>
      <c r="I3125" s="4" t="s">
        <v>33</v>
      </c>
      <c r="J3125" s="4">
        <v>0</v>
      </c>
      <c r="K3125" s="4">
        <v>1</v>
      </c>
      <c r="L3125" s="4">
        <f>J3125+K3125</f>
        <v>0</v>
      </c>
      <c r="M3125" s="4" t="s">
        <v>81</v>
      </c>
      <c r="N3125" s="4"/>
      <c r="O3125" s="4">
        <v>1</v>
      </c>
      <c r="P3125" s="4" t="s">
        <v>135</v>
      </c>
      <c r="Q3125" s="4"/>
      <c r="R3125" s="7">
        <v>495000</v>
      </c>
      <c r="S3125" s="7">
        <v>0</v>
      </c>
      <c r="T3125" s="7">
        <f>R3125-S3125</f>
        <v>0</v>
      </c>
      <c r="U3125" s="7">
        <f>T3125*O3125</f>
        <v>0</v>
      </c>
    </row>
    <row r="3126" spans="1:21">
      <c r="A3126" s="4" t="s">
        <v>4130</v>
      </c>
      <c r="B3126" s="4" t="s">
        <v>39</v>
      </c>
      <c r="C3126" s="5">
        <v>45959.18866898148</v>
      </c>
      <c r="D3126" s="5">
        <v>45959</v>
      </c>
      <c r="E3126" s="6">
        <f>IF(AND(C3126&lt;&gt;"",D3126&lt;&gt;""),D3126-C3126,"")</f>
        <v>0</v>
      </c>
      <c r="F3126" s="4" t="s">
        <v>4131</v>
      </c>
      <c r="G3126" s="4" t="s">
        <v>4132</v>
      </c>
      <c r="H3126" s="4" t="s">
        <v>32</v>
      </c>
      <c r="I3126" s="4" t="s">
        <v>33</v>
      </c>
      <c r="J3126" s="4">
        <v>0</v>
      </c>
      <c r="K3126" s="4">
        <v>1</v>
      </c>
      <c r="L3126" s="4">
        <f>J3126+K3126</f>
        <v>0</v>
      </c>
      <c r="M3126" s="4" t="s">
        <v>81</v>
      </c>
      <c r="N3126" s="4"/>
      <c r="O3126" s="4">
        <v>1</v>
      </c>
      <c r="P3126" s="4" t="s">
        <v>135</v>
      </c>
      <c r="Q3126" s="4"/>
      <c r="R3126" s="7">
        <v>495000</v>
      </c>
      <c r="S3126" s="7">
        <v>0</v>
      </c>
      <c r="T3126" s="7">
        <f>R3126-S3126</f>
        <v>0</v>
      </c>
      <c r="U3126" s="7">
        <f>T3126*O3126</f>
        <v>0</v>
      </c>
    </row>
    <row r="3127" spans="1:21">
      <c r="A3127" s="4" t="s">
        <v>4130</v>
      </c>
      <c r="B3127" s="4" t="s">
        <v>39</v>
      </c>
      <c r="C3127" s="5">
        <v>45959.18866898148</v>
      </c>
      <c r="D3127" s="5">
        <v>45959</v>
      </c>
      <c r="E3127" s="6">
        <f>IF(AND(C3127&lt;&gt;"",D3127&lt;&gt;""),D3127-C3127,"")</f>
        <v>0</v>
      </c>
      <c r="F3127" s="4" t="s">
        <v>4131</v>
      </c>
      <c r="G3127" s="4" t="s">
        <v>4132</v>
      </c>
      <c r="H3127" s="4" t="s">
        <v>32</v>
      </c>
      <c r="I3127" s="4" t="s">
        <v>33</v>
      </c>
      <c r="J3127" s="4">
        <v>1</v>
      </c>
      <c r="K3127" s="4">
        <v>0</v>
      </c>
      <c r="L3127" s="4">
        <f>J3127+K3127</f>
        <v>0</v>
      </c>
      <c r="M3127" s="4" t="s">
        <v>80</v>
      </c>
      <c r="N3127" s="4"/>
      <c r="O3127" s="4">
        <v>1</v>
      </c>
      <c r="P3127" s="4" t="s">
        <v>135</v>
      </c>
      <c r="Q3127" s="4"/>
      <c r="R3127" s="7">
        <v>610000</v>
      </c>
      <c r="S3127" s="7">
        <v>0</v>
      </c>
      <c r="T3127" s="7">
        <f>R3127-S3127</f>
        <v>0</v>
      </c>
      <c r="U3127" s="7">
        <f>T3127*O3127</f>
        <v>0</v>
      </c>
    </row>
    <row r="3128" spans="1:21">
      <c r="A3128" s="4" t="s">
        <v>4133</v>
      </c>
      <c r="B3128" s="4" t="s">
        <v>39</v>
      </c>
      <c r="C3128" s="5">
        <v>45959.19024305556</v>
      </c>
      <c r="D3128" s="5">
        <v>45959</v>
      </c>
      <c r="E3128" s="6">
        <f>IF(AND(C3128&lt;&gt;"",D3128&lt;&gt;""),D3128-C3128,"")</f>
        <v>0</v>
      </c>
      <c r="F3128" s="4" t="s">
        <v>4134</v>
      </c>
      <c r="G3128" s="4" t="s">
        <v>4135</v>
      </c>
      <c r="H3128" s="4" t="s">
        <v>32</v>
      </c>
      <c r="I3128" s="4" t="s">
        <v>33</v>
      </c>
      <c r="J3128" s="4">
        <v>0</v>
      </c>
      <c r="K3128" s="4">
        <v>0</v>
      </c>
      <c r="L3128" s="4">
        <f>J3128+K3128</f>
        <v>0</v>
      </c>
      <c r="M3128" s="4" t="s">
        <v>1840</v>
      </c>
      <c r="N3128" s="4"/>
      <c r="O3128" s="4">
        <v>1</v>
      </c>
      <c r="P3128" s="4" t="s">
        <v>135</v>
      </c>
      <c r="Q3128" s="4"/>
      <c r="R3128" s="7">
        <v>153000</v>
      </c>
      <c r="S3128" s="7">
        <v>0</v>
      </c>
      <c r="T3128" s="7">
        <f>R3128-S3128</f>
        <v>0</v>
      </c>
      <c r="U3128" s="7">
        <f>T3128*O3128</f>
        <v>0</v>
      </c>
    </row>
    <row r="3129" spans="1:21">
      <c r="A3129" s="4" t="s">
        <v>4133</v>
      </c>
      <c r="B3129" s="4" t="s">
        <v>39</v>
      </c>
      <c r="C3129" s="5">
        <v>45959.19024305556</v>
      </c>
      <c r="D3129" s="5">
        <v>45959</v>
      </c>
      <c r="E3129" s="6">
        <f>IF(AND(C3129&lt;&gt;"",D3129&lt;&gt;""),D3129-C3129,"")</f>
        <v>0</v>
      </c>
      <c r="F3129" s="4" t="s">
        <v>4134</v>
      </c>
      <c r="G3129" s="4" t="s">
        <v>4135</v>
      </c>
      <c r="H3129" s="4" t="s">
        <v>32</v>
      </c>
      <c r="I3129" s="4" t="s">
        <v>33</v>
      </c>
      <c r="J3129" s="4">
        <v>0</v>
      </c>
      <c r="K3129" s="4">
        <v>0</v>
      </c>
      <c r="L3129" s="4">
        <f>J3129+K3129</f>
        <v>0</v>
      </c>
      <c r="M3129" s="4" t="s">
        <v>1726</v>
      </c>
      <c r="N3129" s="4"/>
      <c r="O3129" s="4">
        <v>1</v>
      </c>
      <c r="P3129" s="4" t="s">
        <v>135</v>
      </c>
      <c r="Q3129" s="4"/>
      <c r="R3129" s="7">
        <v>64000</v>
      </c>
      <c r="S3129" s="7">
        <v>0</v>
      </c>
      <c r="T3129" s="7">
        <f>R3129-S3129</f>
        <v>0</v>
      </c>
      <c r="U3129" s="7">
        <f>T3129*O3129</f>
        <v>0</v>
      </c>
    </row>
    <row r="3130" spans="1:21">
      <c r="A3130" s="4" t="s">
        <v>4133</v>
      </c>
      <c r="B3130" s="4" t="s">
        <v>39</v>
      </c>
      <c r="C3130" s="5">
        <v>45959.19024305556</v>
      </c>
      <c r="D3130" s="5">
        <v>45959</v>
      </c>
      <c r="E3130" s="6">
        <f>IF(AND(C3130&lt;&gt;"",D3130&lt;&gt;""),D3130-C3130,"")</f>
        <v>0</v>
      </c>
      <c r="F3130" s="4" t="s">
        <v>4134</v>
      </c>
      <c r="G3130" s="4" t="s">
        <v>4135</v>
      </c>
      <c r="H3130" s="4" t="s">
        <v>32</v>
      </c>
      <c r="I3130" s="4" t="s">
        <v>33</v>
      </c>
      <c r="J3130" s="4">
        <v>0</v>
      </c>
      <c r="K3130" s="4">
        <v>0</v>
      </c>
      <c r="L3130" s="4">
        <f>J3130+K3130</f>
        <v>0</v>
      </c>
      <c r="M3130" s="4" t="s">
        <v>1777</v>
      </c>
      <c r="N3130" s="4"/>
      <c r="O3130" s="4">
        <v>1</v>
      </c>
      <c r="P3130" s="4" t="s">
        <v>135</v>
      </c>
      <c r="Q3130" s="4"/>
      <c r="R3130" s="7">
        <v>122000</v>
      </c>
      <c r="S3130" s="7">
        <v>0</v>
      </c>
      <c r="T3130" s="7">
        <f>R3130-S3130</f>
        <v>0</v>
      </c>
      <c r="U3130" s="7">
        <f>T3130*O3130</f>
        <v>0</v>
      </c>
    </row>
    <row r="3131" spans="1:21">
      <c r="A3131" s="4" t="s">
        <v>4136</v>
      </c>
      <c r="B3131" s="4" t="s">
        <v>39</v>
      </c>
      <c r="C3131" s="5">
        <v>45959.19202546297</v>
      </c>
      <c r="D3131" s="5">
        <v>45959</v>
      </c>
      <c r="E3131" s="6">
        <f>IF(AND(C3131&lt;&gt;"",D3131&lt;&gt;""),D3131-C3131,"")</f>
        <v>0</v>
      </c>
      <c r="F3131" s="4" t="s">
        <v>4137</v>
      </c>
      <c r="G3131" s="4" t="s">
        <v>4138</v>
      </c>
      <c r="H3131" s="4" t="s">
        <v>32</v>
      </c>
      <c r="I3131" s="4" t="s">
        <v>33</v>
      </c>
      <c r="J3131" s="4">
        <v>0</v>
      </c>
      <c r="K3131" s="4">
        <v>1</v>
      </c>
      <c r="L3131" s="4">
        <f>J3131+K3131</f>
        <v>0</v>
      </c>
      <c r="M3131" s="4" t="s">
        <v>81</v>
      </c>
      <c r="N3131" s="4"/>
      <c r="O3131" s="4">
        <v>1</v>
      </c>
      <c r="P3131" s="4" t="s">
        <v>135</v>
      </c>
      <c r="Q3131" s="4"/>
      <c r="R3131" s="7">
        <v>495000</v>
      </c>
      <c r="S3131" s="7">
        <v>0</v>
      </c>
      <c r="T3131" s="7">
        <f>R3131-S3131</f>
        <v>0</v>
      </c>
      <c r="U3131" s="7">
        <f>T3131*O3131</f>
        <v>0</v>
      </c>
    </row>
    <row r="3132" spans="1:21">
      <c r="A3132" s="4" t="s">
        <v>4136</v>
      </c>
      <c r="B3132" s="4" t="s">
        <v>39</v>
      </c>
      <c r="C3132" s="5">
        <v>45959.19202546297</v>
      </c>
      <c r="D3132" s="5">
        <v>45959</v>
      </c>
      <c r="E3132" s="6">
        <f>IF(AND(C3132&lt;&gt;"",D3132&lt;&gt;""),D3132-C3132,"")</f>
        <v>0</v>
      </c>
      <c r="F3132" s="4" t="s">
        <v>4137</v>
      </c>
      <c r="G3132" s="4" t="s">
        <v>4138</v>
      </c>
      <c r="H3132" s="4" t="s">
        <v>32</v>
      </c>
      <c r="I3132" s="4" t="s">
        <v>33</v>
      </c>
      <c r="J3132" s="4">
        <v>1</v>
      </c>
      <c r="K3132" s="4">
        <v>0</v>
      </c>
      <c r="L3132" s="4">
        <f>J3132+K3132</f>
        <v>0</v>
      </c>
      <c r="M3132" s="4" t="s">
        <v>80</v>
      </c>
      <c r="N3132" s="4"/>
      <c r="O3132" s="4">
        <v>1</v>
      </c>
      <c r="P3132" s="4" t="s">
        <v>135</v>
      </c>
      <c r="Q3132" s="4"/>
      <c r="R3132" s="7">
        <v>610000</v>
      </c>
      <c r="S3132" s="7">
        <v>0</v>
      </c>
      <c r="T3132" s="7">
        <f>R3132-S3132</f>
        <v>0</v>
      </c>
      <c r="U3132" s="7">
        <f>T3132*O3132</f>
        <v>0</v>
      </c>
    </row>
    <row r="3133" spans="1:21">
      <c r="A3133" s="4" t="s">
        <v>4136</v>
      </c>
      <c r="B3133" s="4" t="s">
        <v>39</v>
      </c>
      <c r="C3133" s="5">
        <v>45959.19202546297</v>
      </c>
      <c r="D3133" s="5">
        <v>45959</v>
      </c>
      <c r="E3133" s="6">
        <f>IF(AND(C3133&lt;&gt;"",D3133&lt;&gt;""),D3133-C3133,"")</f>
        <v>0</v>
      </c>
      <c r="F3133" s="4" t="s">
        <v>4137</v>
      </c>
      <c r="G3133" s="4" t="s">
        <v>4138</v>
      </c>
      <c r="H3133" s="4" t="s">
        <v>32</v>
      </c>
      <c r="I3133" s="4" t="s">
        <v>33</v>
      </c>
      <c r="J3133" s="4">
        <v>1</v>
      </c>
      <c r="K3133" s="4">
        <v>0</v>
      </c>
      <c r="L3133" s="4">
        <f>J3133+K3133</f>
        <v>0</v>
      </c>
      <c r="M3133" s="4" t="s">
        <v>80</v>
      </c>
      <c r="N3133" s="4"/>
      <c r="O3133" s="4">
        <v>1</v>
      </c>
      <c r="P3133" s="4" t="s">
        <v>135</v>
      </c>
      <c r="Q3133" s="4"/>
      <c r="R3133" s="7">
        <v>610000</v>
      </c>
      <c r="S3133" s="7">
        <v>0</v>
      </c>
      <c r="T3133" s="7">
        <f>R3133-S3133</f>
        <v>0</v>
      </c>
      <c r="U3133" s="7">
        <f>T3133*O3133</f>
        <v>0</v>
      </c>
    </row>
    <row r="3134" spans="1:21">
      <c r="A3134" s="4" t="s">
        <v>4136</v>
      </c>
      <c r="B3134" s="4" t="s">
        <v>39</v>
      </c>
      <c r="C3134" s="5">
        <v>45959.19202546297</v>
      </c>
      <c r="D3134" s="5">
        <v>45959</v>
      </c>
      <c r="E3134" s="6">
        <f>IF(AND(C3134&lt;&gt;"",D3134&lt;&gt;""),D3134-C3134,"")</f>
        <v>0</v>
      </c>
      <c r="F3134" s="4" t="s">
        <v>4137</v>
      </c>
      <c r="G3134" s="4" t="s">
        <v>4138</v>
      </c>
      <c r="H3134" s="4" t="s">
        <v>32</v>
      </c>
      <c r="I3134" s="4" t="s">
        <v>33</v>
      </c>
      <c r="J3134" s="4">
        <v>0</v>
      </c>
      <c r="K3134" s="4">
        <v>1</v>
      </c>
      <c r="L3134" s="4">
        <f>J3134+K3134</f>
        <v>0</v>
      </c>
      <c r="M3134" s="4" t="s">
        <v>81</v>
      </c>
      <c r="N3134" s="4"/>
      <c r="O3134" s="4">
        <v>1</v>
      </c>
      <c r="P3134" s="4" t="s">
        <v>135</v>
      </c>
      <c r="Q3134" s="4"/>
      <c r="R3134" s="7">
        <v>495000</v>
      </c>
      <c r="S3134" s="7">
        <v>0</v>
      </c>
      <c r="T3134" s="7">
        <f>R3134-S3134</f>
        <v>0</v>
      </c>
      <c r="U3134" s="7">
        <f>T3134*O3134</f>
        <v>0</v>
      </c>
    </row>
    <row r="3135" spans="1:21">
      <c r="A3135" s="4" t="s">
        <v>4139</v>
      </c>
      <c r="B3135" s="4" t="s">
        <v>39</v>
      </c>
      <c r="C3135" s="5">
        <v>45959.19315972222</v>
      </c>
      <c r="D3135" s="5">
        <v>45959</v>
      </c>
      <c r="E3135" s="6">
        <f>IF(AND(C3135&lt;&gt;"",D3135&lt;&gt;""),D3135-C3135,"")</f>
        <v>0</v>
      </c>
      <c r="F3135" s="4" t="s">
        <v>918</v>
      </c>
      <c r="G3135" s="4" t="s">
        <v>919</v>
      </c>
      <c r="H3135" s="4"/>
      <c r="I3135" s="4" t="s">
        <v>56</v>
      </c>
      <c r="J3135" s="4">
        <v>2</v>
      </c>
      <c r="K3135" s="4">
        <v>0</v>
      </c>
      <c r="L3135" s="4">
        <f>J3135+K3135</f>
        <v>0</v>
      </c>
      <c r="M3135" s="4" t="s">
        <v>80</v>
      </c>
      <c r="N3135" s="4"/>
      <c r="O3135" s="4">
        <v>2</v>
      </c>
      <c r="P3135" s="4" t="s">
        <v>135</v>
      </c>
      <c r="Q3135" s="4" t="s">
        <v>44</v>
      </c>
      <c r="R3135" s="7">
        <v>610000</v>
      </c>
      <c r="S3135" s="7">
        <v>0</v>
      </c>
      <c r="T3135" s="7">
        <f>R3135-S3135</f>
        <v>0</v>
      </c>
      <c r="U3135" s="7">
        <f>T3135*O3135</f>
        <v>0</v>
      </c>
    </row>
    <row r="3136" spans="1:21">
      <c r="A3136" s="4" t="s">
        <v>4139</v>
      </c>
      <c r="B3136" s="4" t="s">
        <v>39</v>
      </c>
      <c r="C3136" s="5">
        <v>45959.19315972222</v>
      </c>
      <c r="D3136" s="5">
        <v>45959</v>
      </c>
      <c r="E3136" s="6">
        <f>IF(AND(C3136&lt;&gt;"",D3136&lt;&gt;""),D3136-C3136,"")</f>
        <v>0</v>
      </c>
      <c r="F3136" s="4" t="s">
        <v>918</v>
      </c>
      <c r="G3136" s="4" t="s">
        <v>919</v>
      </c>
      <c r="H3136" s="4"/>
      <c r="I3136" s="4" t="s">
        <v>56</v>
      </c>
      <c r="J3136" s="4">
        <v>8</v>
      </c>
      <c r="K3136" s="4">
        <v>0</v>
      </c>
      <c r="L3136" s="4">
        <f>J3136+K3136</f>
        <v>0</v>
      </c>
      <c r="M3136" s="4" t="s">
        <v>42</v>
      </c>
      <c r="N3136" s="4"/>
      <c r="O3136" s="4">
        <v>8</v>
      </c>
      <c r="P3136" s="4" t="s">
        <v>135</v>
      </c>
      <c r="Q3136" s="4" t="s">
        <v>44</v>
      </c>
      <c r="R3136" s="7">
        <v>370000</v>
      </c>
      <c r="S3136" s="7">
        <v>0</v>
      </c>
      <c r="T3136" s="7">
        <f>R3136-S3136</f>
        <v>0</v>
      </c>
      <c r="U3136" s="7">
        <f>T3136*O3136</f>
        <v>0</v>
      </c>
    </row>
    <row r="3137" spans="1:21">
      <c r="A3137" s="4" t="s">
        <v>4140</v>
      </c>
      <c r="B3137" s="4" t="s">
        <v>39</v>
      </c>
      <c r="C3137" s="5">
        <v>45959.24486111111</v>
      </c>
      <c r="D3137" s="5">
        <v>45959</v>
      </c>
      <c r="E3137" s="6">
        <f>IF(AND(C3137&lt;&gt;"",D3137&lt;&gt;""),D3137-C3137,"")</f>
        <v>0</v>
      </c>
      <c r="F3137" s="4" t="s">
        <v>4141</v>
      </c>
      <c r="G3137" s="4" t="s">
        <v>4142</v>
      </c>
      <c r="H3137" s="4"/>
      <c r="I3137" s="4" t="s">
        <v>56</v>
      </c>
      <c r="J3137" s="4">
        <v>0</v>
      </c>
      <c r="K3137" s="4">
        <v>0</v>
      </c>
      <c r="L3137" s="4">
        <f>J3137+K3137</f>
        <v>0</v>
      </c>
      <c r="M3137" s="4" t="s">
        <v>1419</v>
      </c>
      <c r="N3137" s="4"/>
      <c r="O3137" s="4">
        <v>1</v>
      </c>
      <c r="P3137" s="4" t="s">
        <v>135</v>
      </c>
      <c r="Q3137" s="4"/>
      <c r="R3137" s="7">
        <v>160000</v>
      </c>
      <c r="S3137" s="7">
        <v>0</v>
      </c>
      <c r="T3137" s="7">
        <f>R3137-S3137</f>
        <v>0</v>
      </c>
      <c r="U3137" s="7">
        <f>T3137*O3137</f>
        <v>0</v>
      </c>
    </row>
    <row r="3138" spans="1:21">
      <c r="A3138" s="4" t="s">
        <v>4143</v>
      </c>
      <c r="B3138" s="4" t="s">
        <v>103</v>
      </c>
      <c r="C3138" s="5">
        <v>45959.28916666667</v>
      </c>
      <c r="D3138" s="5">
        <v>45961</v>
      </c>
      <c r="E3138" s="6">
        <f>IF(AND(C3138&lt;&gt;"",D3138&lt;&gt;""),D3138-C3138,"")</f>
        <v>0</v>
      </c>
      <c r="F3138" s="4" t="s">
        <v>4144</v>
      </c>
      <c r="G3138" s="4" t="s">
        <v>3684</v>
      </c>
      <c r="H3138" s="4" t="s">
        <v>32</v>
      </c>
      <c r="I3138" s="4" t="s">
        <v>33</v>
      </c>
      <c r="J3138" s="4">
        <v>2</v>
      </c>
      <c r="K3138" s="4">
        <v>1</v>
      </c>
      <c r="L3138" s="4">
        <f>J3138+K3138</f>
        <v>0</v>
      </c>
      <c r="M3138" s="4"/>
      <c r="N3138" s="4"/>
      <c r="O3138" s="4">
        <v>0</v>
      </c>
      <c r="P3138" s="4"/>
      <c r="Q3138" s="4"/>
      <c r="R3138" s="7">
        <v>0</v>
      </c>
      <c r="S3138" s="7">
        <v>0</v>
      </c>
      <c r="T3138" s="7">
        <f>R3138-S3138</f>
        <v>0</v>
      </c>
      <c r="U3138" s="7">
        <f>T3138*O3138</f>
        <v>0</v>
      </c>
    </row>
    <row r="3139" spans="1:21">
      <c r="A3139" s="4" t="s">
        <v>4145</v>
      </c>
      <c r="B3139" s="4" t="s">
        <v>103</v>
      </c>
      <c r="C3139" s="5">
        <v>45959.30222222222</v>
      </c>
      <c r="D3139" s="5">
        <v>45961</v>
      </c>
      <c r="E3139" s="6">
        <f>IF(AND(C3139&lt;&gt;"",D3139&lt;&gt;""),D3139-C3139,"")</f>
        <v>0</v>
      </c>
      <c r="F3139" s="4" t="s">
        <v>4146</v>
      </c>
      <c r="G3139" s="4" t="s">
        <v>3684</v>
      </c>
      <c r="H3139" s="4" t="s">
        <v>32</v>
      </c>
      <c r="I3139" s="4" t="s">
        <v>33</v>
      </c>
      <c r="J3139" s="4">
        <v>1</v>
      </c>
      <c r="K3139" s="4">
        <v>2</v>
      </c>
      <c r="L3139" s="4">
        <f>J3139+K3139</f>
        <v>0</v>
      </c>
      <c r="M3139" s="4"/>
      <c r="N3139" s="4"/>
      <c r="O3139" s="4">
        <v>0</v>
      </c>
      <c r="P3139" s="4"/>
      <c r="Q3139" s="4"/>
      <c r="R3139" s="7">
        <v>0</v>
      </c>
      <c r="S3139" s="7">
        <v>0</v>
      </c>
      <c r="T3139" s="7">
        <f>R3139-S3139</f>
        <v>0</v>
      </c>
      <c r="U3139" s="7">
        <f>T3139*O3139</f>
        <v>0</v>
      </c>
    </row>
    <row r="3140" spans="1:21">
      <c r="A3140" s="4" t="s">
        <v>4147</v>
      </c>
      <c r="B3140" s="4" t="s">
        <v>103</v>
      </c>
      <c r="C3140" s="5">
        <v>45959.30618055556</v>
      </c>
      <c r="D3140" s="5">
        <v>45961</v>
      </c>
      <c r="E3140" s="6">
        <f>IF(AND(C3140&lt;&gt;"",D3140&lt;&gt;""),D3140-C3140,"")</f>
        <v>0</v>
      </c>
      <c r="F3140" s="4" t="s">
        <v>4148</v>
      </c>
      <c r="G3140" s="4" t="s">
        <v>3684</v>
      </c>
      <c r="H3140" s="4" t="s">
        <v>4149</v>
      </c>
      <c r="I3140" s="4" t="s">
        <v>56</v>
      </c>
      <c r="J3140" s="4">
        <v>2</v>
      </c>
      <c r="K3140" s="4">
        <v>0</v>
      </c>
      <c r="L3140" s="4">
        <f>J3140+K3140</f>
        <v>0</v>
      </c>
      <c r="M3140" s="4"/>
      <c r="N3140" s="4"/>
      <c r="O3140" s="4">
        <v>0</v>
      </c>
      <c r="P3140" s="4"/>
      <c r="Q3140" s="4"/>
      <c r="R3140" s="7">
        <v>0</v>
      </c>
      <c r="S3140" s="7">
        <v>0</v>
      </c>
      <c r="T3140" s="7">
        <f>R3140-S3140</f>
        <v>0</v>
      </c>
      <c r="U3140" s="7">
        <f>T3140*O3140</f>
        <v>0</v>
      </c>
    </row>
    <row r="3141" spans="1:21">
      <c r="A3141" s="4" t="s">
        <v>4150</v>
      </c>
      <c r="B3141" s="4" t="s">
        <v>39</v>
      </c>
      <c r="C3141" s="5">
        <v>45959.31520833333</v>
      </c>
      <c r="D3141" s="5">
        <v>45959</v>
      </c>
      <c r="E3141" s="6">
        <f>IF(AND(C3141&lt;&gt;"",D3141&lt;&gt;""),D3141-C3141,"")</f>
        <v>0</v>
      </c>
      <c r="F3141" s="4" t="s">
        <v>4151</v>
      </c>
      <c r="G3141" s="4" t="s">
        <v>4152</v>
      </c>
      <c r="H3141" s="4" t="s">
        <v>32</v>
      </c>
      <c r="I3141" s="4" t="s">
        <v>33</v>
      </c>
      <c r="J3141" s="4">
        <v>1</v>
      </c>
      <c r="K3141" s="4">
        <v>0</v>
      </c>
      <c r="L3141" s="4">
        <f>J3141+K3141</f>
        <v>0</v>
      </c>
      <c r="M3141" s="4" t="s">
        <v>1645</v>
      </c>
      <c r="N3141" s="4"/>
      <c r="O3141" s="4">
        <v>1</v>
      </c>
      <c r="P3141" s="4" t="s">
        <v>135</v>
      </c>
      <c r="Q3141" s="4" t="s">
        <v>44</v>
      </c>
      <c r="R3141" s="7">
        <v>2100000</v>
      </c>
      <c r="S3141" s="7">
        <v>0</v>
      </c>
      <c r="T3141" s="7">
        <f>R3141-S3141</f>
        <v>0</v>
      </c>
      <c r="U3141" s="7">
        <f>T3141*O3141</f>
        <v>0</v>
      </c>
    </row>
    <row r="3142" spans="1:21">
      <c r="A3142" s="4" t="s">
        <v>4153</v>
      </c>
      <c r="B3142" s="4" t="s">
        <v>39</v>
      </c>
      <c r="C3142" s="5">
        <v>45959.32050925926</v>
      </c>
      <c r="D3142" s="5">
        <v>45959</v>
      </c>
      <c r="E3142" s="6">
        <f>IF(AND(C3142&lt;&gt;"",D3142&lt;&gt;""),D3142-C3142,"")</f>
        <v>0</v>
      </c>
      <c r="F3142" s="4" t="s">
        <v>4154</v>
      </c>
      <c r="G3142" s="4" t="s">
        <v>4155</v>
      </c>
      <c r="H3142" s="4" t="s">
        <v>32</v>
      </c>
      <c r="I3142" s="4" t="s">
        <v>33</v>
      </c>
      <c r="J3142" s="4">
        <v>0</v>
      </c>
      <c r="K3142" s="4">
        <v>0</v>
      </c>
      <c r="L3142" s="4">
        <f>J3142+K3142</f>
        <v>0</v>
      </c>
      <c r="M3142" s="4" t="s">
        <v>1726</v>
      </c>
      <c r="N3142" s="4"/>
      <c r="O3142" s="4">
        <v>1</v>
      </c>
      <c r="P3142" s="4" t="s">
        <v>135</v>
      </c>
      <c r="Q3142" s="4"/>
      <c r="R3142" s="7">
        <v>64000</v>
      </c>
      <c r="S3142" s="7">
        <v>0</v>
      </c>
      <c r="T3142" s="7">
        <f>R3142-S3142</f>
        <v>0</v>
      </c>
      <c r="U3142" s="7">
        <f>T3142*O3142</f>
        <v>0</v>
      </c>
    </row>
    <row r="3143" spans="1:21">
      <c r="A3143" s="4" t="s">
        <v>4153</v>
      </c>
      <c r="B3143" s="4" t="s">
        <v>39</v>
      </c>
      <c r="C3143" s="5">
        <v>45959.32050925926</v>
      </c>
      <c r="D3143" s="5">
        <v>45959</v>
      </c>
      <c r="E3143" s="6">
        <f>IF(AND(C3143&lt;&gt;"",D3143&lt;&gt;""),D3143-C3143,"")</f>
        <v>0</v>
      </c>
      <c r="F3143" s="4" t="s">
        <v>4154</v>
      </c>
      <c r="G3143" s="4" t="s">
        <v>4155</v>
      </c>
      <c r="H3143" s="4" t="s">
        <v>32</v>
      </c>
      <c r="I3143" s="4" t="s">
        <v>33</v>
      </c>
      <c r="J3143" s="4">
        <v>0</v>
      </c>
      <c r="K3143" s="4">
        <v>0</v>
      </c>
      <c r="L3143" s="4">
        <f>J3143+K3143</f>
        <v>0</v>
      </c>
      <c r="M3143" s="4" t="s">
        <v>1777</v>
      </c>
      <c r="N3143" s="4"/>
      <c r="O3143" s="4">
        <v>1</v>
      </c>
      <c r="P3143" s="4" t="s">
        <v>135</v>
      </c>
      <c r="Q3143" s="4"/>
      <c r="R3143" s="7">
        <v>122000</v>
      </c>
      <c r="S3143" s="7">
        <v>0</v>
      </c>
      <c r="T3143" s="7">
        <f>R3143-S3143</f>
        <v>0</v>
      </c>
      <c r="U3143" s="7">
        <f>T3143*O3143</f>
        <v>0</v>
      </c>
    </row>
    <row r="3144" spans="1:21">
      <c r="A3144" s="4" t="s">
        <v>4153</v>
      </c>
      <c r="B3144" s="4" t="s">
        <v>39</v>
      </c>
      <c r="C3144" s="5">
        <v>45959.32050925926</v>
      </c>
      <c r="D3144" s="5">
        <v>45959</v>
      </c>
      <c r="E3144" s="6">
        <f>IF(AND(C3144&lt;&gt;"",D3144&lt;&gt;""),D3144-C3144,"")</f>
        <v>0</v>
      </c>
      <c r="F3144" s="4" t="s">
        <v>4154</v>
      </c>
      <c r="G3144" s="4" t="s">
        <v>4155</v>
      </c>
      <c r="H3144" s="4" t="s">
        <v>32</v>
      </c>
      <c r="I3144" s="4" t="s">
        <v>33</v>
      </c>
      <c r="J3144" s="4">
        <v>0</v>
      </c>
      <c r="K3144" s="4">
        <v>0</v>
      </c>
      <c r="L3144" s="4">
        <f>J3144+K3144</f>
        <v>0</v>
      </c>
      <c r="M3144" s="4" t="s">
        <v>1726</v>
      </c>
      <c r="N3144" s="4"/>
      <c r="O3144" s="4">
        <v>1</v>
      </c>
      <c r="P3144" s="4" t="s">
        <v>135</v>
      </c>
      <c r="Q3144" s="4"/>
      <c r="R3144" s="7">
        <v>64000</v>
      </c>
      <c r="S3144" s="7">
        <v>0</v>
      </c>
      <c r="T3144" s="7">
        <f>R3144-S3144</f>
        <v>0</v>
      </c>
      <c r="U3144" s="7">
        <f>T3144*O3144</f>
        <v>0</v>
      </c>
    </row>
    <row r="3145" spans="1:21">
      <c r="A3145" s="4" t="s">
        <v>4156</v>
      </c>
      <c r="B3145" s="4" t="s">
        <v>39</v>
      </c>
      <c r="C3145" s="5">
        <v>45959.32546296297</v>
      </c>
      <c r="D3145" s="5">
        <v>45959</v>
      </c>
      <c r="E3145" s="6">
        <f>IF(AND(C3145&lt;&gt;"",D3145&lt;&gt;""),D3145-C3145,"")</f>
        <v>0</v>
      </c>
      <c r="F3145" s="4" t="s">
        <v>1483</v>
      </c>
      <c r="G3145" s="4" t="s">
        <v>1484</v>
      </c>
      <c r="H3145" s="4" t="s">
        <v>32</v>
      </c>
      <c r="I3145" s="4" t="s">
        <v>33</v>
      </c>
      <c r="J3145" s="4">
        <v>0</v>
      </c>
      <c r="K3145" s="4">
        <v>0</v>
      </c>
      <c r="L3145" s="4">
        <f>J3145+K3145</f>
        <v>0</v>
      </c>
      <c r="M3145" s="4" t="s">
        <v>370</v>
      </c>
      <c r="N3145" s="4"/>
      <c r="O3145" s="4">
        <v>1</v>
      </c>
      <c r="P3145" s="4" t="s">
        <v>135</v>
      </c>
      <c r="Q3145" s="4" t="s">
        <v>44</v>
      </c>
      <c r="R3145" s="7">
        <v>1000000</v>
      </c>
      <c r="S3145" s="7">
        <v>0</v>
      </c>
      <c r="T3145" s="7">
        <f>R3145-S3145</f>
        <v>0</v>
      </c>
      <c r="U3145" s="7">
        <f>T3145*O3145</f>
        <v>0</v>
      </c>
    </row>
    <row r="3146" spans="1:21">
      <c r="A3146" s="4" t="s">
        <v>4157</v>
      </c>
      <c r="B3146" s="4" t="s">
        <v>39</v>
      </c>
      <c r="C3146" s="5">
        <v>45959.34421296296</v>
      </c>
      <c r="D3146" s="5">
        <v>45959</v>
      </c>
      <c r="E3146" s="6">
        <f>IF(AND(C3146&lt;&gt;"",D3146&lt;&gt;""),D3146-C3146,"")</f>
        <v>0</v>
      </c>
      <c r="F3146" s="4" t="s">
        <v>2884</v>
      </c>
      <c r="G3146" s="4" t="s">
        <v>4158</v>
      </c>
      <c r="H3146" s="4" t="s">
        <v>32</v>
      </c>
      <c r="I3146" s="4" t="s">
        <v>33</v>
      </c>
      <c r="J3146" s="4">
        <v>0</v>
      </c>
      <c r="K3146" s="4">
        <v>0</v>
      </c>
      <c r="L3146" s="4">
        <f>J3146+K3146</f>
        <v>0</v>
      </c>
      <c r="M3146" s="4" t="s">
        <v>609</v>
      </c>
      <c r="N3146" s="4"/>
      <c r="O3146" s="4">
        <v>1</v>
      </c>
      <c r="P3146" s="4" t="s">
        <v>135</v>
      </c>
      <c r="Q3146" s="4"/>
      <c r="R3146" s="7">
        <v>30000</v>
      </c>
      <c r="S3146" s="7">
        <v>0</v>
      </c>
      <c r="T3146" s="7">
        <f>R3146-S3146</f>
        <v>0</v>
      </c>
      <c r="U3146" s="7">
        <f>T3146*O3146</f>
        <v>0</v>
      </c>
    </row>
    <row r="3147" spans="1:21">
      <c r="A3147" s="4" t="s">
        <v>4157</v>
      </c>
      <c r="B3147" s="4" t="s">
        <v>39</v>
      </c>
      <c r="C3147" s="5">
        <v>45959.34421296296</v>
      </c>
      <c r="D3147" s="5">
        <v>45959</v>
      </c>
      <c r="E3147" s="6">
        <f>IF(AND(C3147&lt;&gt;"",D3147&lt;&gt;""),D3147-C3147,"")</f>
        <v>0</v>
      </c>
      <c r="F3147" s="4" t="s">
        <v>2884</v>
      </c>
      <c r="G3147" s="4" t="s">
        <v>4158</v>
      </c>
      <c r="H3147" s="4" t="s">
        <v>32</v>
      </c>
      <c r="I3147" s="4" t="s">
        <v>33</v>
      </c>
      <c r="J3147" s="4">
        <v>0</v>
      </c>
      <c r="K3147" s="4">
        <v>0</v>
      </c>
      <c r="L3147" s="4">
        <f>J3147+K3147</f>
        <v>0</v>
      </c>
      <c r="M3147" s="4" t="s">
        <v>609</v>
      </c>
      <c r="N3147" s="4"/>
      <c r="O3147" s="4">
        <v>1</v>
      </c>
      <c r="P3147" s="4" t="s">
        <v>135</v>
      </c>
      <c r="Q3147" s="4"/>
      <c r="R3147" s="7">
        <v>30000</v>
      </c>
      <c r="S3147" s="7">
        <v>0</v>
      </c>
      <c r="T3147" s="7">
        <f>R3147-S3147</f>
        <v>0</v>
      </c>
      <c r="U3147" s="7">
        <f>T3147*O3147</f>
        <v>0</v>
      </c>
    </row>
    <row r="3148" spans="1:21">
      <c r="A3148" s="4" t="s">
        <v>4157</v>
      </c>
      <c r="B3148" s="4" t="s">
        <v>39</v>
      </c>
      <c r="C3148" s="5">
        <v>45959.34421296296</v>
      </c>
      <c r="D3148" s="5">
        <v>45959</v>
      </c>
      <c r="E3148" s="6">
        <f>IF(AND(C3148&lt;&gt;"",D3148&lt;&gt;""),D3148-C3148,"")</f>
        <v>0</v>
      </c>
      <c r="F3148" s="4" t="s">
        <v>2884</v>
      </c>
      <c r="G3148" s="4" t="s">
        <v>4158</v>
      </c>
      <c r="H3148" s="4" t="s">
        <v>32</v>
      </c>
      <c r="I3148" s="4" t="s">
        <v>33</v>
      </c>
      <c r="J3148" s="4">
        <v>0</v>
      </c>
      <c r="K3148" s="4">
        <v>0</v>
      </c>
      <c r="L3148" s="4">
        <f>J3148+K3148</f>
        <v>0</v>
      </c>
      <c r="M3148" s="4" t="s">
        <v>609</v>
      </c>
      <c r="N3148" s="4"/>
      <c r="O3148" s="4">
        <v>1</v>
      </c>
      <c r="P3148" s="4" t="s">
        <v>135</v>
      </c>
      <c r="Q3148" s="4"/>
      <c r="R3148" s="7">
        <v>30000</v>
      </c>
      <c r="S3148" s="7">
        <v>0</v>
      </c>
      <c r="T3148" s="7">
        <f>R3148-S3148</f>
        <v>0</v>
      </c>
      <c r="U3148" s="7">
        <f>T3148*O3148</f>
        <v>0</v>
      </c>
    </row>
    <row r="3149" spans="1:21">
      <c r="A3149" s="4" t="s">
        <v>4159</v>
      </c>
      <c r="B3149" s="4" t="s">
        <v>39</v>
      </c>
      <c r="C3149" s="5">
        <v>45959.37767361111</v>
      </c>
      <c r="D3149" s="5">
        <v>45959</v>
      </c>
      <c r="E3149" s="6">
        <f>IF(AND(C3149&lt;&gt;"",D3149&lt;&gt;""),D3149-C3149,"")</f>
        <v>0</v>
      </c>
      <c r="F3149" s="4" t="s">
        <v>4160</v>
      </c>
      <c r="G3149" s="4" t="s">
        <v>4161</v>
      </c>
      <c r="H3149" s="4" t="s">
        <v>32</v>
      </c>
      <c r="I3149" s="4" t="s">
        <v>33</v>
      </c>
      <c r="J3149" s="4">
        <v>0</v>
      </c>
      <c r="K3149" s="4">
        <v>0</v>
      </c>
      <c r="L3149" s="4">
        <f>J3149+K3149</f>
        <v>0</v>
      </c>
      <c r="M3149" s="4" t="s">
        <v>3893</v>
      </c>
      <c r="N3149" s="4"/>
      <c r="O3149" s="4">
        <v>1</v>
      </c>
      <c r="P3149" s="4" t="s">
        <v>135</v>
      </c>
      <c r="Q3149" s="4"/>
      <c r="R3149" s="7">
        <v>48000</v>
      </c>
      <c r="S3149" s="7">
        <v>0</v>
      </c>
      <c r="T3149" s="7">
        <f>R3149-S3149</f>
        <v>0</v>
      </c>
      <c r="U3149" s="7">
        <f>T3149*O3149</f>
        <v>0</v>
      </c>
    </row>
    <row r="3150" spans="1:21">
      <c r="A3150" s="4" t="s">
        <v>4159</v>
      </c>
      <c r="B3150" s="4" t="s">
        <v>39</v>
      </c>
      <c r="C3150" s="5">
        <v>45959.37767361111</v>
      </c>
      <c r="D3150" s="5">
        <v>45959</v>
      </c>
      <c r="E3150" s="6">
        <f>IF(AND(C3150&lt;&gt;"",D3150&lt;&gt;""),D3150-C3150,"")</f>
        <v>0</v>
      </c>
      <c r="F3150" s="4" t="s">
        <v>4160</v>
      </c>
      <c r="G3150" s="4" t="s">
        <v>4161</v>
      </c>
      <c r="H3150" s="4" t="s">
        <v>32</v>
      </c>
      <c r="I3150" s="4" t="s">
        <v>33</v>
      </c>
      <c r="J3150" s="4">
        <v>0</v>
      </c>
      <c r="K3150" s="4">
        <v>0</v>
      </c>
      <c r="L3150" s="4">
        <f>J3150+K3150</f>
        <v>0</v>
      </c>
      <c r="M3150" s="4" t="s">
        <v>3893</v>
      </c>
      <c r="N3150" s="4"/>
      <c r="O3150" s="4">
        <v>1</v>
      </c>
      <c r="P3150" s="4" t="s">
        <v>135</v>
      </c>
      <c r="Q3150" s="4"/>
      <c r="R3150" s="7">
        <v>48000</v>
      </c>
      <c r="S3150" s="7">
        <v>0</v>
      </c>
      <c r="T3150" s="7">
        <f>R3150-S3150</f>
        <v>0</v>
      </c>
      <c r="U3150" s="7">
        <f>T3150*O3150</f>
        <v>0</v>
      </c>
    </row>
    <row r="3151" spans="1:21">
      <c r="A3151" s="4" t="s">
        <v>4159</v>
      </c>
      <c r="B3151" s="4" t="s">
        <v>39</v>
      </c>
      <c r="C3151" s="5">
        <v>45959.37767361111</v>
      </c>
      <c r="D3151" s="5">
        <v>45959</v>
      </c>
      <c r="E3151" s="6">
        <f>IF(AND(C3151&lt;&gt;"",D3151&lt;&gt;""),D3151-C3151,"")</f>
        <v>0</v>
      </c>
      <c r="F3151" s="4" t="s">
        <v>4160</v>
      </c>
      <c r="G3151" s="4" t="s">
        <v>4161</v>
      </c>
      <c r="H3151" s="4" t="s">
        <v>32</v>
      </c>
      <c r="I3151" s="4" t="s">
        <v>33</v>
      </c>
      <c r="J3151" s="4">
        <v>0</v>
      </c>
      <c r="K3151" s="4">
        <v>0</v>
      </c>
      <c r="L3151" s="4">
        <f>J3151+K3151</f>
        <v>0</v>
      </c>
      <c r="M3151" s="4" t="s">
        <v>3895</v>
      </c>
      <c r="N3151" s="4"/>
      <c r="O3151" s="4">
        <v>1</v>
      </c>
      <c r="P3151" s="4" t="s">
        <v>135</v>
      </c>
      <c r="Q3151" s="4"/>
      <c r="R3151" s="7">
        <v>44000</v>
      </c>
      <c r="S3151" s="7">
        <v>0</v>
      </c>
      <c r="T3151" s="7">
        <f>R3151-S3151</f>
        <v>0</v>
      </c>
      <c r="U3151" s="7">
        <f>T3151*O3151</f>
        <v>0</v>
      </c>
    </row>
    <row r="3152" spans="1:21">
      <c r="A3152" s="4" t="s">
        <v>4159</v>
      </c>
      <c r="B3152" s="4" t="s">
        <v>39</v>
      </c>
      <c r="C3152" s="5">
        <v>45959.37767361111</v>
      </c>
      <c r="D3152" s="5">
        <v>45959</v>
      </c>
      <c r="E3152" s="6">
        <f>IF(AND(C3152&lt;&gt;"",D3152&lt;&gt;""),D3152-C3152,"")</f>
        <v>0</v>
      </c>
      <c r="F3152" s="4" t="s">
        <v>4160</v>
      </c>
      <c r="G3152" s="4" t="s">
        <v>4161</v>
      </c>
      <c r="H3152" s="4" t="s">
        <v>32</v>
      </c>
      <c r="I3152" s="4" t="s">
        <v>33</v>
      </c>
      <c r="J3152" s="4">
        <v>0</v>
      </c>
      <c r="K3152" s="4">
        <v>0</v>
      </c>
      <c r="L3152" s="4">
        <f>J3152+K3152</f>
        <v>0</v>
      </c>
      <c r="M3152" s="4" t="s">
        <v>3895</v>
      </c>
      <c r="N3152" s="4"/>
      <c r="O3152" s="4">
        <v>1</v>
      </c>
      <c r="P3152" s="4" t="s">
        <v>135</v>
      </c>
      <c r="Q3152" s="4"/>
      <c r="R3152" s="7">
        <v>44000</v>
      </c>
      <c r="S3152" s="7">
        <v>0</v>
      </c>
      <c r="T3152" s="7">
        <f>R3152-S3152</f>
        <v>0</v>
      </c>
      <c r="U3152" s="7">
        <f>T3152*O3152</f>
        <v>0</v>
      </c>
    </row>
    <row r="3153" spans="1:21">
      <c r="A3153" s="4" t="s">
        <v>4159</v>
      </c>
      <c r="B3153" s="4" t="s">
        <v>39</v>
      </c>
      <c r="C3153" s="5">
        <v>45959.37767361111</v>
      </c>
      <c r="D3153" s="5">
        <v>45959</v>
      </c>
      <c r="E3153" s="6">
        <f>IF(AND(C3153&lt;&gt;"",D3153&lt;&gt;""),D3153-C3153,"")</f>
        <v>0</v>
      </c>
      <c r="F3153" s="4" t="s">
        <v>4160</v>
      </c>
      <c r="G3153" s="4" t="s">
        <v>4161</v>
      </c>
      <c r="H3153" s="4" t="s">
        <v>32</v>
      </c>
      <c r="I3153" s="4" t="s">
        <v>33</v>
      </c>
      <c r="J3153" s="4">
        <v>0</v>
      </c>
      <c r="K3153" s="4">
        <v>0</v>
      </c>
      <c r="L3153" s="4">
        <f>J3153+K3153</f>
        <v>0</v>
      </c>
      <c r="M3153" s="4" t="s">
        <v>3893</v>
      </c>
      <c r="N3153" s="4"/>
      <c r="O3153" s="4">
        <v>1</v>
      </c>
      <c r="P3153" s="4" t="s">
        <v>135</v>
      </c>
      <c r="Q3153" s="4"/>
      <c r="R3153" s="7">
        <v>48000</v>
      </c>
      <c r="S3153" s="7">
        <v>0</v>
      </c>
      <c r="T3153" s="7">
        <f>R3153-S3153</f>
        <v>0</v>
      </c>
      <c r="U3153" s="7">
        <f>T3153*O3153</f>
        <v>0</v>
      </c>
    </row>
    <row r="3154" spans="1:21">
      <c r="A3154" s="4" t="s">
        <v>4159</v>
      </c>
      <c r="B3154" s="4" t="s">
        <v>39</v>
      </c>
      <c r="C3154" s="5">
        <v>45959.37767361111</v>
      </c>
      <c r="D3154" s="5">
        <v>45959</v>
      </c>
      <c r="E3154" s="6">
        <f>IF(AND(C3154&lt;&gt;"",D3154&lt;&gt;""),D3154-C3154,"")</f>
        <v>0</v>
      </c>
      <c r="F3154" s="4" t="s">
        <v>4160</v>
      </c>
      <c r="G3154" s="4" t="s">
        <v>4161</v>
      </c>
      <c r="H3154" s="4" t="s">
        <v>32</v>
      </c>
      <c r="I3154" s="4" t="s">
        <v>33</v>
      </c>
      <c r="J3154" s="4">
        <v>0</v>
      </c>
      <c r="K3154" s="4">
        <v>0</v>
      </c>
      <c r="L3154" s="4">
        <f>J3154+K3154</f>
        <v>0</v>
      </c>
      <c r="M3154" s="4" t="s">
        <v>3895</v>
      </c>
      <c r="N3154" s="4"/>
      <c r="O3154" s="4">
        <v>1</v>
      </c>
      <c r="P3154" s="4" t="s">
        <v>135</v>
      </c>
      <c r="Q3154" s="4"/>
      <c r="R3154" s="7">
        <v>44000</v>
      </c>
      <c r="S3154" s="7">
        <v>0</v>
      </c>
      <c r="T3154" s="7">
        <f>R3154-S3154</f>
        <v>0</v>
      </c>
      <c r="U3154" s="7">
        <f>T3154*O3154</f>
        <v>0</v>
      </c>
    </row>
    <row r="3155" spans="1:21">
      <c r="A3155" s="4" t="s">
        <v>4162</v>
      </c>
      <c r="B3155" s="4" t="s">
        <v>39</v>
      </c>
      <c r="C3155" s="5">
        <v>45959.39140046296</v>
      </c>
      <c r="D3155" s="5">
        <v>45959</v>
      </c>
      <c r="E3155" s="6">
        <f>IF(AND(C3155&lt;&gt;"",D3155&lt;&gt;""),D3155-C3155,"")</f>
        <v>0</v>
      </c>
      <c r="F3155" s="4" t="s">
        <v>4163</v>
      </c>
      <c r="G3155" s="4" t="s">
        <v>4164</v>
      </c>
      <c r="H3155" s="4" t="s">
        <v>32</v>
      </c>
      <c r="I3155" s="4" t="s">
        <v>33</v>
      </c>
      <c r="J3155" s="4">
        <v>0</v>
      </c>
      <c r="K3155" s="4">
        <v>0</v>
      </c>
      <c r="L3155" s="4">
        <f>J3155+K3155</f>
        <v>0</v>
      </c>
      <c r="M3155" s="4" t="s">
        <v>3908</v>
      </c>
      <c r="N3155" s="4"/>
      <c r="O3155" s="4">
        <v>1</v>
      </c>
      <c r="P3155" s="4" t="s">
        <v>135</v>
      </c>
      <c r="Q3155" s="4"/>
      <c r="R3155" s="7">
        <v>64000</v>
      </c>
      <c r="S3155" s="7">
        <v>0</v>
      </c>
      <c r="T3155" s="7">
        <f>R3155-S3155</f>
        <v>0</v>
      </c>
      <c r="U3155" s="7">
        <f>T3155*O3155</f>
        <v>0</v>
      </c>
    </row>
    <row r="3156" spans="1:21">
      <c r="A3156" s="4" t="s">
        <v>4162</v>
      </c>
      <c r="B3156" s="4" t="s">
        <v>39</v>
      </c>
      <c r="C3156" s="5">
        <v>45959.39140046296</v>
      </c>
      <c r="D3156" s="5">
        <v>45959</v>
      </c>
      <c r="E3156" s="6">
        <f>IF(AND(C3156&lt;&gt;"",D3156&lt;&gt;""),D3156-C3156,"")</f>
        <v>0</v>
      </c>
      <c r="F3156" s="4" t="s">
        <v>4163</v>
      </c>
      <c r="G3156" s="4" t="s">
        <v>4164</v>
      </c>
      <c r="H3156" s="4" t="s">
        <v>32</v>
      </c>
      <c r="I3156" s="4" t="s">
        <v>33</v>
      </c>
      <c r="J3156" s="4">
        <v>0</v>
      </c>
      <c r="K3156" s="4">
        <v>0</v>
      </c>
      <c r="L3156" s="4">
        <f>J3156+K3156</f>
        <v>0</v>
      </c>
      <c r="M3156" s="4" t="s">
        <v>3908</v>
      </c>
      <c r="N3156" s="4"/>
      <c r="O3156" s="4">
        <v>1</v>
      </c>
      <c r="P3156" s="4" t="s">
        <v>135</v>
      </c>
      <c r="Q3156" s="4"/>
      <c r="R3156" s="7">
        <v>64000</v>
      </c>
      <c r="S3156" s="7">
        <v>0</v>
      </c>
      <c r="T3156" s="7">
        <f>R3156-S3156</f>
        <v>0</v>
      </c>
      <c r="U3156" s="7">
        <f>T3156*O3156</f>
        <v>0</v>
      </c>
    </row>
    <row r="3157" spans="1:21">
      <c r="A3157" s="4" t="s">
        <v>4162</v>
      </c>
      <c r="B3157" s="4" t="s">
        <v>39</v>
      </c>
      <c r="C3157" s="5">
        <v>45959.39140046296</v>
      </c>
      <c r="D3157" s="5">
        <v>45959</v>
      </c>
      <c r="E3157" s="6">
        <f>IF(AND(C3157&lt;&gt;"",D3157&lt;&gt;""),D3157-C3157,"")</f>
        <v>0</v>
      </c>
      <c r="F3157" s="4" t="s">
        <v>4163</v>
      </c>
      <c r="G3157" s="4" t="s">
        <v>4164</v>
      </c>
      <c r="H3157" s="4" t="s">
        <v>32</v>
      </c>
      <c r="I3157" s="4" t="s">
        <v>33</v>
      </c>
      <c r="J3157" s="4">
        <v>0</v>
      </c>
      <c r="K3157" s="4">
        <v>0</v>
      </c>
      <c r="L3157" s="4">
        <f>J3157+K3157</f>
        <v>0</v>
      </c>
      <c r="M3157" s="4" t="s">
        <v>3908</v>
      </c>
      <c r="N3157" s="4"/>
      <c r="O3157" s="4">
        <v>1</v>
      </c>
      <c r="P3157" s="4" t="s">
        <v>135</v>
      </c>
      <c r="Q3157" s="4"/>
      <c r="R3157" s="7">
        <v>64000</v>
      </c>
      <c r="S3157" s="7">
        <v>0</v>
      </c>
      <c r="T3157" s="7">
        <f>R3157-S3157</f>
        <v>0</v>
      </c>
      <c r="U3157" s="7">
        <f>T3157*O3157</f>
        <v>0</v>
      </c>
    </row>
    <row r="3158" spans="1:21">
      <c r="A3158" s="4" t="s">
        <v>4165</v>
      </c>
      <c r="B3158" s="4" t="s">
        <v>39</v>
      </c>
      <c r="C3158" s="5">
        <v>45959.39254629629</v>
      </c>
      <c r="D3158" s="5">
        <v>45959</v>
      </c>
      <c r="E3158" s="6">
        <f>IF(AND(C3158&lt;&gt;"",D3158&lt;&gt;""),D3158-C3158,"")</f>
        <v>0</v>
      </c>
      <c r="F3158" s="4" t="s">
        <v>4166</v>
      </c>
      <c r="G3158" s="4" t="s">
        <v>4167</v>
      </c>
      <c r="H3158" s="4" t="s">
        <v>32</v>
      </c>
      <c r="I3158" s="4" t="s">
        <v>33</v>
      </c>
      <c r="J3158" s="4">
        <v>0</v>
      </c>
      <c r="K3158" s="4">
        <v>0</v>
      </c>
      <c r="L3158" s="4">
        <f>J3158+K3158</f>
        <v>0</v>
      </c>
      <c r="M3158" s="4" t="s">
        <v>3926</v>
      </c>
      <c r="N3158" s="4"/>
      <c r="O3158" s="4">
        <v>1</v>
      </c>
      <c r="P3158" s="4" t="s">
        <v>135</v>
      </c>
      <c r="Q3158" s="4"/>
      <c r="R3158" s="7">
        <v>53000</v>
      </c>
      <c r="S3158" s="7">
        <v>0</v>
      </c>
      <c r="T3158" s="7">
        <f>R3158-S3158</f>
        <v>0</v>
      </c>
      <c r="U3158" s="7">
        <f>T3158*O3158</f>
        <v>0</v>
      </c>
    </row>
    <row r="3159" spans="1:21">
      <c r="A3159" s="4" t="s">
        <v>4165</v>
      </c>
      <c r="B3159" s="4" t="s">
        <v>39</v>
      </c>
      <c r="C3159" s="5">
        <v>45959.39254629629</v>
      </c>
      <c r="D3159" s="5">
        <v>45959</v>
      </c>
      <c r="E3159" s="6">
        <f>IF(AND(C3159&lt;&gt;"",D3159&lt;&gt;""),D3159-C3159,"")</f>
        <v>0</v>
      </c>
      <c r="F3159" s="4" t="s">
        <v>4166</v>
      </c>
      <c r="G3159" s="4" t="s">
        <v>4167</v>
      </c>
      <c r="H3159" s="4" t="s">
        <v>32</v>
      </c>
      <c r="I3159" s="4" t="s">
        <v>33</v>
      </c>
      <c r="J3159" s="4">
        <v>0</v>
      </c>
      <c r="K3159" s="4">
        <v>0</v>
      </c>
      <c r="L3159" s="4">
        <f>J3159+K3159</f>
        <v>0</v>
      </c>
      <c r="M3159" s="4" t="s">
        <v>1608</v>
      </c>
      <c r="N3159" s="4"/>
      <c r="O3159" s="4">
        <v>1</v>
      </c>
      <c r="P3159" s="4" t="s">
        <v>135</v>
      </c>
      <c r="Q3159" s="4"/>
      <c r="R3159" s="7">
        <v>90000</v>
      </c>
      <c r="S3159" s="7">
        <v>0</v>
      </c>
      <c r="T3159" s="7">
        <f>R3159-S3159</f>
        <v>0</v>
      </c>
      <c r="U3159" s="7">
        <f>T3159*O3159</f>
        <v>0</v>
      </c>
    </row>
    <row r="3160" spans="1:21">
      <c r="A3160" s="4" t="s">
        <v>4165</v>
      </c>
      <c r="B3160" s="4" t="s">
        <v>39</v>
      </c>
      <c r="C3160" s="5">
        <v>45959.39254629629</v>
      </c>
      <c r="D3160" s="5">
        <v>45959</v>
      </c>
      <c r="E3160" s="6">
        <f>IF(AND(C3160&lt;&gt;"",D3160&lt;&gt;""),D3160-C3160,"")</f>
        <v>0</v>
      </c>
      <c r="F3160" s="4" t="s">
        <v>4166</v>
      </c>
      <c r="G3160" s="4" t="s">
        <v>4167</v>
      </c>
      <c r="H3160" s="4" t="s">
        <v>32</v>
      </c>
      <c r="I3160" s="4" t="s">
        <v>33</v>
      </c>
      <c r="J3160" s="4">
        <v>0</v>
      </c>
      <c r="K3160" s="4">
        <v>0</v>
      </c>
      <c r="L3160" s="4">
        <f>J3160+K3160</f>
        <v>0</v>
      </c>
      <c r="M3160" s="4" t="s">
        <v>3929</v>
      </c>
      <c r="N3160" s="4"/>
      <c r="O3160" s="4">
        <v>1</v>
      </c>
      <c r="P3160" s="4" t="s">
        <v>135</v>
      </c>
      <c r="Q3160" s="4"/>
      <c r="R3160" s="7">
        <v>89000</v>
      </c>
      <c r="S3160" s="7">
        <v>0</v>
      </c>
      <c r="T3160" s="7">
        <f>R3160-S3160</f>
        <v>0</v>
      </c>
      <c r="U3160" s="7">
        <f>T3160*O3160</f>
        <v>0</v>
      </c>
    </row>
    <row r="3161" spans="1:21">
      <c r="A3161" s="4" t="s">
        <v>4168</v>
      </c>
      <c r="B3161" s="4" t="s">
        <v>29</v>
      </c>
      <c r="C3161" s="5">
        <v>45959.54721064815</v>
      </c>
      <c r="D3161" s="5">
        <v>45961</v>
      </c>
      <c r="E3161" s="6">
        <f>IF(AND(C3161&lt;&gt;"",D3161&lt;&gt;""),D3161-C3161,"")</f>
        <v>0</v>
      </c>
      <c r="F3161" s="4" t="s">
        <v>307</v>
      </c>
      <c r="G3161" s="4" t="s">
        <v>308</v>
      </c>
      <c r="H3161" s="4" t="s">
        <v>190</v>
      </c>
      <c r="I3161" s="4" t="s">
        <v>56</v>
      </c>
      <c r="J3161" s="4">
        <v>1</v>
      </c>
      <c r="K3161" s="4">
        <v>0</v>
      </c>
      <c r="L3161" s="4">
        <f>J3161+K3161</f>
        <v>0</v>
      </c>
      <c r="M3161" s="4"/>
      <c r="N3161" s="4"/>
      <c r="O3161" s="4">
        <v>0</v>
      </c>
      <c r="P3161" s="4"/>
      <c r="Q3161" s="4"/>
      <c r="R3161" s="7">
        <v>0</v>
      </c>
      <c r="S3161" s="7">
        <v>0</v>
      </c>
      <c r="T3161" s="7">
        <f>R3161-S3161</f>
        <v>0</v>
      </c>
      <c r="U3161" s="7">
        <f>T3161*O3161</f>
        <v>0</v>
      </c>
    </row>
    <row r="3162" spans="1:21">
      <c r="A3162" s="4" t="s">
        <v>4169</v>
      </c>
      <c r="B3162" s="4" t="s">
        <v>29</v>
      </c>
      <c r="C3162" s="5">
        <v>45959.54731481482</v>
      </c>
      <c r="D3162" s="5">
        <v>45961</v>
      </c>
      <c r="E3162" s="6">
        <f>IF(AND(C3162&lt;&gt;"",D3162&lt;&gt;""),D3162-C3162,"")</f>
        <v>0</v>
      </c>
      <c r="F3162" s="4" t="s">
        <v>307</v>
      </c>
      <c r="G3162" s="4" t="s">
        <v>308</v>
      </c>
      <c r="H3162" s="4" t="s">
        <v>190</v>
      </c>
      <c r="I3162" s="4" t="s">
        <v>56</v>
      </c>
      <c r="J3162" s="4">
        <v>1</v>
      </c>
      <c r="K3162" s="4">
        <v>0</v>
      </c>
      <c r="L3162" s="4">
        <f>J3162+K3162</f>
        <v>0</v>
      </c>
      <c r="M3162" s="4"/>
      <c r="N3162" s="4"/>
      <c r="O3162" s="4">
        <v>0</v>
      </c>
      <c r="P3162" s="4"/>
      <c r="Q3162" s="4"/>
      <c r="R3162" s="7">
        <v>0</v>
      </c>
      <c r="S3162" s="7">
        <v>0</v>
      </c>
      <c r="T3162" s="7">
        <f>R3162-S3162</f>
        <v>0</v>
      </c>
      <c r="U3162" s="7">
        <f>T3162*O3162</f>
        <v>0</v>
      </c>
    </row>
    <row r="3163" spans="1:21">
      <c r="A3163" s="4" t="s">
        <v>4170</v>
      </c>
      <c r="B3163" s="4" t="s">
        <v>103</v>
      </c>
      <c r="C3163" s="5">
        <v>45960.08824074074</v>
      </c>
      <c r="D3163" s="5">
        <v>45961</v>
      </c>
      <c r="E3163" s="6">
        <f>IF(AND(C3163&lt;&gt;"",D3163&lt;&gt;""),D3163-C3163,"")</f>
        <v>0</v>
      </c>
      <c r="F3163" s="4" t="s">
        <v>4171</v>
      </c>
      <c r="G3163" s="4"/>
      <c r="H3163" s="4"/>
      <c r="I3163" s="4" t="s">
        <v>56</v>
      </c>
      <c r="J3163" s="4">
        <v>1</v>
      </c>
      <c r="K3163" s="4">
        <v>1</v>
      </c>
      <c r="L3163" s="4">
        <f>J3163+K3163</f>
        <v>0</v>
      </c>
      <c r="M3163" s="4"/>
      <c r="N3163" s="4"/>
      <c r="O3163" s="4">
        <v>0</v>
      </c>
      <c r="P3163" s="4"/>
      <c r="Q3163" s="4"/>
      <c r="R3163" s="7">
        <v>0</v>
      </c>
      <c r="S3163" s="7">
        <v>0</v>
      </c>
      <c r="T3163" s="7">
        <f>R3163-S3163</f>
        <v>0</v>
      </c>
      <c r="U3163" s="7">
        <f>T3163*O3163</f>
        <v>0</v>
      </c>
    </row>
    <row r="3164" spans="1:21">
      <c r="A3164" s="4" t="s">
        <v>4172</v>
      </c>
      <c r="B3164" s="4" t="s">
        <v>103</v>
      </c>
      <c r="C3164" s="5">
        <v>45960.12302083334</v>
      </c>
      <c r="D3164" s="5">
        <v>45961</v>
      </c>
      <c r="E3164" s="6">
        <f>IF(AND(C3164&lt;&gt;"",D3164&lt;&gt;""),D3164-C3164,"")</f>
        <v>0</v>
      </c>
      <c r="F3164" s="4" t="s">
        <v>1176</v>
      </c>
      <c r="G3164" s="4" t="s">
        <v>4173</v>
      </c>
      <c r="H3164" s="4" t="s">
        <v>190</v>
      </c>
      <c r="I3164" s="4" t="s">
        <v>56</v>
      </c>
      <c r="J3164" s="4">
        <v>4</v>
      </c>
      <c r="K3164" s="4">
        <v>0</v>
      </c>
      <c r="L3164" s="4">
        <f>J3164+K3164</f>
        <v>0</v>
      </c>
      <c r="M3164" s="4"/>
      <c r="N3164" s="4"/>
      <c r="O3164" s="4">
        <v>0</v>
      </c>
      <c r="P3164" s="4"/>
      <c r="Q3164" s="4"/>
      <c r="R3164" s="7">
        <v>0</v>
      </c>
      <c r="S3164" s="7">
        <v>0</v>
      </c>
      <c r="T3164" s="7">
        <f>R3164-S3164</f>
        <v>0</v>
      </c>
      <c r="U3164" s="7">
        <f>T3164*O3164</f>
        <v>0</v>
      </c>
    </row>
    <row r="3165" spans="1:21">
      <c r="A3165" s="4" t="s">
        <v>4174</v>
      </c>
      <c r="B3165" s="4"/>
      <c r="C3165" s="5">
        <v>45960.15787037037</v>
      </c>
      <c r="D3165" s="5">
        <v>45961</v>
      </c>
      <c r="E3165" s="6">
        <f>IF(AND(C3165&lt;&gt;"",D3165&lt;&gt;""),D3165-C3165,"")</f>
        <v>0</v>
      </c>
      <c r="F3165" s="4" t="s">
        <v>1087</v>
      </c>
      <c r="G3165" s="4" t="s">
        <v>1088</v>
      </c>
      <c r="H3165" s="4" t="s">
        <v>32</v>
      </c>
      <c r="I3165" s="4" t="s">
        <v>33</v>
      </c>
      <c r="J3165" s="4">
        <v>4</v>
      </c>
      <c r="K3165" s="4">
        <v>2</v>
      </c>
      <c r="L3165" s="4">
        <f>J3165+K3165</f>
        <v>0</v>
      </c>
      <c r="M3165" s="4"/>
      <c r="N3165" s="4"/>
      <c r="O3165" s="4">
        <v>0</v>
      </c>
      <c r="P3165" s="4"/>
      <c r="Q3165" s="4"/>
      <c r="R3165" s="7">
        <v>0</v>
      </c>
      <c r="S3165" s="7">
        <v>0</v>
      </c>
      <c r="T3165" s="7">
        <f>R3165-S3165</f>
        <v>0</v>
      </c>
      <c r="U3165" s="7">
        <f>T3165*O3165</f>
        <v>0</v>
      </c>
    </row>
    <row r="3166" spans="1:21">
      <c r="A3166" s="4" t="s">
        <v>4175</v>
      </c>
      <c r="B3166" s="4" t="s">
        <v>122</v>
      </c>
      <c r="C3166" s="5">
        <v>45960.2450925926</v>
      </c>
      <c r="D3166" s="5">
        <v>45961</v>
      </c>
      <c r="E3166" s="6">
        <f>IF(AND(C3166&lt;&gt;"",D3166&lt;&gt;""),D3166-C3166,"")</f>
        <v>0</v>
      </c>
      <c r="F3166" s="4" t="s">
        <v>30</v>
      </c>
      <c r="G3166" s="4" t="s">
        <v>31</v>
      </c>
      <c r="H3166" s="4" t="s">
        <v>32</v>
      </c>
      <c r="I3166" s="4" t="s">
        <v>33</v>
      </c>
      <c r="J3166" s="4">
        <v>20</v>
      </c>
      <c r="K3166" s="4">
        <v>0</v>
      </c>
      <c r="L3166" s="4">
        <f>J3166+K3166</f>
        <v>0</v>
      </c>
      <c r="M3166" s="4"/>
      <c r="N3166" s="4"/>
      <c r="O3166" s="4">
        <v>0</v>
      </c>
      <c r="P3166" s="4"/>
      <c r="Q3166" s="4"/>
      <c r="R3166" s="7">
        <v>0</v>
      </c>
      <c r="S3166" s="7">
        <v>0</v>
      </c>
      <c r="T3166" s="7">
        <f>R3166-S3166</f>
        <v>0</v>
      </c>
      <c r="U3166" s="7">
        <f>T3166*O3166</f>
        <v>0</v>
      </c>
    </row>
    <row r="3167" spans="1:21">
      <c r="A3167" s="4" t="s">
        <v>4176</v>
      </c>
      <c r="B3167" s="4" t="s">
        <v>122</v>
      </c>
      <c r="C3167" s="5">
        <v>45960.26200231481</v>
      </c>
      <c r="D3167" s="5">
        <v>45961</v>
      </c>
      <c r="E3167" s="6">
        <f>IF(AND(C3167&lt;&gt;"",D3167&lt;&gt;""),D3167-C3167,"")</f>
        <v>0</v>
      </c>
      <c r="F3167" s="4" t="s">
        <v>30</v>
      </c>
      <c r="G3167" s="4" t="s">
        <v>31</v>
      </c>
      <c r="H3167" s="4" t="s">
        <v>32</v>
      </c>
      <c r="I3167" s="4" t="s">
        <v>33</v>
      </c>
      <c r="J3167" s="4">
        <v>10</v>
      </c>
      <c r="K3167" s="4">
        <v>0</v>
      </c>
      <c r="L3167" s="4">
        <f>J3167+K3167</f>
        <v>0</v>
      </c>
      <c r="M3167" s="4"/>
      <c r="N3167" s="4"/>
      <c r="O3167" s="4">
        <v>0</v>
      </c>
      <c r="P3167" s="4"/>
      <c r="Q3167" s="4"/>
      <c r="R3167" s="7">
        <v>0</v>
      </c>
      <c r="S3167" s="7">
        <v>0</v>
      </c>
      <c r="T3167" s="7">
        <f>R3167-S3167</f>
        <v>0</v>
      </c>
      <c r="U3167" s="7">
        <f>T3167*O3167</f>
        <v>0</v>
      </c>
    </row>
    <row r="3168" spans="1:21">
      <c r="A3168" s="4" t="s">
        <v>4177</v>
      </c>
      <c r="B3168" s="4" t="s">
        <v>122</v>
      </c>
      <c r="C3168" s="5">
        <v>45960.27119212963</v>
      </c>
      <c r="D3168" s="5">
        <v>45961</v>
      </c>
      <c r="E3168" s="6">
        <f>IF(AND(C3168&lt;&gt;"",D3168&lt;&gt;""),D3168-C3168,"")</f>
        <v>0</v>
      </c>
      <c r="F3168" s="4" t="s">
        <v>30</v>
      </c>
      <c r="G3168" s="4" t="s">
        <v>31</v>
      </c>
      <c r="H3168" s="4" t="s">
        <v>32</v>
      </c>
      <c r="I3168" s="4" t="s">
        <v>33</v>
      </c>
      <c r="J3168" s="4">
        <v>1</v>
      </c>
      <c r="K3168" s="4">
        <v>0</v>
      </c>
      <c r="L3168" s="4">
        <f>J3168+K3168</f>
        <v>0</v>
      </c>
      <c r="M3168" s="4"/>
      <c r="N3168" s="4"/>
      <c r="O3168" s="4">
        <v>0</v>
      </c>
      <c r="P3168" s="4"/>
      <c r="Q3168" s="4"/>
      <c r="R3168" s="7">
        <v>0</v>
      </c>
      <c r="S3168" s="7">
        <v>0</v>
      </c>
      <c r="T3168" s="7">
        <f>R3168-S3168</f>
        <v>0</v>
      </c>
      <c r="U3168" s="7">
        <f>T3168*O3168</f>
        <v>0</v>
      </c>
    </row>
    <row r="3169" spans="1:21">
      <c r="A3169" s="4" t="s">
        <v>4178</v>
      </c>
      <c r="B3169" s="4" t="s">
        <v>122</v>
      </c>
      <c r="C3169" s="5">
        <v>45960.27211805555</v>
      </c>
      <c r="D3169" s="5">
        <v>45961</v>
      </c>
      <c r="E3169" s="6">
        <f>IF(AND(C3169&lt;&gt;"",D3169&lt;&gt;""),D3169-C3169,"")</f>
        <v>0</v>
      </c>
      <c r="F3169" s="4" t="s">
        <v>30</v>
      </c>
      <c r="G3169" s="4" t="s">
        <v>31</v>
      </c>
      <c r="H3169" s="4" t="s">
        <v>32</v>
      </c>
      <c r="I3169" s="4" t="s">
        <v>33</v>
      </c>
      <c r="J3169" s="4">
        <v>10</v>
      </c>
      <c r="K3169" s="4">
        <v>0</v>
      </c>
      <c r="L3169" s="4">
        <f>J3169+K3169</f>
        <v>0</v>
      </c>
      <c r="M3169" s="4"/>
      <c r="N3169" s="4"/>
      <c r="O3169" s="4">
        <v>0</v>
      </c>
      <c r="P3169" s="4"/>
      <c r="Q3169" s="4"/>
      <c r="R3169" s="7">
        <v>0</v>
      </c>
      <c r="S3169" s="7">
        <v>0</v>
      </c>
      <c r="T3169" s="7">
        <f>R3169-S3169</f>
        <v>0</v>
      </c>
      <c r="U3169" s="7">
        <f>T3169*O3169</f>
        <v>0</v>
      </c>
    </row>
    <row r="3170" spans="1:21">
      <c r="A3170" s="4" t="s">
        <v>4179</v>
      </c>
      <c r="B3170" s="4" t="s">
        <v>122</v>
      </c>
      <c r="C3170" s="5">
        <v>45960.28019675926</v>
      </c>
      <c r="D3170" s="5">
        <v>45961</v>
      </c>
      <c r="E3170" s="6">
        <f>IF(AND(C3170&lt;&gt;"",D3170&lt;&gt;""),D3170-C3170,"")</f>
        <v>0</v>
      </c>
      <c r="F3170" s="4" t="s">
        <v>165</v>
      </c>
      <c r="G3170" s="4" t="s">
        <v>65</v>
      </c>
      <c r="H3170" s="4" t="s">
        <v>32</v>
      </c>
      <c r="I3170" s="4" t="s">
        <v>33</v>
      </c>
      <c r="J3170" s="4">
        <v>10</v>
      </c>
      <c r="K3170" s="4">
        <v>0</v>
      </c>
      <c r="L3170" s="4">
        <f>J3170+K3170</f>
        <v>0</v>
      </c>
      <c r="M3170" s="4"/>
      <c r="N3170" s="4"/>
      <c r="O3170" s="4">
        <v>0</v>
      </c>
      <c r="P3170" s="4"/>
      <c r="Q3170" s="4"/>
      <c r="R3170" s="7">
        <v>0</v>
      </c>
      <c r="S3170" s="7">
        <v>0</v>
      </c>
      <c r="T3170" s="7">
        <f>R3170-S3170</f>
        <v>0</v>
      </c>
      <c r="U3170" s="7">
        <f>T3170*O3170</f>
        <v>0</v>
      </c>
    </row>
    <row r="3171" spans="1:21">
      <c r="A3171" s="4" t="s">
        <v>4180</v>
      </c>
      <c r="B3171" s="4" t="s">
        <v>122</v>
      </c>
      <c r="C3171" s="5">
        <v>45960.28645833334</v>
      </c>
      <c r="D3171" s="5">
        <v>45961</v>
      </c>
      <c r="E3171" s="6">
        <f>IF(AND(C3171&lt;&gt;"",D3171&lt;&gt;""),D3171-C3171,"")</f>
        <v>0</v>
      </c>
      <c r="F3171" s="4" t="s">
        <v>30</v>
      </c>
      <c r="G3171" s="4" t="s">
        <v>31</v>
      </c>
      <c r="H3171" s="4" t="s">
        <v>32</v>
      </c>
      <c r="I3171" s="4" t="s">
        <v>33</v>
      </c>
      <c r="J3171" s="4">
        <v>1</v>
      </c>
      <c r="K3171" s="4">
        <v>0</v>
      </c>
      <c r="L3171" s="4">
        <f>J3171+K3171</f>
        <v>0</v>
      </c>
      <c r="M3171" s="4"/>
      <c r="N3171" s="4"/>
      <c r="O3171" s="4">
        <v>0</v>
      </c>
      <c r="P3171" s="4"/>
      <c r="Q3171" s="4"/>
      <c r="R3171" s="7">
        <v>0</v>
      </c>
      <c r="S3171" s="7">
        <v>0</v>
      </c>
      <c r="T3171" s="7">
        <f>R3171-S3171</f>
        <v>0</v>
      </c>
      <c r="U3171" s="7">
        <f>T3171*O3171</f>
        <v>0</v>
      </c>
    </row>
    <row r="3172" spans="1:21">
      <c r="A3172" s="4" t="s">
        <v>4181</v>
      </c>
      <c r="B3172" s="4" t="s">
        <v>122</v>
      </c>
      <c r="C3172" s="5">
        <v>45960.29541666667</v>
      </c>
      <c r="D3172" s="5">
        <v>45961</v>
      </c>
      <c r="E3172" s="6">
        <f>IF(AND(C3172&lt;&gt;"",D3172&lt;&gt;""),D3172-C3172,"")</f>
        <v>0</v>
      </c>
      <c r="F3172" s="4" t="s">
        <v>64</v>
      </c>
      <c r="G3172" s="4" t="s">
        <v>664</v>
      </c>
      <c r="H3172" s="4" t="s">
        <v>32</v>
      </c>
      <c r="I3172" s="4" t="s">
        <v>33</v>
      </c>
      <c r="J3172" s="4">
        <v>1</v>
      </c>
      <c r="K3172" s="4">
        <v>0</v>
      </c>
      <c r="L3172" s="4">
        <f>J3172+K3172</f>
        <v>0</v>
      </c>
      <c r="M3172" s="4"/>
      <c r="N3172" s="4"/>
      <c r="O3172" s="4">
        <v>0</v>
      </c>
      <c r="P3172" s="4"/>
      <c r="Q3172" s="4"/>
      <c r="R3172" s="7">
        <v>0</v>
      </c>
      <c r="S3172" s="7">
        <v>0</v>
      </c>
      <c r="T3172" s="7">
        <f>R3172-S3172</f>
        <v>0</v>
      </c>
      <c r="U3172" s="7">
        <f>T3172*O3172</f>
        <v>0</v>
      </c>
    </row>
    <row r="3173" spans="1:21">
      <c r="A3173" s="4" t="s">
        <v>4182</v>
      </c>
      <c r="B3173" s="4" t="s">
        <v>48</v>
      </c>
      <c r="C3173" s="5">
        <v>45960.29983796296</v>
      </c>
      <c r="D3173" s="5">
        <v>45961</v>
      </c>
      <c r="E3173" s="6">
        <f>IF(AND(C3173&lt;&gt;"",D3173&lt;&gt;""),D3173-C3173,"")</f>
        <v>0</v>
      </c>
      <c r="F3173" s="4" t="s">
        <v>162</v>
      </c>
      <c r="G3173" s="4" t="s">
        <v>163</v>
      </c>
      <c r="H3173" s="4" t="s">
        <v>32</v>
      </c>
      <c r="I3173" s="4" t="s">
        <v>33</v>
      </c>
      <c r="J3173" s="4">
        <v>3</v>
      </c>
      <c r="K3173" s="4">
        <v>2</v>
      </c>
      <c r="L3173" s="4">
        <f>J3173+K3173</f>
        <v>0</v>
      </c>
      <c r="M3173" s="4"/>
      <c r="N3173" s="4"/>
      <c r="O3173" s="4">
        <v>0</v>
      </c>
      <c r="P3173" s="4"/>
      <c r="Q3173" s="4"/>
      <c r="R3173" s="7">
        <v>0</v>
      </c>
      <c r="S3173" s="7">
        <v>0</v>
      </c>
      <c r="T3173" s="7">
        <f>R3173-S3173</f>
        <v>0</v>
      </c>
      <c r="U3173" s="7">
        <f>T3173*O3173</f>
        <v>0</v>
      </c>
    </row>
    <row r="3174" spans="1:21">
      <c r="A3174" s="4" t="s">
        <v>4183</v>
      </c>
      <c r="B3174" s="4" t="s">
        <v>103</v>
      </c>
      <c r="C3174" s="5">
        <v>45960.30207175926</v>
      </c>
      <c r="D3174" s="5">
        <v>45961</v>
      </c>
      <c r="E3174" s="6">
        <f>IF(AND(C3174&lt;&gt;"",D3174&lt;&gt;""),D3174-C3174,"")</f>
        <v>0</v>
      </c>
      <c r="F3174" s="4" t="s">
        <v>4184</v>
      </c>
      <c r="G3174" s="4" t="s">
        <v>4185</v>
      </c>
      <c r="H3174" s="4" t="s">
        <v>319</v>
      </c>
      <c r="I3174" s="4" t="s">
        <v>56</v>
      </c>
      <c r="J3174" s="4">
        <v>3</v>
      </c>
      <c r="K3174" s="4">
        <v>1</v>
      </c>
      <c r="L3174" s="4">
        <f>J3174+K3174</f>
        <v>0</v>
      </c>
      <c r="M3174" s="4"/>
      <c r="N3174" s="4"/>
      <c r="O3174" s="4">
        <v>0</v>
      </c>
      <c r="P3174" s="4"/>
      <c r="Q3174" s="4"/>
      <c r="R3174" s="7">
        <v>0</v>
      </c>
      <c r="S3174" s="7">
        <v>0</v>
      </c>
      <c r="T3174" s="7">
        <f>R3174-S3174</f>
        <v>0</v>
      </c>
      <c r="U3174" s="7">
        <f>T3174*O3174</f>
        <v>0</v>
      </c>
    </row>
    <row r="3175" spans="1:21">
      <c r="A3175" s="4" t="s">
        <v>4186</v>
      </c>
      <c r="B3175" s="4" t="s">
        <v>39</v>
      </c>
      <c r="C3175" s="5">
        <v>45960.32409722222</v>
      </c>
      <c r="D3175" s="5">
        <v>45960</v>
      </c>
      <c r="E3175" s="6">
        <f>IF(AND(C3175&lt;&gt;"",D3175&lt;&gt;""),D3175-C3175,"")</f>
        <v>0</v>
      </c>
      <c r="F3175" s="4" t="s">
        <v>4187</v>
      </c>
      <c r="G3175" s="4" t="s">
        <v>4188</v>
      </c>
      <c r="H3175" s="4" t="s">
        <v>32</v>
      </c>
      <c r="I3175" s="4" t="s">
        <v>33</v>
      </c>
      <c r="J3175" s="4">
        <v>1</v>
      </c>
      <c r="K3175" s="4">
        <v>0</v>
      </c>
      <c r="L3175" s="4">
        <f>J3175+K3175</f>
        <v>0</v>
      </c>
      <c r="M3175" s="4" t="s">
        <v>80</v>
      </c>
      <c r="N3175" s="4"/>
      <c r="O3175" s="4">
        <v>1</v>
      </c>
      <c r="P3175" s="4" t="s">
        <v>135</v>
      </c>
      <c r="Q3175" s="4"/>
      <c r="R3175" s="7">
        <v>610000</v>
      </c>
      <c r="S3175" s="7">
        <v>61000</v>
      </c>
      <c r="T3175" s="7">
        <f>R3175-S3175</f>
        <v>0</v>
      </c>
      <c r="U3175" s="7">
        <f>T3175*O3175</f>
        <v>0</v>
      </c>
    </row>
    <row r="3176" spans="1:21">
      <c r="A3176" s="4" t="s">
        <v>4186</v>
      </c>
      <c r="B3176" s="4" t="s">
        <v>39</v>
      </c>
      <c r="C3176" s="5">
        <v>45960.32409722222</v>
      </c>
      <c r="D3176" s="5">
        <v>45960</v>
      </c>
      <c r="E3176" s="6">
        <f>IF(AND(C3176&lt;&gt;"",D3176&lt;&gt;""),D3176-C3176,"")</f>
        <v>0</v>
      </c>
      <c r="F3176" s="4" t="s">
        <v>4187</v>
      </c>
      <c r="G3176" s="4" t="s">
        <v>4188</v>
      </c>
      <c r="H3176" s="4" t="s">
        <v>32</v>
      </c>
      <c r="I3176" s="4" t="s">
        <v>33</v>
      </c>
      <c r="J3176" s="4">
        <v>0</v>
      </c>
      <c r="K3176" s="4">
        <v>0</v>
      </c>
      <c r="L3176" s="4">
        <f>J3176+K3176</f>
        <v>0</v>
      </c>
      <c r="M3176" s="4" t="s">
        <v>370</v>
      </c>
      <c r="N3176" s="4"/>
      <c r="O3176" s="4">
        <v>1</v>
      </c>
      <c r="P3176" s="4" t="s">
        <v>135</v>
      </c>
      <c r="Q3176" s="4"/>
      <c r="R3176" s="7">
        <v>2000000</v>
      </c>
      <c r="S3176" s="7">
        <v>0</v>
      </c>
      <c r="T3176" s="7">
        <f>R3176-S3176</f>
        <v>0</v>
      </c>
      <c r="U3176" s="7">
        <f>T3176*O3176</f>
        <v>0</v>
      </c>
    </row>
    <row r="3177" spans="1:21">
      <c r="A3177" s="4" t="s">
        <v>4186</v>
      </c>
      <c r="B3177" s="4" t="s">
        <v>39</v>
      </c>
      <c r="C3177" s="5">
        <v>45960.32409722222</v>
      </c>
      <c r="D3177" s="5">
        <v>45960</v>
      </c>
      <c r="E3177" s="6">
        <f>IF(AND(C3177&lt;&gt;"",D3177&lt;&gt;""),D3177-C3177,"")</f>
        <v>0</v>
      </c>
      <c r="F3177" s="4" t="s">
        <v>4187</v>
      </c>
      <c r="G3177" s="4" t="s">
        <v>4188</v>
      </c>
      <c r="H3177" s="4" t="s">
        <v>32</v>
      </c>
      <c r="I3177" s="4" t="s">
        <v>33</v>
      </c>
      <c r="J3177" s="4">
        <v>1</v>
      </c>
      <c r="K3177" s="4">
        <v>0</v>
      </c>
      <c r="L3177" s="4">
        <f>J3177+K3177</f>
        <v>0</v>
      </c>
      <c r="M3177" s="4" t="s">
        <v>42</v>
      </c>
      <c r="N3177" s="4"/>
      <c r="O3177" s="4">
        <v>1</v>
      </c>
      <c r="P3177" s="4" t="s">
        <v>135</v>
      </c>
      <c r="Q3177" s="4"/>
      <c r="R3177" s="7">
        <v>370000</v>
      </c>
      <c r="S3177" s="7">
        <v>37000</v>
      </c>
      <c r="T3177" s="7">
        <f>R3177-S3177</f>
        <v>0</v>
      </c>
      <c r="U3177" s="7">
        <f>T3177*O3177</f>
        <v>0</v>
      </c>
    </row>
    <row r="3178" spans="1:21">
      <c r="A3178" s="4" t="s">
        <v>4189</v>
      </c>
      <c r="B3178" s="4" t="s">
        <v>39</v>
      </c>
      <c r="C3178" s="5">
        <v>45960.32513888889</v>
      </c>
      <c r="D3178" s="5">
        <v>45960</v>
      </c>
      <c r="E3178" s="6">
        <f>IF(AND(C3178&lt;&gt;"",D3178&lt;&gt;""),D3178-C3178,"")</f>
        <v>0</v>
      </c>
      <c r="F3178" s="4" t="s">
        <v>4190</v>
      </c>
      <c r="G3178" s="4" t="s">
        <v>4191</v>
      </c>
      <c r="H3178" s="4" t="s">
        <v>32</v>
      </c>
      <c r="I3178" s="4" t="s">
        <v>33</v>
      </c>
      <c r="J3178" s="4">
        <v>0</v>
      </c>
      <c r="K3178" s="4">
        <v>0</v>
      </c>
      <c r="L3178" s="4">
        <f>J3178+K3178</f>
        <v>0</v>
      </c>
      <c r="M3178" s="4" t="s">
        <v>1080</v>
      </c>
      <c r="N3178" s="4"/>
      <c r="O3178" s="4">
        <v>1</v>
      </c>
      <c r="P3178" s="4" t="s">
        <v>135</v>
      </c>
      <c r="Q3178" s="4" t="s">
        <v>44</v>
      </c>
      <c r="R3178" s="7">
        <v>750000</v>
      </c>
      <c r="S3178" s="7">
        <v>0</v>
      </c>
      <c r="T3178" s="7">
        <f>R3178-S3178</f>
        <v>0</v>
      </c>
      <c r="U3178" s="7">
        <f>T3178*O3178</f>
        <v>0</v>
      </c>
    </row>
    <row r="3179" spans="1:21">
      <c r="A3179" s="4" t="s">
        <v>4192</v>
      </c>
      <c r="B3179" s="4" t="s">
        <v>39</v>
      </c>
      <c r="C3179" s="5">
        <v>45960.33415509259</v>
      </c>
      <c r="D3179" s="5">
        <v>45960</v>
      </c>
      <c r="E3179" s="6">
        <f>IF(AND(C3179&lt;&gt;"",D3179&lt;&gt;""),D3179-C3179,"")</f>
        <v>0</v>
      </c>
      <c r="F3179" s="4" t="s">
        <v>4193</v>
      </c>
      <c r="G3179" s="4" t="s">
        <v>4194</v>
      </c>
      <c r="H3179" s="4" t="s">
        <v>32</v>
      </c>
      <c r="I3179" s="4" t="s">
        <v>33</v>
      </c>
      <c r="J3179" s="4">
        <v>0</v>
      </c>
      <c r="K3179" s="4">
        <v>0</v>
      </c>
      <c r="L3179" s="4">
        <f>J3179+K3179</f>
        <v>0</v>
      </c>
      <c r="M3179" s="4" t="s">
        <v>370</v>
      </c>
      <c r="N3179" s="4"/>
      <c r="O3179" s="4">
        <v>80000000</v>
      </c>
      <c r="P3179" s="4" t="s">
        <v>135</v>
      </c>
      <c r="Q3179" s="4" t="s">
        <v>44</v>
      </c>
      <c r="R3179" s="7">
        <v>0</v>
      </c>
      <c r="S3179" s="7">
        <v>0</v>
      </c>
      <c r="T3179" s="7">
        <f>R3179-S3179</f>
        <v>0</v>
      </c>
      <c r="U3179" s="7">
        <f>T3179*O3179</f>
        <v>0</v>
      </c>
    </row>
    <row r="3180" spans="1:21">
      <c r="A3180" s="4" t="s">
        <v>4195</v>
      </c>
      <c r="B3180" s="4" t="s">
        <v>39</v>
      </c>
      <c r="C3180" s="5">
        <v>45960.33484953704</v>
      </c>
      <c r="D3180" s="5">
        <v>45960</v>
      </c>
      <c r="E3180" s="6">
        <f>IF(AND(C3180&lt;&gt;"",D3180&lt;&gt;""),D3180-C3180,"")</f>
        <v>0</v>
      </c>
      <c r="F3180" s="4" t="s">
        <v>4196</v>
      </c>
      <c r="G3180" s="4" t="s">
        <v>4197</v>
      </c>
      <c r="H3180" s="4" t="s">
        <v>32</v>
      </c>
      <c r="I3180" s="4" t="s">
        <v>33</v>
      </c>
      <c r="J3180" s="4">
        <v>0</v>
      </c>
      <c r="K3180" s="4">
        <v>0</v>
      </c>
      <c r="L3180" s="4">
        <f>J3180+K3180</f>
        <v>0</v>
      </c>
      <c r="M3180" s="4" t="s">
        <v>370</v>
      </c>
      <c r="N3180" s="4"/>
      <c r="O3180" s="4">
        <v>1</v>
      </c>
      <c r="P3180" s="4" t="s">
        <v>135</v>
      </c>
      <c r="Q3180" s="4" t="s">
        <v>44</v>
      </c>
      <c r="R3180" s="7">
        <v>80000000</v>
      </c>
      <c r="S3180" s="7">
        <v>0</v>
      </c>
      <c r="T3180" s="7">
        <f>R3180-S3180</f>
        <v>0</v>
      </c>
      <c r="U3180" s="7">
        <f>T3180*O3180</f>
        <v>0</v>
      </c>
    </row>
    <row r="3181" spans="1:21">
      <c r="A3181" s="4" t="s">
        <v>4198</v>
      </c>
      <c r="B3181" s="4" t="s">
        <v>29</v>
      </c>
      <c r="C3181" s="5">
        <v>45960.55096064815</v>
      </c>
      <c r="D3181" s="5">
        <v>45961</v>
      </c>
      <c r="E3181" s="6">
        <f>IF(AND(C3181&lt;&gt;"",D3181&lt;&gt;""),D3181-C3181,"")</f>
        <v>0</v>
      </c>
      <c r="F3181" s="4" t="s">
        <v>307</v>
      </c>
      <c r="G3181" s="4" t="s">
        <v>308</v>
      </c>
      <c r="H3181" s="4" t="s">
        <v>190</v>
      </c>
      <c r="I3181" s="4" t="s">
        <v>56</v>
      </c>
      <c r="J3181" s="4">
        <v>1</v>
      </c>
      <c r="K3181" s="4">
        <v>0</v>
      </c>
      <c r="L3181" s="4">
        <f>J3181+K3181</f>
        <v>0</v>
      </c>
      <c r="M3181" s="4"/>
      <c r="N3181" s="4"/>
      <c r="O3181" s="4">
        <v>0</v>
      </c>
      <c r="P3181" s="4"/>
      <c r="Q3181" s="4"/>
      <c r="R3181" s="7">
        <v>0</v>
      </c>
      <c r="S3181" s="7">
        <v>0</v>
      </c>
      <c r="T3181" s="7">
        <f>R3181-S3181</f>
        <v>0</v>
      </c>
      <c r="U3181" s="7">
        <f>T3181*O3181</f>
        <v>0</v>
      </c>
    </row>
    <row r="3182" spans="1:21">
      <c r="A3182" s="4" t="s">
        <v>4199</v>
      </c>
      <c r="B3182" s="4" t="s">
        <v>29</v>
      </c>
      <c r="C3182" s="5">
        <v>45960.55134259259</v>
      </c>
      <c r="D3182" s="5">
        <v>45961</v>
      </c>
      <c r="E3182" s="6">
        <f>IF(AND(C3182&lt;&gt;"",D3182&lt;&gt;""),D3182-C3182,"")</f>
        <v>0</v>
      </c>
      <c r="F3182" s="4" t="s">
        <v>307</v>
      </c>
      <c r="G3182" s="4" t="s">
        <v>308</v>
      </c>
      <c r="H3182" s="4" t="s">
        <v>190</v>
      </c>
      <c r="I3182" s="4" t="s">
        <v>56</v>
      </c>
      <c r="J3182" s="4">
        <v>1</v>
      </c>
      <c r="K3182" s="4">
        <v>0</v>
      </c>
      <c r="L3182" s="4">
        <f>J3182+K3182</f>
        <v>0</v>
      </c>
      <c r="M3182" s="4"/>
      <c r="N3182" s="4"/>
      <c r="O3182" s="4">
        <v>0</v>
      </c>
      <c r="P3182" s="4"/>
      <c r="Q3182" s="4"/>
      <c r="R3182" s="7">
        <v>0</v>
      </c>
      <c r="S3182" s="7">
        <v>0</v>
      </c>
      <c r="T3182" s="7">
        <f>R3182-S3182</f>
        <v>0</v>
      </c>
      <c r="U3182" s="7">
        <f>T3182*O3182</f>
        <v>0</v>
      </c>
    </row>
    <row r="3183" spans="1:21">
      <c r="A3183" s="4" t="s">
        <v>4200</v>
      </c>
      <c r="B3183" s="4" t="s">
        <v>39</v>
      </c>
      <c r="C3183" s="5">
        <v>45960.58856481482</v>
      </c>
      <c r="D3183" s="5">
        <v>45960</v>
      </c>
      <c r="E3183" s="6">
        <f>IF(AND(C3183&lt;&gt;"",D3183&lt;&gt;""),D3183-C3183,"")</f>
        <v>0</v>
      </c>
      <c r="F3183" s="4" t="s">
        <v>4201</v>
      </c>
      <c r="G3183" s="4" t="s">
        <v>4202</v>
      </c>
      <c r="H3183" s="4" t="s">
        <v>32</v>
      </c>
      <c r="I3183" s="4" t="s">
        <v>33</v>
      </c>
      <c r="J3183" s="4">
        <v>1</v>
      </c>
      <c r="K3183" s="4">
        <v>0</v>
      </c>
      <c r="L3183" s="4">
        <f>J3183+K3183</f>
        <v>0</v>
      </c>
      <c r="M3183" s="4" t="s">
        <v>80</v>
      </c>
      <c r="N3183" s="4"/>
      <c r="O3183" s="4">
        <v>1</v>
      </c>
      <c r="P3183" s="4" t="s">
        <v>135</v>
      </c>
      <c r="Q3183" s="4" t="s">
        <v>44</v>
      </c>
      <c r="R3183" s="7">
        <v>610000</v>
      </c>
      <c r="S3183" s="7">
        <v>0</v>
      </c>
      <c r="T3183" s="7">
        <f>R3183-S3183</f>
        <v>0</v>
      </c>
      <c r="U3183" s="7">
        <f>T3183*O3183</f>
        <v>0</v>
      </c>
    </row>
    <row r="3184" spans="1:21">
      <c r="A3184" s="4" t="s">
        <v>4200</v>
      </c>
      <c r="B3184" s="4" t="s">
        <v>39</v>
      </c>
      <c r="C3184" s="5">
        <v>45960.58856481482</v>
      </c>
      <c r="D3184" s="5">
        <v>45960</v>
      </c>
      <c r="E3184" s="6">
        <f>IF(AND(C3184&lt;&gt;"",D3184&lt;&gt;""),D3184-C3184,"")</f>
        <v>0</v>
      </c>
      <c r="F3184" s="4" t="s">
        <v>4201</v>
      </c>
      <c r="G3184" s="4" t="s">
        <v>4202</v>
      </c>
      <c r="H3184" s="4" t="s">
        <v>32</v>
      </c>
      <c r="I3184" s="4" t="s">
        <v>33</v>
      </c>
      <c r="J3184" s="4">
        <v>1</v>
      </c>
      <c r="K3184" s="4">
        <v>0</v>
      </c>
      <c r="L3184" s="4">
        <f>J3184+K3184</f>
        <v>0</v>
      </c>
      <c r="M3184" s="4" t="s">
        <v>80</v>
      </c>
      <c r="N3184" s="4"/>
      <c r="O3184" s="4">
        <v>1</v>
      </c>
      <c r="P3184" s="4" t="s">
        <v>135</v>
      </c>
      <c r="Q3184" s="4" t="s">
        <v>44</v>
      </c>
      <c r="R3184" s="7">
        <v>610000</v>
      </c>
      <c r="S3184" s="7">
        <v>61000</v>
      </c>
      <c r="T3184" s="7">
        <f>R3184-S3184</f>
        <v>0</v>
      </c>
      <c r="U3184" s="7">
        <f>T3184*O3184</f>
        <v>0</v>
      </c>
    </row>
    <row r="3185" spans="1:21">
      <c r="A3185" s="4" t="s">
        <v>4203</v>
      </c>
      <c r="B3185" s="4" t="s">
        <v>39</v>
      </c>
      <c r="C3185" s="5">
        <v>45961.13640046296</v>
      </c>
      <c r="D3185" s="5">
        <v>45961</v>
      </c>
      <c r="E3185" s="6">
        <f>IF(AND(C3185&lt;&gt;"",D3185&lt;&gt;""),D3185-C3185,"")</f>
        <v>0</v>
      </c>
      <c r="F3185" s="4" t="s">
        <v>4154</v>
      </c>
      <c r="G3185" s="4" t="s">
        <v>4204</v>
      </c>
      <c r="H3185" s="4" t="s">
        <v>32</v>
      </c>
      <c r="I3185" s="4" t="s">
        <v>33</v>
      </c>
      <c r="J3185" s="4">
        <v>0</v>
      </c>
      <c r="K3185" s="4">
        <v>0</v>
      </c>
      <c r="L3185" s="4">
        <f>J3185+K3185</f>
        <v>0</v>
      </c>
      <c r="M3185" s="4" t="s">
        <v>370</v>
      </c>
      <c r="N3185" s="4"/>
      <c r="O3185" s="4">
        <v>1</v>
      </c>
      <c r="P3185" s="4" t="s">
        <v>135</v>
      </c>
      <c r="Q3185" s="4"/>
      <c r="R3185" s="7">
        <v>10000000</v>
      </c>
      <c r="S3185" s="7">
        <v>0</v>
      </c>
      <c r="T3185" s="7">
        <f>R3185-S3185</f>
        <v>0</v>
      </c>
      <c r="U3185" s="7">
        <f>T3185*O3185</f>
        <v>0</v>
      </c>
    </row>
    <row r="3186" spans="1:21">
      <c r="A3186" s="4" t="s">
        <v>4205</v>
      </c>
      <c r="B3186" s="4" t="s">
        <v>48</v>
      </c>
      <c r="C3186" s="5">
        <v>45961.18940972222</v>
      </c>
      <c r="D3186" s="5">
        <v>45961</v>
      </c>
      <c r="E3186" s="6">
        <f>IF(AND(C3186&lt;&gt;"",D3186&lt;&gt;""),D3186-C3186,"")</f>
        <v>0</v>
      </c>
      <c r="F3186" s="4" t="s">
        <v>64</v>
      </c>
      <c r="G3186" s="4" t="s">
        <v>65</v>
      </c>
      <c r="H3186" s="4" t="s">
        <v>32</v>
      </c>
      <c r="I3186" s="4" t="s">
        <v>33</v>
      </c>
      <c r="J3186" s="4">
        <v>1</v>
      </c>
      <c r="K3186" s="4">
        <v>0</v>
      </c>
      <c r="L3186" s="4">
        <f>J3186+K3186</f>
        <v>0</v>
      </c>
      <c r="M3186" s="4"/>
      <c r="N3186" s="4"/>
      <c r="O3186" s="4">
        <v>0</v>
      </c>
      <c r="P3186" s="4"/>
      <c r="Q3186" s="4"/>
      <c r="R3186" s="7">
        <v>0</v>
      </c>
      <c r="S3186" s="7">
        <v>0</v>
      </c>
      <c r="T3186" s="7">
        <f>R3186-S3186</f>
        <v>0</v>
      </c>
      <c r="U3186" s="7">
        <f>T3186*O3186</f>
        <v>0</v>
      </c>
    </row>
    <row r="3187" spans="1:21">
      <c r="A3187" s="4" t="s">
        <v>4206</v>
      </c>
      <c r="B3187" s="4" t="s">
        <v>48</v>
      </c>
      <c r="C3187" s="5">
        <v>45961.19032407407</v>
      </c>
      <c r="D3187" s="5">
        <v>45961</v>
      </c>
      <c r="E3187" s="6">
        <f>IF(AND(C3187&lt;&gt;"",D3187&lt;&gt;""),D3187-C3187,"")</f>
        <v>0</v>
      </c>
      <c r="F3187" s="4" t="s">
        <v>64</v>
      </c>
      <c r="G3187" s="4" t="s">
        <v>65</v>
      </c>
      <c r="H3187" s="4" t="s">
        <v>32</v>
      </c>
      <c r="I3187" s="4" t="s">
        <v>33</v>
      </c>
      <c r="J3187" s="4">
        <v>1</v>
      </c>
      <c r="K3187" s="4">
        <v>0</v>
      </c>
      <c r="L3187" s="4">
        <f>J3187+K3187</f>
        <v>0</v>
      </c>
      <c r="M3187" s="4"/>
      <c r="N3187" s="4"/>
      <c r="O3187" s="4">
        <v>0</v>
      </c>
      <c r="P3187" s="4"/>
      <c r="Q3187" s="4"/>
      <c r="R3187" s="7">
        <v>0</v>
      </c>
      <c r="S3187" s="7">
        <v>0</v>
      </c>
      <c r="T3187" s="7">
        <f>R3187-S3187</f>
        <v>0</v>
      </c>
      <c r="U3187" s="7">
        <f>T3187*O3187</f>
        <v>0</v>
      </c>
    </row>
    <row r="3188" spans="1:21">
      <c r="A3188" s="4" t="s">
        <v>4207</v>
      </c>
      <c r="B3188" s="4" t="s">
        <v>48</v>
      </c>
      <c r="C3188" s="5">
        <v>45961.19177083333</v>
      </c>
      <c r="D3188" s="5">
        <v>45961</v>
      </c>
      <c r="E3188" s="6">
        <f>IF(AND(C3188&lt;&gt;"",D3188&lt;&gt;""),D3188-C3188,"")</f>
        <v>0</v>
      </c>
      <c r="F3188" s="4" t="s">
        <v>64</v>
      </c>
      <c r="G3188" s="4" t="s">
        <v>65</v>
      </c>
      <c r="H3188" s="4" t="s">
        <v>32</v>
      </c>
      <c r="I3188" s="4" t="s">
        <v>33</v>
      </c>
      <c r="J3188" s="4">
        <v>2</v>
      </c>
      <c r="K3188" s="4">
        <v>0</v>
      </c>
      <c r="L3188" s="4">
        <f>J3188+K3188</f>
        <v>0</v>
      </c>
      <c r="M3188" s="4"/>
      <c r="N3188" s="4"/>
      <c r="O3188" s="4">
        <v>0</v>
      </c>
      <c r="P3188" s="4"/>
      <c r="Q3188" s="4"/>
      <c r="R3188" s="7">
        <v>0</v>
      </c>
      <c r="S3188" s="7">
        <v>0</v>
      </c>
      <c r="T3188" s="7">
        <f>R3188-S3188</f>
        <v>0</v>
      </c>
      <c r="U3188" s="7">
        <f>T3188*O3188</f>
        <v>0</v>
      </c>
    </row>
    <row r="3189" spans="1:21">
      <c r="A3189" s="4" t="s">
        <v>4208</v>
      </c>
      <c r="B3189" s="4" t="s">
        <v>39</v>
      </c>
      <c r="C3189" s="5">
        <v>45961.30748842593</v>
      </c>
      <c r="D3189" s="5">
        <v>45961</v>
      </c>
      <c r="E3189" s="6">
        <f>IF(AND(C3189&lt;&gt;"",D3189&lt;&gt;""),D3189-C3189,"")</f>
        <v>0</v>
      </c>
      <c r="F3189" s="4" t="s">
        <v>3812</v>
      </c>
      <c r="G3189" s="4" t="s">
        <v>4209</v>
      </c>
      <c r="H3189" s="4" t="s">
        <v>32</v>
      </c>
      <c r="I3189" s="4" t="s">
        <v>33</v>
      </c>
      <c r="J3189" s="4">
        <v>2</v>
      </c>
      <c r="K3189" s="4">
        <v>0</v>
      </c>
      <c r="L3189" s="4">
        <f>J3189+K3189</f>
        <v>0</v>
      </c>
      <c r="M3189" s="4" t="s">
        <v>80</v>
      </c>
      <c r="N3189" s="4"/>
      <c r="O3189" s="4">
        <v>2</v>
      </c>
      <c r="P3189" s="4" t="s">
        <v>135</v>
      </c>
      <c r="Q3189" s="4"/>
      <c r="R3189" s="7">
        <v>610000</v>
      </c>
      <c r="S3189" s="7">
        <v>0</v>
      </c>
      <c r="T3189" s="7">
        <f>R3189-S3189</f>
        <v>0</v>
      </c>
      <c r="U3189" s="7">
        <f>T3189*O3189</f>
        <v>0</v>
      </c>
    </row>
    <row r="3190" spans="1:21">
      <c r="A3190" s="4" t="s">
        <v>4208</v>
      </c>
      <c r="B3190" s="4" t="s">
        <v>39</v>
      </c>
      <c r="C3190" s="5">
        <v>45961.30748842593</v>
      </c>
      <c r="D3190" s="5">
        <v>45961</v>
      </c>
      <c r="E3190" s="6">
        <f>IF(AND(C3190&lt;&gt;"",D3190&lt;&gt;""),D3190-C3190,"")</f>
        <v>0</v>
      </c>
      <c r="F3190" s="4" t="s">
        <v>3812</v>
      </c>
      <c r="G3190" s="4" t="s">
        <v>4209</v>
      </c>
      <c r="H3190" s="4" t="s">
        <v>32</v>
      </c>
      <c r="I3190" s="4" t="s">
        <v>33</v>
      </c>
      <c r="J3190" s="4">
        <v>0</v>
      </c>
      <c r="K3190" s="4">
        <v>0</v>
      </c>
      <c r="L3190" s="4">
        <f>J3190+K3190</f>
        <v>0</v>
      </c>
      <c r="M3190" s="4" t="s">
        <v>370</v>
      </c>
      <c r="N3190" s="4"/>
      <c r="O3190" s="4">
        <v>1</v>
      </c>
      <c r="P3190" s="4" t="s">
        <v>135</v>
      </c>
      <c r="Q3190" s="4"/>
      <c r="R3190" s="7">
        <v>4000000</v>
      </c>
      <c r="S3190" s="7">
        <v>0</v>
      </c>
      <c r="T3190" s="7">
        <f>R3190-S3190</f>
        <v>0</v>
      </c>
      <c r="U3190" s="7">
        <f>T3190*O3190</f>
        <v>0</v>
      </c>
    </row>
    <row r="3191" spans="1:21">
      <c r="A3191" s="4" t="s">
        <v>4210</v>
      </c>
      <c r="B3191" s="4" t="s">
        <v>39</v>
      </c>
      <c r="C3191" s="5">
        <v>45961.31123842593</v>
      </c>
      <c r="D3191" s="5">
        <v>45961</v>
      </c>
      <c r="E3191" s="6">
        <f>IF(AND(C3191&lt;&gt;"",D3191&lt;&gt;""),D3191-C3191,"")</f>
        <v>0</v>
      </c>
      <c r="F3191" s="4" t="s">
        <v>3812</v>
      </c>
      <c r="G3191" s="4" t="s">
        <v>4209</v>
      </c>
      <c r="H3191" s="4" t="s">
        <v>32</v>
      </c>
      <c r="I3191" s="4" t="s">
        <v>33</v>
      </c>
      <c r="J3191" s="4">
        <v>0</v>
      </c>
      <c r="K3191" s="4">
        <v>0</v>
      </c>
      <c r="L3191" s="4">
        <f>J3191+K3191</f>
        <v>0</v>
      </c>
      <c r="M3191" s="4" t="s">
        <v>370</v>
      </c>
      <c r="N3191" s="4"/>
      <c r="O3191" s="4">
        <v>1</v>
      </c>
      <c r="P3191" s="4" t="s">
        <v>135</v>
      </c>
      <c r="Q3191" s="4"/>
      <c r="R3191" s="7">
        <v>100000</v>
      </c>
      <c r="S3191" s="7">
        <v>0</v>
      </c>
      <c r="T3191" s="7">
        <f>R3191-S3191</f>
        <v>0</v>
      </c>
      <c r="U3191" s="7">
        <f>T3191*O3191</f>
        <v>0</v>
      </c>
    </row>
    <row r="3192" spans="1:21">
      <c r="A3192" s="4" t="s">
        <v>4211</v>
      </c>
      <c r="B3192" s="4" t="s">
        <v>39</v>
      </c>
      <c r="C3192" s="5">
        <v>45961.33255787037</v>
      </c>
      <c r="D3192" s="5">
        <v>45961</v>
      </c>
      <c r="E3192" s="6">
        <f>IF(AND(C3192&lt;&gt;"",D3192&lt;&gt;""),D3192-C3192,"")</f>
        <v>0</v>
      </c>
      <c r="F3192" s="4" t="s">
        <v>4212</v>
      </c>
      <c r="G3192" s="4" t="s">
        <v>4213</v>
      </c>
      <c r="H3192" s="4" t="s">
        <v>32</v>
      </c>
      <c r="I3192" s="4" t="s">
        <v>33</v>
      </c>
      <c r="J3192" s="4">
        <v>0</v>
      </c>
      <c r="K3192" s="4">
        <v>0</v>
      </c>
      <c r="L3192" s="4">
        <f>J3192+K3192</f>
        <v>0</v>
      </c>
      <c r="M3192" s="4" t="s">
        <v>370</v>
      </c>
      <c r="N3192" s="4"/>
      <c r="O3192" s="4">
        <v>1</v>
      </c>
      <c r="P3192" s="4" t="s">
        <v>135</v>
      </c>
      <c r="Q3192" s="4"/>
      <c r="R3192" s="7">
        <v>1000000</v>
      </c>
      <c r="S3192" s="7">
        <v>0</v>
      </c>
      <c r="T3192" s="7">
        <f>R3192-S3192</f>
        <v>0</v>
      </c>
      <c r="U3192" s="7">
        <f>T3192*O3192</f>
        <v>0</v>
      </c>
    </row>
    <row r="3193" spans="1:21">
      <c r="A3193" s="4" t="s">
        <v>4214</v>
      </c>
      <c r="B3193" s="4" t="s">
        <v>39</v>
      </c>
      <c r="C3193" s="5">
        <v>45961.36641203704</v>
      </c>
      <c r="D3193" s="5">
        <v>45961</v>
      </c>
      <c r="E3193" s="6">
        <f>IF(AND(C3193&lt;&gt;"",D3193&lt;&gt;""),D3193-C3193,"")</f>
        <v>0</v>
      </c>
      <c r="F3193" s="4" t="s">
        <v>2884</v>
      </c>
      <c r="G3193" s="4" t="s">
        <v>4215</v>
      </c>
      <c r="H3193" s="4" t="s">
        <v>32</v>
      </c>
      <c r="I3193" s="4" t="s">
        <v>33</v>
      </c>
      <c r="J3193" s="4">
        <v>1</v>
      </c>
      <c r="K3193" s="4">
        <v>0</v>
      </c>
      <c r="L3193" s="4">
        <f>J3193+K3193</f>
        <v>0</v>
      </c>
      <c r="M3193" s="4" t="s">
        <v>80</v>
      </c>
      <c r="N3193" s="4"/>
      <c r="O3193" s="4">
        <v>1</v>
      </c>
      <c r="P3193" s="4" t="s">
        <v>135</v>
      </c>
      <c r="Q3193" s="4"/>
      <c r="R3193" s="7">
        <v>610000</v>
      </c>
      <c r="S3193" s="7">
        <v>122000</v>
      </c>
      <c r="T3193" s="7">
        <f>R3193-S3193</f>
        <v>0</v>
      </c>
      <c r="U3193" s="7">
        <f>T3193*O3193</f>
        <v>0</v>
      </c>
    </row>
    <row r="3194" spans="1:21">
      <c r="A3194" s="4" t="s">
        <v>4216</v>
      </c>
      <c r="B3194" s="4" t="s">
        <v>39</v>
      </c>
      <c r="C3194" s="5">
        <v>45961.36641203704</v>
      </c>
      <c r="D3194" s="5">
        <v>45961</v>
      </c>
      <c r="E3194" s="6">
        <f>IF(AND(C3194&lt;&gt;"",D3194&lt;&gt;""),D3194-C3194,"")</f>
        <v>0</v>
      </c>
      <c r="F3194" s="4" t="s">
        <v>2884</v>
      </c>
      <c r="G3194" s="4" t="s">
        <v>4215</v>
      </c>
      <c r="H3194" s="4" t="s">
        <v>32</v>
      </c>
      <c r="I3194" s="4" t="s">
        <v>33</v>
      </c>
      <c r="J3194" s="4">
        <v>1</v>
      </c>
      <c r="K3194" s="4">
        <v>0</v>
      </c>
      <c r="L3194" s="4">
        <f>J3194+K3194</f>
        <v>0</v>
      </c>
      <c r="M3194" s="4" t="s">
        <v>80</v>
      </c>
      <c r="N3194" s="4"/>
      <c r="O3194" s="4">
        <v>1</v>
      </c>
      <c r="P3194" s="4" t="s">
        <v>135</v>
      </c>
      <c r="Q3194" s="4"/>
      <c r="R3194" s="7">
        <v>610000</v>
      </c>
      <c r="S3194" s="7">
        <v>122000</v>
      </c>
      <c r="T3194" s="7">
        <f>R3194-S3194</f>
        <v>0</v>
      </c>
      <c r="U3194" s="7">
        <f>T3194*O3194</f>
        <v>0</v>
      </c>
    </row>
    <row r="3195" spans="1:21">
      <c r="A3195" s="4" t="s">
        <v>4217</v>
      </c>
      <c r="B3195" s="4" t="s">
        <v>39</v>
      </c>
      <c r="C3195" s="5">
        <v>45961.37135416667</v>
      </c>
      <c r="D3195" s="5">
        <v>45961</v>
      </c>
      <c r="E3195" s="6">
        <f>IF(AND(C3195&lt;&gt;"",D3195&lt;&gt;""),D3195-C3195,"")</f>
        <v>0</v>
      </c>
      <c r="F3195" s="4" t="s">
        <v>4218</v>
      </c>
      <c r="G3195" s="4" t="s">
        <v>4219</v>
      </c>
      <c r="H3195" s="4" t="s">
        <v>32</v>
      </c>
      <c r="I3195" s="4" t="s">
        <v>33</v>
      </c>
      <c r="J3195" s="4">
        <v>1</v>
      </c>
      <c r="K3195" s="4">
        <v>0</v>
      </c>
      <c r="L3195" s="4">
        <f>J3195+K3195</f>
        <v>0</v>
      </c>
      <c r="M3195" s="4" t="s">
        <v>1645</v>
      </c>
      <c r="N3195" s="4"/>
      <c r="O3195" s="4">
        <v>1</v>
      </c>
      <c r="P3195" s="4" t="s">
        <v>135</v>
      </c>
      <c r="Q3195" s="4"/>
      <c r="R3195" s="7">
        <v>2100000</v>
      </c>
      <c r="S3195" s="7">
        <v>0</v>
      </c>
      <c r="T3195" s="7">
        <f>R3195-S3195</f>
        <v>0</v>
      </c>
      <c r="U3195" s="7">
        <f>T3195*O3195</f>
        <v>0</v>
      </c>
    </row>
    <row r="3196" spans="1:21">
      <c r="A3196" s="4" t="s">
        <v>4220</v>
      </c>
      <c r="B3196" s="4" t="s">
        <v>39</v>
      </c>
      <c r="C3196" s="5">
        <v>45961.37690972222</v>
      </c>
      <c r="D3196" s="5">
        <v>45961</v>
      </c>
      <c r="E3196" s="6">
        <f>IF(AND(C3196&lt;&gt;"",D3196&lt;&gt;""),D3196-C3196,"")</f>
        <v>0</v>
      </c>
      <c r="F3196" s="4" t="s">
        <v>4221</v>
      </c>
      <c r="G3196" s="4" t="s">
        <v>4222</v>
      </c>
      <c r="H3196" s="4" t="s">
        <v>32</v>
      </c>
      <c r="I3196" s="4" t="s">
        <v>33</v>
      </c>
      <c r="J3196" s="4">
        <v>0</v>
      </c>
      <c r="K3196" s="4">
        <v>0</v>
      </c>
      <c r="L3196" s="4">
        <f>J3196+K3196</f>
        <v>0</v>
      </c>
      <c r="M3196" s="4" t="s">
        <v>370</v>
      </c>
      <c r="N3196" s="4"/>
      <c r="O3196" s="4">
        <v>1</v>
      </c>
      <c r="P3196" s="4" t="s">
        <v>135</v>
      </c>
      <c r="Q3196" s="4"/>
      <c r="R3196" s="7">
        <v>2000000</v>
      </c>
      <c r="S3196" s="7">
        <v>0</v>
      </c>
      <c r="T3196" s="7">
        <f>R3196-S3196</f>
        <v>0</v>
      </c>
      <c r="U3196" s="7">
        <f>T3196*O3196</f>
        <v>0</v>
      </c>
    </row>
    <row r="3197" spans="1:21">
      <c r="A3197" s="4" t="s">
        <v>4223</v>
      </c>
      <c r="B3197" s="4" t="s">
        <v>39</v>
      </c>
      <c r="C3197" s="5">
        <v>45961.38106481481</v>
      </c>
      <c r="D3197" s="5">
        <v>45961</v>
      </c>
      <c r="E3197" s="6">
        <f>IF(AND(C3197&lt;&gt;"",D3197&lt;&gt;""),D3197-C3197,"")</f>
        <v>0</v>
      </c>
      <c r="F3197" s="4" t="s">
        <v>4224</v>
      </c>
      <c r="G3197" s="4" t="s">
        <v>4225</v>
      </c>
      <c r="H3197" s="4" t="s">
        <v>32</v>
      </c>
      <c r="I3197" s="4" t="s">
        <v>33</v>
      </c>
      <c r="J3197" s="4">
        <v>2</v>
      </c>
      <c r="K3197" s="4">
        <v>0</v>
      </c>
      <c r="L3197" s="4">
        <f>J3197+K3197</f>
        <v>0</v>
      </c>
      <c r="M3197" s="4" t="s">
        <v>80</v>
      </c>
      <c r="N3197" s="4"/>
      <c r="O3197" s="4">
        <v>2</v>
      </c>
      <c r="P3197" s="4" t="s">
        <v>135</v>
      </c>
      <c r="Q3197" s="4"/>
      <c r="R3197" s="7">
        <v>610000</v>
      </c>
      <c r="S3197" s="7">
        <v>0</v>
      </c>
      <c r="T3197" s="7">
        <f>R3197-S3197</f>
        <v>0</v>
      </c>
      <c r="U3197" s="7">
        <f>T3197*O3197</f>
        <v>0</v>
      </c>
    </row>
    <row r="3198" spans="1:21">
      <c r="A3198" s="4" t="s">
        <v>4223</v>
      </c>
      <c r="B3198" s="4" t="s">
        <v>39</v>
      </c>
      <c r="C3198" s="5">
        <v>45961.38106481481</v>
      </c>
      <c r="D3198" s="5">
        <v>45961</v>
      </c>
      <c r="E3198" s="6">
        <f>IF(AND(C3198&lt;&gt;"",D3198&lt;&gt;""),D3198-C3198,"")</f>
        <v>0</v>
      </c>
      <c r="F3198" s="4" t="s">
        <v>4224</v>
      </c>
      <c r="G3198" s="4" t="s">
        <v>4225</v>
      </c>
      <c r="H3198" s="4" t="s">
        <v>32</v>
      </c>
      <c r="I3198" s="4" t="s">
        <v>33</v>
      </c>
      <c r="J3198" s="4">
        <v>1</v>
      </c>
      <c r="K3198" s="4">
        <v>0</v>
      </c>
      <c r="L3198" s="4">
        <f>J3198+K3198</f>
        <v>0</v>
      </c>
      <c r="M3198" s="4" t="s">
        <v>80</v>
      </c>
      <c r="N3198" s="4"/>
      <c r="O3198" s="4">
        <v>1</v>
      </c>
      <c r="P3198" s="4" t="s">
        <v>135</v>
      </c>
      <c r="Q3198" s="4"/>
      <c r="R3198" s="7">
        <v>610000</v>
      </c>
      <c r="S3198" s="7">
        <v>0</v>
      </c>
      <c r="T3198" s="7">
        <f>R3198-S3198</f>
        <v>0</v>
      </c>
      <c r="U3198" s="7">
        <f>T3198*O3198</f>
        <v>0</v>
      </c>
    </row>
    <row r="3199" spans="1:21">
      <c r="A3199" s="4" t="s">
        <v>4226</v>
      </c>
      <c r="B3199" s="4" t="s">
        <v>39</v>
      </c>
      <c r="C3199" s="5">
        <v>45961.41260416667</v>
      </c>
      <c r="D3199" s="5">
        <v>45961</v>
      </c>
      <c r="E3199" s="6">
        <f>IF(AND(C3199&lt;&gt;"",D3199&lt;&gt;""),D3199-C3199,"")</f>
        <v>0</v>
      </c>
      <c r="F3199" s="4" t="s">
        <v>4227</v>
      </c>
      <c r="G3199" s="4" t="s">
        <v>4228</v>
      </c>
      <c r="H3199" s="4" t="s">
        <v>32</v>
      </c>
      <c r="I3199" s="4" t="s">
        <v>33</v>
      </c>
      <c r="J3199" s="4">
        <v>0</v>
      </c>
      <c r="K3199" s="4">
        <v>0</v>
      </c>
      <c r="L3199" s="4">
        <f>J3199+K3199</f>
        <v>0</v>
      </c>
      <c r="M3199" s="4" t="s">
        <v>370</v>
      </c>
      <c r="N3199" s="4"/>
      <c r="O3199" s="4">
        <v>1</v>
      </c>
      <c r="P3199" s="4" t="s">
        <v>135</v>
      </c>
      <c r="Q3199" s="4"/>
      <c r="R3199" s="7">
        <v>1000000</v>
      </c>
      <c r="S3199" s="7">
        <v>0</v>
      </c>
      <c r="T3199" s="7">
        <f>R3199-S3199</f>
        <v>0</v>
      </c>
      <c r="U3199" s="7">
        <f>T3199*O3199</f>
        <v>0</v>
      </c>
    </row>
    <row r="3200" spans="1:21">
      <c r="A3200" s="4" t="s">
        <v>4229</v>
      </c>
      <c r="B3200" s="4" t="s">
        <v>39</v>
      </c>
      <c r="C3200" s="5">
        <v>45961.44625</v>
      </c>
      <c r="D3200" s="5">
        <v>45961</v>
      </c>
      <c r="E3200" s="6">
        <f>IF(AND(C3200&lt;&gt;"",D3200&lt;&gt;""),D3200-C3200,"")</f>
        <v>0</v>
      </c>
      <c r="F3200" s="4" t="s">
        <v>4230</v>
      </c>
      <c r="G3200" s="4" t="s">
        <v>4231</v>
      </c>
      <c r="H3200" s="4" t="s">
        <v>32</v>
      </c>
      <c r="I3200" s="4" t="s">
        <v>33</v>
      </c>
      <c r="J3200" s="4">
        <v>1</v>
      </c>
      <c r="K3200" s="4">
        <v>0</v>
      </c>
      <c r="L3200" s="4">
        <f>J3200+K3200</f>
        <v>0</v>
      </c>
      <c r="M3200" s="4" t="s">
        <v>2291</v>
      </c>
      <c r="N3200" s="4"/>
      <c r="O3200" s="4">
        <v>1</v>
      </c>
      <c r="P3200" s="4" t="s">
        <v>135</v>
      </c>
      <c r="Q3200" s="4" t="s">
        <v>44</v>
      </c>
      <c r="R3200" s="7">
        <v>1300000</v>
      </c>
      <c r="S3200" s="7">
        <v>0</v>
      </c>
      <c r="T3200" s="7">
        <f>R3200-S3200</f>
        <v>0</v>
      </c>
      <c r="U3200" s="7">
        <f>T3200*O3200</f>
        <v>0</v>
      </c>
    </row>
    <row r="3201" spans="1:21">
      <c r="A3201" s="4" t="s">
        <v>4232</v>
      </c>
      <c r="B3201" s="4" t="s">
        <v>39</v>
      </c>
      <c r="C3201" s="5">
        <v>45961.49561342593</v>
      </c>
      <c r="D3201" s="5">
        <v>45961</v>
      </c>
      <c r="E3201" s="6">
        <f>IF(AND(C3201&lt;&gt;"",D3201&lt;&gt;""),D3201-C3201,"")</f>
        <v>0</v>
      </c>
      <c r="F3201" s="4" t="s">
        <v>4233</v>
      </c>
      <c r="G3201" s="4" t="s">
        <v>4234</v>
      </c>
      <c r="H3201" s="4" t="s">
        <v>32</v>
      </c>
      <c r="I3201" s="4" t="s">
        <v>33</v>
      </c>
      <c r="J3201" s="4">
        <v>1</v>
      </c>
      <c r="K3201" s="4">
        <v>0</v>
      </c>
      <c r="L3201" s="4">
        <f>J3201+K3201</f>
        <v>0</v>
      </c>
      <c r="M3201" s="4" t="s">
        <v>2291</v>
      </c>
      <c r="N3201" s="4"/>
      <c r="O3201" s="4">
        <v>1</v>
      </c>
      <c r="P3201" s="4" t="s">
        <v>135</v>
      </c>
      <c r="Q3201" s="4" t="s">
        <v>44</v>
      </c>
      <c r="R3201" s="7">
        <v>1300000</v>
      </c>
      <c r="S3201" s="7">
        <v>0</v>
      </c>
      <c r="T3201" s="7">
        <f>R3201-S3201</f>
        <v>0</v>
      </c>
      <c r="U3201" s="7">
        <f>T3201*O3201</f>
        <v>0</v>
      </c>
    </row>
    <row r="3202" spans="1:21">
      <c r="A3202" s="4" t="s">
        <v>4235</v>
      </c>
      <c r="B3202" s="4" t="s">
        <v>39</v>
      </c>
      <c r="C3202" s="5">
        <v>45961.50878472222</v>
      </c>
      <c r="D3202" s="5">
        <v>45961</v>
      </c>
      <c r="E3202" s="6">
        <f>IF(AND(C3202&lt;&gt;"",D3202&lt;&gt;""),D3202-C3202,"")</f>
        <v>0</v>
      </c>
      <c r="F3202" s="4" t="s">
        <v>4236</v>
      </c>
      <c r="G3202" s="4" t="s">
        <v>4237</v>
      </c>
      <c r="H3202" s="4" t="s">
        <v>32</v>
      </c>
      <c r="I3202" s="4" t="s">
        <v>33</v>
      </c>
      <c r="J3202" s="4">
        <v>1</v>
      </c>
      <c r="K3202" s="4">
        <v>0</v>
      </c>
      <c r="L3202" s="4">
        <f>J3202+K3202</f>
        <v>0</v>
      </c>
      <c r="M3202" s="4" t="s">
        <v>2291</v>
      </c>
      <c r="N3202" s="4"/>
      <c r="O3202" s="4">
        <v>1</v>
      </c>
      <c r="P3202" s="4" t="s">
        <v>135</v>
      </c>
      <c r="Q3202" s="4" t="s">
        <v>3213</v>
      </c>
      <c r="R3202" s="7">
        <v>1300000</v>
      </c>
      <c r="S3202" s="7">
        <v>0</v>
      </c>
      <c r="T3202" s="7">
        <f>R3202-S3202</f>
        <v>0</v>
      </c>
      <c r="U3202" s="7">
        <f>T3202*O3202</f>
        <v>0</v>
      </c>
    </row>
    <row r="3203" spans="1:21">
      <c r="A3203" s="4" t="s">
        <v>4238</v>
      </c>
      <c r="B3203" s="4" t="s">
        <v>39</v>
      </c>
      <c r="C3203" s="5">
        <v>45961.50930555556</v>
      </c>
      <c r="D3203" s="5">
        <v>45961</v>
      </c>
      <c r="E3203" s="6">
        <f>IF(AND(C3203&lt;&gt;"",D3203&lt;&gt;""),D3203-C3203,"")</f>
        <v>0</v>
      </c>
      <c r="F3203" s="4" t="s">
        <v>4239</v>
      </c>
      <c r="G3203" s="4" t="s">
        <v>4240</v>
      </c>
      <c r="H3203" s="4" t="s">
        <v>32</v>
      </c>
      <c r="I3203" s="4" t="s">
        <v>33</v>
      </c>
      <c r="J3203" s="4">
        <v>1</v>
      </c>
      <c r="K3203" s="4">
        <v>0</v>
      </c>
      <c r="L3203" s="4">
        <f>J3203+K3203</f>
        <v>0</v>
      </c>
      <c r="M3203" s="4" t="s">
        <v>2291</v>
      </c>
      <c r="N3203" s="4"/>
      <c r="O3203" s="4">
        <v>1</v>
      </c>
      <c r="P3203" s="4" t="s">
        <v>135</v>
      </c>
      <c r="Q3203" s="4" t="s">
        <v>44</v>
      </c>
      <c r="R3203" s="7">
        <v>1300000</v>
      </c>
      <c r="S3203" s="7">
        <v>0</v>
      </c>
      <c r="T3203" s="7">
        <f>R3203-S3203</f>
        <v>0</v>
      </c>
      <c r="U3203" s="7">
        <f>T3203*O3203</f>
        <v>0</v>
      </c>
    </row>
    <row r="3204" spans="1:21">
      <c r="A3204" s="4" t="s">
        <v>4241</v>
      </c>
      <c r="B3204" s="4" t="s">
        <v>39</v>
      </c>
      <c r="C3204" s="5">
        <v>45961.5112962963</v>
      </c>
      <c r="D3204" s="5">
        <v>45961</v>
      </c>
      <c r="E3204" s="6">
        <f>IF(AND(C3204&lt;&gt;"",D3204&lt;&gt;""),D3204-C3204,"")</f>
        <v>0</v>
      </c>
      <c r="F3204" s="4" t="s">
        <v>4242</v>
      </c>
      <c r="G3204" s="4" t="s">
        <v>4243</v>
      </c>
      <c r="H3204" s="4" t="s">
        <v>32</v>
      </c>
      <c r="I3204" s="4" t="s">
        <v>33</v>
      </c>
      <c r="J3204" s="4">
        <v>1</v>
      </c>
      <c r="K3204" s="4">
        <v>0</v>
      </c>
      <c r="L3204" s="4">
        <f>J3204+K3204</f>
        <v>0</v>
      </c>
      <c r="M3204" s="4" t="s">
        <v>2291</v>
      </c>
      <c r="N3204" s="4"/>
      <c r="O3204" s="4">
        <v>1</v>
      </c>
      <c r="P3204" s="4" t="s">
        <v>135</v>
      </c>
      <c r="Q3204" s="4" t="s">
        <v>3213</v>
      </c>
      <c r="R3204" s="7">
        <v>1300000</v>
      </c>
      <c r="S3204" s="7">
        <v>0</v>
      </c>
      <c r="T3204" s="7">
        <f>R3204-S3204</f>
        <v>0</v>
      </c>
      <c r="U3204" s="7">
        <f>T3204*O3204</f>
        <v>0</v>
      </c>
    </row>
    <row r="3205" spans="1:21">
      <c r="A3205" s="4" t="s">
        <v>4244</v>
      </c>
      <c r="B3205" s="4" t="s">
        <v>39</v>
      </c>
      <c r="C3205" s="5">
        <v>45961.51579861111</v>
      </c>
      <c r="D3205" s="5">
        <v>45961</v>
      </c>
      <c r="E3205" s="6">
        <f>IF(AND(C3205&lt;&gt;"",D3205&lt;&gt;""),D3205-C3205,"")</f>
        <v>0</v>
      </c>
      <c r="F3205" s="4" t="s">
        <v>4245</v>
      </c>
      <c r="G3205" s="4" t="s">
        <v>4246</v>
      </c>
      <c r="H3205" s="4" t="s">
        <v>32</v>
      </c>
      <c r="I3205" s="4" t="s">
        <v>33</v>
      </c>
      <c r="J3205" s="4">
        <v>1</v>
      </c>
      <c r="K3205" s="4">
        <v>0</v>
      </c>
      <c r="L3205" s="4">
        <f>J3205+K3205</f>
        <v>0</v>
      </c>
      <c r="M3205" s="4" t="s">
        <v>2291</v>
      </c>
      <c r="N3205" s="4"/>
      <c r="O3205" s="4">
        <v>1</v>
      </c>
      <c r="P3205" s="4" t="s">
        <v>135</v>
      </c>
      <c r="Q3205" s="4" t="s">
        <v>4048</v>
      </c>
      <c r="R3205" s="7">
        <v>1053000</v>
      </c>
      <c r="S3205" s="7">
        <v>0</v>
      </c>
      <c r="T3205" s="7">
        <f>R3205-S3205</f>
        <v>0</v>
      </c>
      <c r="U3205" s="7">
        <f>T3205*O3205</f>
        <v>0</v>
      </c>
    </row>
    <row r="3206" spans="1:21">
      <c r="A3206" s="4" t="s">
        <v>4247</v>
      </c>
      <c r="B3206" s="4" t="s">
        <v>39</v>
      </c>
      <c r="C3206" s="5">
        <v>45961.51815972223</v>
      </c>
      <c r="D3206" s="5">
        <v>45961</v>
      </c>
      <c r="E3206" s="6">
        <f>IF(AND(C3206&lt;&gt;"",D3206&lt;&gt;""),D3206-C3206,"")</f>
        <v>0</v>
      </c>
      <c r="F3206" s="4" t="s">
        <v>4248</v>
      </c>
      <c r="G3206" s="4" t="s">
        <v>4249</v>
      </c>
      <c r="H3206" s="4" t="s">
        <v>32</v>
      </c>
      <c r="I3206" s="4" t="s">
        <v>33</v>
      </c>
      <c r="J3206" s="4">
        <v>1</v>
      </c>
      <c r="K3206" s="4">
        <v>0</v>
      </c>
      <c r="L3206" s="4">
        <f>J3206+K3206</f>
        <v>0</v>
      </c>
      <c r="M3206" s="4" t="s">
        <v>2291</v>
      </c>
      <c r="N3206" s="4"/>
      <c r="O3206" s="4">
        <v>1</v>
      </c>
      <c r="P3206" s="4" t="s">
        <v>135</v>
      </c>
      <c r="Q3206" s="4" t="s">
        <v>4048</v>
      </c>
      <c r="R3206" s="7">
        <v>1053000</v>
      </c>
      <c r="S3206" s="7">
        <v>0</v>
      </c>
      <c r="T3206" s="7">
        <f>R3206-S3206</f>
        <v>0</v>
      </c>
      <c r="U3206" s="7">
        <f>T3206*O3206</f>
        <v>0</v>
      </c>
    </row>
    <row r="3207" spans="1:21">
      <c r="A3207" s="4" t="s">
        <v>4250</v>
      </c>
      <c r="B3207" s="4" t="s">
        <v>39</v>
      </c>
      <c r="C3207" s="5">
        <v>45961.52166666667</v>
      </c>
      <c r="D3207" s="5">
        <v>45961</v>
      </c>
      <c r="E3207" s="6">
        <f>IF(AND(C3207&lt;&gt;"",D3207&lt;&gt;""),D3207-C3207,"")</f>
        <v>0</v>
      </c>
      <c r="F3207" s="4" t="s">
        <v>4251</v>
      </c>
      <c r="G3207" s="4" t="s">
        <v>4252</v>
      </c>
      <c r="H3207" s="4" t="s">
        <v>32</v>
      </c>
      <c r="I3207" s="4" t="s">
        <v>33</v>
      </c>
      <c r="J3207" s="4">
        <v>1</v>
      </c>
      <c r="K3207" s="4">
        <v>0</v>
      </c>
      <c r="L3207" s="4">
        <f>J3207+K3207</f>
        <v>0</v>
      </c>
      <c r="M3207" s="4" t="s">
        <v>2291</v>
      </c>
      <c r="N3207" s="4"/>
      <c r="O3207" s="4">
        <v>1</v>
      </c>
      <c r="P3207" s="4" t="s">
        <v>135</v>
      </c>
      <c r="Q3207" s="4" t="s">
        <v>4048</v>
      </c>
      <c r="R3207" s="7">
        <v>1053000</v>
      </c>
      <c r="S3207" s="7">
        <v>0</v>
      </c>
      <c r="T3207" s="7">
        <f>R3207-S3207</f>
        <v>0</v>
      </c>
      <c r="U3207" s="7">
        <f>T3207*O3207</f>
        <v>0</v>
      </c>
    </row>
    <row r="3208" spans="1:21">
      <c r="A3208" s="4" t="s">
        <v>4253</v>
      </c>
      <c r="B3208" s="4" t="s">
        <v>39</v>
      </c>
      <c r="C3208" s="5">
        <v>45961.52993055555</v>
      </c>
      <c r="D3208" s="5">
        <v>45961</v>
      </c>
      <c r="E3208" s="6">
        <f>IF(AND(C3208&lt;&gt;"",D3208&lt;&gt;""),D3208-C3208,"")</f>
        <v>0</v>
      </c>
      <c r="F3208" s="4" t="s">
        <v>4254</v>
      </c>
      <c r="G3208" s="4" t="s">
        <v>4255</v>
      </c>
      <c r="H3208" s="4" t="s">
        <v>32</v>
      </c>
      <c r="I3208" s="4" t="s">
        <v>33</v>
      </c>
      <c r="J3208" s="4">
        <v>0</v>
      </c>
      <c r="K3208" s="4">
        <v>0</v>
      </c>
      <c r="L3208" s="4">
        <f>J3208+K3208</f>
        <v>0</v>
      </c>
      <c r="M3208" s="4" t="s">
        <v>1533</v>
      </c>
      <c r="N3208" s="4"/>
      <c r="O3208" s="4">
        <v>1</v>
      </c>
      <c r="P3208" s="4" t="s">
        <v>135</v>
      </c>
      <c r="Q3208" s="4"/>
      <c r="R3208" s="7">
        <v>108000</v>
      </c>
      <c r="S3208" s="7">
        <v>0</v>
      </c>
      <c r="T3208" s="7">
        <f>R3208-S3208</f>
        <v>0</v>
      </c>
      <c r="U3208" s="7">
        <f>T3208*O3208</f>
        <v>0</v>
      </c>
    </row>
    <row r="3209" spans="1:21">
      <c r="A3209" s="4" t="s">
        <v>4253</v>
      </c>
      <c r="B3209" s="4" t="s">
        <v>39</v>
      </c>
      <c r="C3209" s="5">
        <v>45961.52993055555</v>
      </c>
      <c r="D3209" s="5">
        <v>45961</v>
      </c>
      <c r="E3209" s="6">
        <f>IF(AND(C3209&lt;&gt;"",D3209&lt;&gt;""),D3209-C3209,"")</f>
        <v>0</v>
      </c>
      <c r="F3209" s="4" t="s">
        <v>4254</v>
      </c>
      <c r="G3209" s="4" t="s">
        <v>4255</v>
      </c>
      <c r="H3209" s="4" t="s">
        <v>32</v>
      </c>
      <c r="I3209" s="4" t="s">
        <v>33</v>
      </c>
      <c r="J3209" s="4">
        <v>0</v>
      </c>
      <c r="K3209" s="4">
        <v>0</v>
      </c>
      <c r="L3209" s="4">
        <f>J3209+K3209</f>
        <v>0</v>
      </c>
      <c r="M3209" s="4" t="s">
        <v>1533</v>
      </c>
      <c r="N3209" s="4"/>
      <c r="O3209" s="4">
        <v>1</v>
      </c>
      <c r="P3209" s="4" t="s">
        <v>135</v>
      </c>
      <c r="Q3209" s="4"/>
      <c r="R3209" s="7">
        <v>108000</v>
      </c>
      <c r="S3209" s="7">
        <v>0</v>
      </c>
      <c r="T3209" s="7">
        <f>R3209-S3209</f>
        <v>0</v>
      </c>
      <c r="U3209" s="7">
        <f>T3209*O3209</f>
        <v>0</v>
      </c>
    </row>
    <row r="3210" spans="1:21">
      <c r="A3210" s="4" t="s">
        <v>4253</v>
      </c>
      <c r="B3210" s="4" t="s">
        <v>39</v>
      </c>
      <c r="C3210" s="5">
        <v>45961.52993055555</v>
      </c>
      <c r="D3210" s="5">
        <v>45961</v>
      </c>
      <c r="E3210" s="6">
        <f>IF(AND(C3210&lt;&gt;"",D3210&lt;&gt;""),D3210-C3210,"")</f>
        <v>0</v>
      </c>
      <c r="F3210" s="4" t="s">
        <v>4254</v>
      </c>
      <c r="G3210" s="4" t="s">
        <v>4255</v>
      </c>
      <c r="H3210" s="4" t="s">
        <v>32</v>
      </c>
      <c r="I3210" s="4" t="s">
        <v>33</v>
      </c>
      <c r="J3210" s="4">
        <v>0</v>
      </c>
      <c r="K3210" s="4">
        <v>0</v>
      </c>
      <c r="L3210" s="4">
        <f>J3210+K3210</f>
        <v>0</v>
      </c>
      <c r="M3210" s="4" t="s">
        <v>1777</v>
      </c>
      <c r="N3210" s="4"/>
      <c r="O3210" s="4">
        <v>1</v>
      </c>
      <c r="P3210" s="4" t="s">
        <v>135</v>
      </c>
      <c r="Q3210" s="4"/>
      <c r="R3210" s="7">
        <v>122000</v>
      </c>
      <c r="S3210" s="7">
        <v>0</v>
      </c>
      <c r="T3210" s="7">
        <f>R3210-S3210</f>
        <v>0</v>
      </c>
      <c r="U3210" s="7">
        <f>T3210*O3210</f>
        <v>0</v>
      </c>
    </row>
    <row r="3211" spans="1:21">
      <c r="A3211" s="4" t="s">
        <v>4253</v>
      </c>
      <c r="B3211" s="4" t="s">
        <v>39</v>
      </c>
      <c r="C3211" s="5">
        <v>45961.52993055555</v>
      </c>
      <c r="D3211" s="5">
        <v>45961</v>
      </c>
      <c r="E3211" s="6">
        <f>IF(AND(C3211&lt;&gt;"",D3211&lt;&gt;""),D3211-C3211,"")</f>
        <v>0</v>
      </c>
      <c r="F3211" s="4" t="s">
        <v>4254</v>
      </c>
      <c r="G3211" s="4" t="s">
        <v>4255</v>
      </c>
      <c r="H3211" s="4" t="s">
        <v>32</v>
      </c>
      <c r="I3211" s="4" t="s">
        <v>33</v>
      </c>
      <c r="J3211" s="4">
        <v>0</v>
      </c>
      <c r="K3211" s="4">
        <v>0</v>
      </c>
      <c r="L3211" s="4">
        <f>J3211+K3211</f>
        <v>0</v>
      </c>
      <c r="M3211" s="4" t="s">
        <v>1420</v>
      </c>
      <c r="N3211" s="4"/>
      <c r="O3211" s="4">
        <v>1</v>
      </c>
      <c r="P3211" s="4" t="s">
        <v>135</v>
      </c>
      <c r="Q3211" s="4"/>
      <c r="R3211" s="7">
        <v>108000</v>
      </c>
      <c r="S3211" s="7">
        <v>0</v>
      </c>
      <c r="T3211" s="7">
        <f>R3211-S3211</f>
        <v>0</v>
      </c>
      <c r="U3211" s="7">
        <f>T3211*O3211</f>
        <v>0</v>
      </c>
    </row>
    <row r="3212" spans="1:21">
      <c r="A3212" s="4" t="s">
        <v>4253</v>
      </c>
      <c r="B3212" s="4" t="s">
        <v>39</v>
      </c>
      <c r="C3212" s="5">
        <v>45961.52993055555</v>
      </c>
      <c r="D3212" s="5">
        <v>45961</v>
      </c>
      <c r="E3212" s="6">
        <f>IF(AND(C3212&lt;&gt;"",D3212&lt;&gt;""),D3212-C3212,"")</f>
        <v>0</v>
      </c>
      <c r="F3212" s="4" t="s">
        <v>4254</v>
      </c>
      <c r="G3212" s="4" t="s">
        <v>4255</v>
      </c>
      <c r="H3212" s="4" t="s">
        <v>32</v>
      </c>
      <c r="I3212" s="4" t="s">
        <v>33</v>
      </c>
      <c r="J3212" s="4">
        <v>0</v>
      </c>
      <c r="K3212" s="4">
        <v>0</v>
      </c>
      <c r="L3212" s="4">
        <f>J3212+K3212</f>
        <v>0</v>
      </c>
      <c r="M3212" s="4" t="s">
        <v>3897</v>
      </c>
      <c r="N3212" s="4"/>
      <c r="O3212" s="4">
        <v>1</v>
      </c>
      <c r="P3212" s="4" t="s">
        <v>135</v>
      </c>
      <c r="Q3212" s="4"/>
      <c r="R3212" s="7">
        <v>135000</v>
      </c>
      <c r="S3212" s="7">
        <v>0</v>
      </c>
      <c r="T3212" s="7">
        <f>R3212-S3212</f>
        <v>0</v>
      </c>
      <c r="U3212" s="7">
        <f>T3212*O3212</f>
        <v>0</v>
      </c>
    </row>
    <row r="3213" spans="1:21">
      <c r="A3213" s="4" t="s">
        <v>4253</v>
      </c>
      <c r="B3213" s="4" t="s">
        <v>39</v>
      </c>
      <c r="C3213" s="5">
        <v>45961.52993055555</v>
      </c>
      <c r="D3213" s="5">
        <v>45961</v>
      </c>
      <c r="E3213" s="6">
        <f>IF(AND(C3213&lt;&gt;"",D3213&lt;&gt;""),D3213-C3213,"")</f>
        <v>0</v>
      </c>
      <c r="F3213" s="4" t="s">
        <v>4254</v>
      </c>
      <c r="G3213" s="4" t="s">
        <v>4255</v>
      </c>
      <c r="H3213" s="4" t="s">
        <v>32</v>
      </c>
      <c r="I3213" s="4" t="s">
        <v>33</v>
      </c>
      <c r="J3213" s="4">
        <v>0</v>
      </c>
      <c r="K3213" s="4">
        <v>0</v>
      </c>
      <c r="L3213" s="4">
        <f>J3213+K3213</f>
        <v>0</v>
      </c>
      <c r="M3213" s="4" t="s">
        <v>1777</v>
      </c>
      <c r="N3213" s="4"/>
      <c r="O3213" s="4">
        <v>1</v>
      </c>
      <c r="P3213" s="4" t="s">
        <v>135</v>
      </c>
      <c r="Q3213" s="4"/>
      <c r="R3213" s="7">
        <v>122000</v>
      </c>
      <c r="S3213" s="7">
        <v>0</v>
      </c>
      <c r="T3213" s="7">
        <f>R3213-S3213</f>
        <v>0</v>
      </c>
      <c r="U3213" s="7">
        <f>T3213*O3213</f>
        <v>0</v>
      </c>
    </row>
    <row r="3214" spans="1:21">
      <c r="A3214" s="4" t="s">
        <v>4256</v>
      </c>
      <c r="B3214" s="4" t="s">
        <v>39</v>
      </c>
      <c r="C3214" s="5">
        <v>45961.53392361111</v>
      </c>
      <c r="D3214" s="5">
        <v>45961</v>
      </c>
      <c r="E3214" s="6">
        <f>IF(AND(C3214&lt;&gt;"",D3214&lt;&gt;""),D3214-C3214,"")</f>
        <v>0</v>
      </c>
      <c r="F3214" s="4" t="s">
        <v>4257</v>
      </c>
      <c r="G3214" s="4" t="s">
        <v>4258</v>
      </c>
      <c r="H3214" s="4" t="s">
        <v>32</v>
      </c>
      <c r="I3214" s="4" t="s">
        <v>33</v>
      </c>
      <c r="J3214" s="4">
        <v>1</v>
      </c>
      <c r="K3214" s="4">
        <v>0</v>
      </c>
      <c r="L3214" s="4">
        <f>J3214+K3214</f>
        <v>0</v>
      </c>
      <c r="M3214" s="4" t="s">
        <v>2291</v>
      </c>
      <c r="N3214" s="4"/>
      <c r="O3214" s="4">
        <v>1</v>
      </c>
      <c r="P3214" s="4" t="s">
        <v>135</v>
      </c>
      <c r="Q3214" s="4" t="s">
        <v>44</v>
      </c>
      <c r="R3214" s="7">
        <v>1300000</v>
      </c>
      <c r="S3214" s="7">
        <v>0</v>
      </c>
      <c r="T3214" s="7">
        <f>R3214-S3214</f>
        <v>0</v>
      </c>
      <c r="U3214" s="7">
        <f>T3214*O3214</f>
        <v>0</v>
      </c>
    </row>
    <row r="3215" spans="1:21">
      <c r="A3215" s="4" t="s">
        <v>4259</v>
      </c>
      <c r="B3215" s="4" t="s">
        <v>39</v>
      </c>
      <c r="C3215" s="5">
        <v>45961.53418981482</v>
      </c>
      <c r="D3215" s="5">
        <v>45961</v>
      </c>
      <c r="E3215" s="6">
        <f>IF(AND(C3215&lt;&gt;"",D3215&lt;&gt;""),D3215-C3215,"")</f>
        <v>0</v>
      </c>
      <c r="F3215" s="4" t="s">
        <v>4260</v>
      </c>
      <c r="G3215" s="4" t="s">
        <v>4261</v>
      </c>
      <c r="H3215" s="4" t="s">
        <v>190</v>
      </c>
      <c r="I3215" s="4" t="s">
        <v>56</v>
      </c>
      <c r="J3215" s="4">
        <v>1</v>
      </c>
      <c r="K3215" s="4">
        <v>0</v>
      </c>
      <c r="L3215" s="4">
        <f>J3215+K3215</f>
        <v>0</v>
      </c>
      <c r="M3215" s="4" t="s">
        <v>1645</v>
      </c>
      <c r="N3215" s="4"/>
      <c r="O3215" s="4">
        <v>1</v>
      </c>
      <c r="P3215" s="4" t="s">
        <v>135</v>
      </c>
      <c r="Q3215" s="4" t="s">
        <v>44</v>
      </c>
      <c r="R3215" s="7">
        <v>2100000</v>
      </c>
      <c r="S3215" s="7">
        <v>0</v>
      </c>
      <c r="T3215" s="7">
        <f>R3215-S3215</f>
        <v>0</v>
      </c>
      <c r="U3215" s="7">
        <f>T3215*O3215</f>
        <v>0</v>
      </c>
    </row>
    <row r="3216" spans="1:21">
      <c r="A3216" s="4" t="s">
        <v>4262</v>
      </c>
      <c r="B3216" s="4" t="s">
        <v>39</v>
      </c>
      <c r="C3216" s="5">
        <v>45961.56696759259</v>
      </c>
      <c r="D3216" s="5">
        <v>45961</v>
      </c>
      <c r="E3216" s="6">
        <f>IF(AND(C3216&lt;&gt;"",D3216&lt;&gt;""),D3216-C3216,"")</f>
        <v>0</v>
      </c>
      <c r="F3216" s="4" t="s">
        <v>4263</v>
      </c>
      <c r="G3216" s="4" t="s">
        <v>4264</v>
      </c>
      <c r="H3216" s="4" t="s">
        <v>32</v>
      </c>
      <c r="I3216" s="4" t="s">
        <v>33</v>
      </c>
      <c r="J3216" s="4">
        <v>1</v>
      </c>
      <c r="K3216" s="4">
        <v>0</v>
      </c>
      <c r="L3216" s="4">
        <f>J3216+K3216</f>
        <v>0</v>
      </c>
      <c r="M3216" s="4" t="s">
        <v>2291</v>
      </c>
      <c r="N3216" s="4"/>
      <c r="O3216" s="4">
        <v>1</v>
      </c>
      <c r="P3216" s="4" t="s">
        <v>135</v>
      </c>
      <c r="Q3216" s="4" t="s">
        <v>3213</v>
      </c>
      <c r="R3216" s="7">
        <v>1300000</v>
      </c>
      <c r="S3216" s="7">
        <v>0</v>
      </c>
      <c r="T3216" s="7">
        <f>R3216-S3216</f>
        <v>0</v>
      </c>
      <c r="U3216" s="7">
        <f>T3216*O3216</f>
        <v>0</v>
      </c>
    </row>
    <row r="3217" spans="1:21">
      <c r="A3217" s="4" t="s">
        <v>4265</v>
      </c>
      <c r="B3217" s="4" t="s">
        <v>39</v>
      </c>
      <c r="C3217" s="5">
        <v>45961.67013888889</v>
      </c>
      <c r="D3217" s="5">
        <v>45961</v>
      </c>
      <c r="E3217" s="6">
        <f>IF(AND(C3217&lt;&gt;"",D3217&lt;&gt;""),D3217-C3217,"")</f>
        <v>0</v>
      </c>
      <c r="F3217" s="4" t="s">
        <v>4266</v>
      </c>
      <c r="G3217" s="4" t="s">
        <v>4267</v>
      </c>
      <c r="H3217" s="4" t="s">
        <v>32</v>
      </c>
      <c r="I3217" s="4" t="s">
        <v>33</v>
      </c>
      <c r="J3217" s="4">
        <v>1</v>
      </c>
      <c r="K3217" s="4">
        <v>0</v>
      </c>
      <c r="L3217" s="4">
        <f>J3217+K3217</f>
        <v>0</v>
      </c>
      <c r="M3217" s="4" t="s">
        <v>42</v>
      </c>
      <c r="N3217" s="4"/>
      <c r="O3217" s="4">
        <v>1</v>
      </c>
      <c r="P3217" s="4" t="s">
        <v>135</v>
      </c>
      <c r="Q3217" s="4"/>
      <c r="R3217" s="7">
        <v>370000</v>
      </c>
      <c r="S3217" s="7">
        <v>0</v>
      </c>
      <c r="T3217" s="7">
        <f>R3217-S3217</f>
        <v>0</v>
      </c>
      <c r="U3217" s="7">
        <f>T3217*O3217</f>
        <v>0</v>
      </c>
    </row>
    <row r="3218" spans="1:21">
      <c r="A3218" s="4" t="s">
        <v>4265</v>
      </c>
      <c r="B3218" s="4" t="s">
        <v>39</v>
      </c>
      <c r="C3218" s="5">
        <v>45961.67013888889</v>
      </c>
      <c r="D3218" s="5">
        <v>45961</v>
      </c>
      <c r="E3218" s="6">
        <f>IF(AND(C3218&lt;&gt;"",D3218&lt;&gt;""),D3218-C3218,"")</f>
        <v>0</v>
      </c>
      <c r="F3218" s="4" t="s">
        <v>4266</v>
      </c>
      <c r="G3218" s="4" t="s">
        <v>4267</v>
      </c>
      <c r="H3218" s="4" t="s">
        <v>32</v>
      </c>
      <c r="I3218" s="4" t="s">
        <v>33</v>
      </c>
      <c r="J3218" s="4">
        <v>0</v>
      </c>
      <c r="K3218" s="4">
        <v>0</v>
      </c>
      <c r="L3218" s="4">
        <f>J3218+K3218</f>
        <v>0</v>
      </c>
      <c r="M3218" s="4" t="s">
        <v>1080</v>
      </c>
      <c r="N3218" s="4"/>
      <c r="O3218" s="4">
        <v>1</v>
      </c>
      <c r="P3218" s="4" t="s">
        <v>135</v>
      </c>
      <c r="Q3218" s="4"/>
      <c r="R3218" s="7">
        <v>750000</v>
      </c>
      <c r="S3218" s="7">
        <v>0</v>
      </c>
      <c r="T3218" s="7">
        <f>R3218-S3218</f>
        <v>0</v>
      </c>
      <c r="U3218" s="7">
        <f>T3218*O3218</f>
        <v>0</v>
      </c>
    </row>
    <row r="3219" spans="1:21">
      <c r="A3219" s="4" t="s">
        <v>4265</v>
      </c>
      <c r="B3219" s="4" t="s">
        <v>39</v>
      </c>
      <c r="C3219" s="5">
        <v>45961.67013888889</v>
      </c>
      <c r="D3219" s="5">
        <v>45961</v>
      </c>
      <c r="E3219" s="6">
        <f>IF(AND(C3219&lt;&gt;"",D3219&lt;&gt;""),D3219-C3219,"")</f>
        <v>0</v>
      </c>
      <c r="F3219" s="4" t="s">
        <v>4266</v>
      </c>
      <c r="G3219" s="4" t="s">
        <v>4267</v>
      </c>
      <c r="H3219" s="4" t="s">
        <v>32</v>
      </c>
      <c r="I3219" s="4" t="s">
        <v>33</v>
      </c>
      <c r="J3219" s="4">
        <v>0</v>
      </c>
      <c r="K3219" s="4">
        <v>0</v>
      </c>
      <c r="L3219" s="4">
        <f>J3219+K3219</f>
        <v>0</v>
      </c>
      <c r="M3219" s="4" t="s">
        <v>370</v>
      </c>
      <c r="N3219" s="4"/>
      <c r="O3219" s="4">
        <v>1</v>
      </c>
      <c r="P3219" s="4" t="s">
        <v>135</v>
      </c>
      <c r="Q3219" s="4"/>
      <c r="R3219" s="7">
        <v>4000000</v>
      </c>
      <c r="S3219" s="7">
        <v>0</v>
      </c>
      <c r="T3219" s="7">
        <f>R3219-S3219</f>
        <v>0</v>
      </c>
      <c r="U3219" s="7">
        <f>T3219*O3219</f>
        <v>0</v>
      </c>
    </row>
    <row r="3220" spans="1:21">
      <c r="A3220" s="4" t="s">
        <v>4268</v>
      </c>
      <c r="B3220" s="4" t="s">
        <v>39</v>
      </c>
      <c r="C3220" s="5">
        <v>45961.68386574074</v>
      </c>
      <c r="D3220" s="5">
        <v>45961</v>
      </c>
      <c r="E3220" s="6">
        <f>IF(AND(C3220&lt;&gt;"",D3220&lt;&gt;""),D3220-C3220,"")</f>
        <v>0</v>
      </c>
      <c r="F3220" s="4" t="s">
        <v>4269</v>
      </c>
      <c r="G3220" s="4" t="s">
        <v>4270</v>
      </c>
      <c r="H3220" s="4" t="s">
        <v>32</v>
      </c>
      <c r="I3220" s="4" t="s">
        <v>33</v>
      </c>
      <c r="J3220" s="4">
        <v>1</v>
      </c>
      <c r="K3220" s="4">
        <v>0</v>
      </c>
      <c r="L3220" s="4">
        <f>J3220+K3220</f>
        <v>0</v>
      </c>
      <c r="M3220" s="4" t="s">
        <v>42</v>
      </c>
      <c r="N3220" s="4"/>
      <c r="O3220" s="4">
        <v>1</v>
      </c>
      <c r="P3220" s="4" t="s">
        <v>135</v>
      </c>
      <c r="Q3220" s="4"/>
      <c r="R3220" s="7">
        <v>370000</v>
      </c>
      <c r="S3220" s="7">
        <v>0</v>
      </c>
      <c r="T3220" s="7">
        <f>R3220-S3220</f>
        <v>0</v>
      </c>
      <c r="U3220" s="7">
        <f>T3220*O3220</f>
        <v>0</v>
      </c>
    </row>
    <row r="3221" spans="1:21">
      <c r="A3221" s="4" t="s">
        <v>4268</v>
      </c>
      <c r="B3221" s="4" t="s">
        <v>39</v>
      </c>
      <c r="C3221" s="5">
        <v>45961.68386574074</v>
      </c>
      <c r="D3221" s="5">
        <v>45961</v>
      </c>
      <c r="E3221" s="6">
        <f>IF(AND(C3221&lt;&gt;"",D3221&lt;&gt;""),D3221-C3221,"")</f>
        <v>0</v>
      </c>
      <c r="F3221" s="4" t="s">
        <v>4269</v>
      </c>
      <c r="G3221" s="4" t="s">
        <v>4270</v>
      </c>
      <c r="H3221" s="4" t="s">
        <v>32</v>
      </c>
      <c r="I3221" s="4" t="s">
        <v>33</v>
      </c>
      <c r="J3221" s="4">
        <v>0</v>
      </c>
      <c r="K3221" s="4">
        <v>0</v>
      </c>
      <c r="L3221" s="4">
        <f>J3221+K3221</f>
        <v>0</v>
      </c>
      <c r="M3221" s="4" t="s">
        <v>370</v>
      </c>
      <c r="N3221" s="4"/>
      <c r="O3221" s="4">
        <v>1</v>
      </c>
      <c r="P3221" s="4" t="s">
        <v>135</v>
      </c>
      <c r="Q3221" s="4"/>
      <c r="R3221" s="7">
        <v>1000000</v>
      </c>
      <c r="S3221" s="7">
        <v>0</v>
      </c>
      <c r="T3221" s="7">
        <f>R3221-S3221</f>
        <v>0</v>
      </c>
      <c r="U3221" s="7">
        <f>T3221*O3221</f>
        <v>0</v>
      </c>
    </row>
    <row r="3222" spans="1:21">
      <c r="A3222" s="4" t="s">
        <v>4268</v>
      </c>
      <c r="B3222" s="4" t="s">
        <v>39</v>
      </c>
      <c r="C3222" s="5">
        <v>45961.68386574074</v>
      </c>
      <c r="D3222" s="5">
        <v>45961</v>
      </c>
      <c r="E3222" s="6">
        <f>IF(AND(C3222&lt;&gt;"",D3222&lt;&gt;""),D3222-C3222,"")</f>
        <v>0</v>
      </c>
      <c r="F3222" s="4" t="s">
        <v>4269</v>
      </c>
      <c r="G3222" s="4" t="s">
        <v>4270</v>
      </c>
      <c r="H3222" s="4" t="s">
        <v>32</v>
      </c>
      <c r="I3222" s="4" t="s">
        <v>33</v>
      </c>
      <c r="J3222" s="4">
        <v>0</v>
      </c>
      <c r="K3222" s="4">
        <v>0</v>
      </c>
      <c r="L3222" s="4">
        <f>J3222+K3222</f>
        <v>0</v>
      </c>
      <c r="M3222" s="4" t="s">
        <v>1080</v>
      </c>
      <c r="N3222" s="4"/>
      <c r="O3222" s="4">
        <v>1</v>
      </c>
      <c r="P3222" s="4" t="s">
        <v>135</v>
      </c>
      <c r="Q3222" s="4"/>
      <c r="R3222" s="7">
        <v>750000</v>
      </c>
      <c r="S3222" s="7">
        <v>0</v>
      </c>
      <c r="T3222" s="7">
        <f>R3222-S3222</f>
        <v>0</v>
      </c>
      <c r="U3222" s="7">
        <f>T3222*O3222</f>
        <v>0</v>
      </c>
    </row>
    <row r="3223" spans="1:21">
      <c r="A3223" s="4" t="s">
        <v>4271</v>
      </c>
      <c r="B3223" s="4" t="s">
        <v>39</v>
      </c>
      <c r="C3223" s="5">
        <v>45961.68809027778</v>
      </c>
      <c r="D3223" s="5">
        <v>45961</v>
      </c>
      <c r="E3223" s="6">
        <f>IF(AND(C3223&lt;&gt;"",D3223&lt;&gt;""),D3223-C3223,"")</f>
        <v>0</v>
      </c>
      <c r="F3223" s="4" t="s">
        <v>4272</v>
      </c>
      <c r="G3223" s="4" t="s">
        <v>4273</v>
      </c>
      <c r="H3223" s="4" t="s">
        <v>32</v>
      </c>
      <c r="I3223" s="4" t="s">
        <v>33</v>
      </c>
      <c r="J3223" s="4">
        <v>1</v>
      </c>
      <c r="K3223" s="4">
        <v>0</v>
      </c>
      <c r="L3223" s="4">
        <f>J3223+K3223</f>
        <v>0</v>
      </c>
      <c r="M3223" s="4" t="s">
        <v>42</v>
      </c>
      <c r="N3223" s="4"/>
      <c r="O3223" s="4">
        <v>1</v>
      </c>
      <c r="P3223" s="4" t="s">
        <v>135</v>
      </c>
      <c r="Q3223" s="4"/>
      <c r="R3223" s="7">
        <v>370000</v>
      </c>
      <c r="S3223" s="7">
        <v>0</v>
      </c>
      <c r="T3223" s="7">
        <f>R3223-S3223</f>
        <v>0</v>
      </c>
      <c r="U3223" s="7">
        <f>T3223*O3223</f>
        <v>0</v>
      </c>
    </row>
    <row r="3224" spans="1:21">
      <c r="A3224" s="4" t="s">
        <v>4271</v>
      </c>
      <c r="B3224" s="4" t="s">
        <v>39</v>
      </c>
      <c r="C3224" s="5">
        <v>45961.68809027778</v>
      </c>
      <c r="D3224" s="5">
        <v>45961</v>
      </c>
      <c r="E3224" s="6">
        <f>IF(AND(C3224&lt;&gt;"",D3224&lt;&gt;""),D3224-C3224,"")</f>
        <v>0</v>
      </c>
      <c r="F3224" s="4" t="s">
        <v>4272</v>
      </c>
      <c r="G3224" s="4" t="s">
        <v>4273</v>
      </c>
      <c r="H3224" s="4" t="s">
        <v>32</v>
      </c>
      <c r="I3224" s="4" t="s">
        <v>33</v>
      </c>
      <c r="J3224" s="4">
        <v>0</v>
      </c>
      <c r="K3224" s="4">
        <v>0</v>
      </c>
      <c r="L3224" s="4">
        <f>J3224+K3224</f>
        <v>0</v>
      </c>
      <c r="M3224" s="4" t="s">
        <v>370</v>
      </c>
      <c r="N3224" s="4"/>
      <c r="O3224" s="4">
        <v>1</v>
      </c>
      <c r="P3224" s="4" t="s">
        <v>135</v>
      </c>
      <c r="Q3224" s="4"/>
      <c r="R3224" s="7">
        <v>0</v>
      </c>
      <c r="S3224" s="7">
        <v>0</v>
      </c>
      <c r="T3224" s="7">
        <f>R3224-S3224</f>
        <v>0</v>
      </c>
      <c r="U3224" s="7">
        <f>T3224*O3224</f>
        <v>0</v>
      </c>
    </row>
    <row r="3225" spans="1:21">
      <c r="A3225" s="4" t="s">
        <v>4271</v>
      </c>
      <c r="B3225" s="4" t="s">
        <v>39</v>
      </c>
      <c r="C3225" s="5">
        <v>45961.68809027778</v>
      </c>
      <c r="D3225" s="5">
        <v>45961</v>
      </c>
      <c r="E3225" s="6">
        <f>IF(AND(C3225&lt;&gt;"",D3225&lt;&gt;""),D3225-C3225,"")</f>
        <v>0</v>
      </c>
      <c r="F3225" s="4" t="s">
        <v>4272</v>
      </c>
      <c r="G3225" s="4" t="s">
        <v>4273</v>
      </c>
      <c r="H3225" s="4" t="s">
        <v>32</v>
      </c>
      <c r="I3225" s="4" t="s">
        <v>33</v>
      </c>
      <c r="J3225" s="4">
        <v>0</v>
      </c>
      <c r="K3225" s="4">
        <v>0</v>
      </c>
      <c r="L3225" s="4">
        <f>J3225+K3225</f>
        <v>0</v>
      </c>
      <c r="M3225" s="4" t="s">
        <v>1080</v>
      </c>
      <c r="N3225" s="4"/>
      <c r="O3225" s="4">
        <v>1</v>
      </c>
      <c r="P3225" s="4" t="s">
        <v>135</v>
      </c>
      <c r="Q3225" s="4"/>
      <c r="R3225" s="7">
        <v>750000</v>
      </c>
      <c r="S3225" s="7">
        <v>0</v>
      </c>
      <c r="T3225" s="7">
        <f>R3225-S3225</f>
        <v>0</v>
      </c>
      <c r="U3225" s="7">
        <f>T3225*O3225</f>
        <v>0</v>
      </c>
    </row>
    <row r="3226" spans="1:21">
      <c r="A3226" s="4" t="s">
        <v>4274</v>
      </c>
      <c r="B3226" s="4" t="s">
        <v>39</v>
      </c>
      <c r="C3226" s="5">
        <v>45961.69148148148</v>
      </c>
      <c r="D3226" s="5">
        <v>45961</v>
      </c>
      <c r="E3226" s="6">
        <f>IF(AND(C3226&lt;&gt;"",D3226&lt;&gt;""),D3226-C3226,"")</f>
        <v>0</v>
      </c>
      <c r="F3226" s="4" t="s">
        <v>4275</v>
      </c>
      <c r="G3226" s="4" t="s">
        <v>4276</v>
      </c>
      <c r="H3226" s="4" t="s">
        <v>32</v>
      </c>
      <c r="I3226" s="4" t="s">
        <v>33</v>
      </c>
      <c r="J3226" s="4">
        <v>1</v>
      </c>
      <c r="K3226" s="4">
        <v>0</v>
      </c>
      <c r="L3226" s="4">
        <f>J3226+K3226</f>
        <v>0</v>
      </c>
      <c r="M3226" s="4" t="s">
        <v>1645</v>
      </c>
      <c r="N3226" s="4"/>
      <c r="O3226" s="4">
        <v>1</v>
      </c>
      <c r="P3226" s="4" t="s">
        <v>135</v>
      </c>
      <c r="Q3226" s="4"/>
      <c r="R3226" s="7">
        <v>2100000</v>
      </c>
      <c r="S3226" s="7">
        <v>0</v>
      </c>
      <c r="T3226" s="7">
        <f>R3226-S3226</f>
        <v>0</v>
      </c>
      <c r="U3226" s="7">
        <f>T3226*O3226</f>
        <v>0</v>
      </c>
    </row>
    <row r="3227" spans="1:21">
      <c r="A3227" s="4" t="s">
        <v>4274</v>
      </c>
      <c r="B3227" s="4" t="s">
        <v>39</v>
      </c>
      <c r="C3227" s="5">
        <v>45961.69148148148</v>
      </c>
      <c r="D3227" s="5">
        <v>45961</v>
      </c>
      <c r="E3227" s="6">
        <f>IF(AND(C3227&lt;&gt;"",D3227&lt;&gt;""),D3227-C3227,"")</f>
        <v>0</v>
      </c>
      <c r="F3227" s="4" t="s">
        <v>4275</v>
      </c>
      <c r="G3227" s="4" t="s">
        <v>4276</v>
      </c>
      <c r="H3227" s="4" t="s">
        <v>32</v>
      </c>
      <c r="I3227" s="4" t="s">
        <v>33</v>
      </c>
      <c r="J3227" s="4">
        <v>0</v>
      </c>
      <c r="K3227" s="4">
        <v>0</v>
      </c>
      <c r="L3227" s="4">
        <f>J3227+K3227</f>
        <v>0</v>
      </c>
      <c r="M3227" s="4" t="s">
        <v>370</v>
      </c>
      <c r="N3227" s="4"/>
      <c r="O3227" s="4">
        <v>1</v>
      </c>
      <c r="P3227" s="4" t="s">
        <v>135</v>
      </c>
      <c r="Q3227" s="4"/>
      <c r="R3227" s="7">
        <v>4000000</v>
      </c>
      <c r="S3227" s="7">
        <v>0</v>
      </c>
      <c r="T3227" s="7">
        <f>R3227-S3227</f>
        <v>0</v>
      </c>
      <c r="U3227" s="7">
        <f>T3227*O3227</f>
        <v>0</v>
      </c>
    </row>
    <row r="3228" spans="1:21">
      <c r="A3228" s="4" t="s">
        <v>4274</v>
      </c>
      <c r="B3228" s="4" t="s">
        <v>39</v>
      </c>
      <c r="C3228" s="5">
        <v>45961.69148148148</v>
      </c>
      <c r="D3228" s="5">
        <v>45961</v>
      </c>
      <c r="E3228" s="6">
        <f>IF(AND(C3228&lt;&gt;"",D3228&lt;&gt;""),D3228-C3228,"")</f>
        <v>0</v>
      </c>
      <c r="F3228" s="4" t="s">
        <v>4275</v>
      </c>
      <c r="G3228" s="4" t="s">
        <v>4276</v>
      </c>
      <c r="H3228" s="4" t="s">
        <v>32</v>
      </c>
      <c r="I3228" s="4" t="s">
        <v>33</v>
      </c>
      <c r="J3228" s="4">
        <v>0</v>
      </c>
      <c r="K3228" s="4">
        <v>0</v>
      </c>
      <c r="L3228" s="4">
        <f>J3228+K3228</f>
        <v>0</v>
      </c>
      <c r="M3228" s="4" t="s">
        <v>1080</v>
      </c>
      <c r="N3228" s="4"/>
      <c r="O3228" s="4">
        <v>1</v>
      </c>
      <c r="P3228" s="4" t="s">
        <v>135</v>
      </c>
      <c r="Q3228" s="4"/>
      <c r="R3228" s="7">
        <v>750000</v>
      </c>
      <c r="S3228" s="7">
        <v>0</v>
      </c>
      <c r="T3228" s="7">
        <f>R3228-S3228</f>
        <v>0</v>
      </c>
      <c r="U3228" s="7">
        <f>T3228*O3228</f>
        <v>0</v>
      </c>
    </row>
    <row r="3229" spans="1:21">
      <c r="A3229" s="4" t="s">
        <v>4277</v>
      </c>
      <c r="B3229" s="4" t="s">
        <v>39</v>
      </c>
      <c r="C3229" s="5">
        <v>45961.69552083333</v>
      </c>
      <c r="D3229" s="5">
        <v>45961</v>
      </c>
      <c r="E3229" s="6">
        <f>IF(AND(C3229&lt;&gt;"",D3229&lt;&gt;""),D3229-C3229,"")</f>
        <v>0</v>
      </c>
      <c r="F3229" s="4" t="s">
        <v>4278</v>
      </c>
      <c r="G3229" s="4" t="s">
        <v>4279</v>
      </c>
      <c r="H3229" s="4" t="s">
        <v>32</v>
      </c>
      <c r="I3229" s="4" t="s">
        <v>33</v>
      </c>
      <c r="J3229" s="4">
        <v>1</v>
      </c>
      <c r="K3229" s="4">
        <v>0</v>
      </c>
      <c r="L3229" s="4">
        <f>J3229+K3229</f>
        <v>0</v>
      </c>
      <c r="M3229" s="4" t="s">
        <v>80</v>
      </c>
      <c r="N3229" s="4"/>
      <c r="O3229" s="4">
        <v>1</v>
      </c>
      <c r="P3229" s="4" t="s">
        <v>135</v>
      </c>
      <c r="Q3229" s="4"/>
      <c r="R3229" s="7">
        <v>610000</v>
      </c>
      <c r="S3229" s="7">
        <v>0</v>
      </c>
      <c r="T3229" s="7">
        <f>R3229-S3229</f>
        <v>0</v>
      </c>
      <c r="U3229" s="7">
        <f>T3229*O3229</f>
        <v>0</v>
      </c>
    </row>
    <row r="3230" spans="1:21">
      <c r="A3230" s="4" t="s">
        <v>4277</v>
      </c>
      <c r="B3230" s="4" t="s">
        <v>39</v>
      </c>
      <c r="C3230" s="5">
        <v>45961.69552083333</v>
      </c>
      <c r="D3230" s="5">
        <v>45961</v>
      </c>
      <c r="E3230" s="6">
        <f>IF(AND(C3230&lt;&gt;"",D3230&lt;&gt;""),D3230-C3230,"")</f>
        <v>0</v>
      </c>
      <c r="F3230" s="4" t="s">
        <v>4278</v>
      </c>
      <c r="G3230" s="4" t="s">
        <v>4279</v>
      </c>
      <c r="H3230" s="4" t="s">
        <v>32</v>
      </c>
      <c r="I3230" s="4" t="s">
        <v>33</v>
      </c>
      <c r="J3230" s="4">
        <v>0</v>
      </c>
      <c r="K3230" s="4">
        <v>0</v>
      </c>
      <c r="L3230" s="4">
        <f>J3230+K3230</f>
        <v>0</v>
      </c>
      <c r="M3230" s="4" t="s">
        <v>370</v>
      </c>
      <c r="N3230" s="4"/>
      <c r="O3230" s="4">
        <v>1</v>
      </c>
      <c r="P3230" s="4" t="s">
        <v>135</v>
      </c>
      <c r="Q3230" s="4"/>
      <c r="R3230" s="7">
        <v>2000000</v>
      </c>
      <c r="S3230" s="7">
        <v>0</v>
      </c>
      <c r="T3230" s="7">
        <f>R3230-S3230</f>
        <v>0</v>
      </c>
      <c r="U3230" s="7">
        <f>T3230*O3230</f>
        <v>0</v>
      </c>
    </row>
    <row r="3231" spans="1:21">
      <c r="A3231" s="4" t="s">
        <v>4280</v>
      </c>
      <c r="B3231" s="4" t="s">
        <v>39</v>
      </c>
      <c r="C3231" s="5">
        <v>45962.03979166667</v>
      </c>
      <c r="D3231" s="5">
        <v>45962</v>
      </c>
      <c r="E3231" s="6">
        <f>IF(AND(C3231&lt;&gt;"",D3231&lt;&gt;""),D3231-C3231,"")</f>
        <v>0</v>
      </c>
      <c r="F3231" s="4" t="s">
        <v>2755</v>
      </c>
      <c r="G3231" s="4" t="s">
        <v>2756</v>
      </c>
      <c r="H3231" s="4" t="s">
        <v>32</v>
      </c>
      <c r="I3231" s="4" t="s">
        <v>33</v>
      </c>
      <c r="J3231" s="4">
        <v>0</v>
      </c>
      <c r="K3231" s="4">
        <v>0</v>
      </c>
      <c r="L3231" s="4">
        <f>J3231+K3231</f>
        <v>0</v>
      </c>
      <c r="M3231" s="4" t="s">
        <v>370</v>
      </c>
      <c r="N3231" s="4"/>
      <c r="O3231" s="4">
        <v>1</v>
      </c>
      <c r="P3231" s="4" t="s">
        <v>135</v>
      </c>
      <c r="Q3231" s="4" t="s">
        <v>44</v>
      </c>
      <c r="R3231" s="7">
        <v>10000000</v>
      </c>
      <c r="S3231" s="7">
        <v>0</v>
      </c>
      <c r="T3231" s="7">
        <f>R3231-S3231</f>
        <v>0</v>
      </c>
      <c r="U3231" s="7">
        <f>T3231*O3231</f>
        <v>0</v>
      </c>
    </row>
    <row r="3232" spans="1:21">
      <c r="A3232" s="4" t="s">
        <v>4281</v>
      </c>
      <c r="B3232" s="4" t="s">
        <v>39</v>
      </c>
      <c r="C3232" s="5">
        <v>45962.040625</v>
      </c>
      <c r="D3232" s="5">
        <v>45962</v>
      </c>
      <c r="E3232" s="6">
        <f>IF(AND(C3232&lt;&gt;"",D3232&lt;&gt;""),D3232-C3232,"")</f>
        <v>0</v>
      </c>
      <c r="F3232" s="4" t="s">
        <v>2755</v>
      </c>
      <c r="G3232" s="4" t="s">
        <v>2756</v>
      </c>
      <c r="H3232" s="4" t="s">
        <v>32</v>
      </c>
      <c r="I3232" s="4" t="s">
        <v>33</v>
      </c>
      <c r="J3232" s="4">
        <v>0</v>
      </c>
      <c r="K3232" s="4">
        <v>0</v>
      </c>
      <c r="L3232" s="4">
        <f>J3232+K3232</f>
        <v>0</v>
      </c>
      <c r="M3232" s="4" t="s">
        <v>370</v>
      </c>
      <c r="N3232" s="4"/>
      <c r="O3232" s="4">
        <v>1</v>
      </c>
      <c r="P3232" s="4" t="s">
        <v>135</v>
      </c>
      <c r="Q3232" s="4" t="s">
        <v>44</v>
      </c>
      <c r="R3232" s="7">
        <v>10000000</v>
      </c>
      <c r="S3232" s="7">
        <v>0</v>
      </c>
      <c r="T3232" s="7">
        <f>R3232-S3232</f>
        <v>0</v>
      </c>
      <c r="U3232" s="7">
        <f>T3232*O3232</f>
        <v>0</v>
      </c>
    </row>
    <row r="3233" spans="1:21">
      <c r="A3233" s="4" t="s">
        <v>4282</v>
      </c>
      <c r="B3233" s="4" t="s">
        <v>39</v>
      </c>
      <c r="C3233" s="5">
        <v>45962.04136574074</v>
      </c>
      <c r="D3233" s="5">
        <v>45962</v>
      </c>
      <c r="E3233" s="6">
        <f>IF(AND(C3233&lt;&gt;"",D3233&lt;&gt;""),D3233-C3233,"")</f>
        <v>0</v>
      </c>
      <c r="F3233" s="4" t="s">
        <v>2755</v>
      </c>
      <c r="G3233" s="4" t="s">
        <v>2756</v>
      </c>
      <c r="H3233" s="4" t="s">
        <v>32</v>
      </c>
      <c r="I3233" s="4" t="s">
        <v>33</v>
      </c>
      <c r="J3233" s="4">
        <v>0</v>
      </c>
      <c r="K3233" s="4">
        <v>0</v>
      </c>
      <c r="L3233" s="4">
        <f>J3233+K3233</f>
        <v>0</v>
      </c>
      <c r="M3233" s="4" t="s">
        <v>370</v>
      </c>
      <c r="N3233" s="4"/>
      <c r="O3233" s="4">
        <v>1</v>
      </c>
      <c r="P3233" s="4" t="s">
        <v>135</v>
      </c>
      <c r="Q3233" s="4" t="s">
        <v>44</v>
      </c>
      <c r="R3233" s="7">
        <v>10000000</v>
      </c>
      <c r="S3233" s="7">
        <v>0</v>
      </c>
      <c r="T3233" s="7">
        <f>R3233-S3233</f>
        <v>0</v>
      </c>
      <c r="U3233" s="7">
        <f>T3233*O3233</f>
        <v>0</v>
      </c>
    </row>
    <row r="3234" spans="1:21">
      <c r="A3234" s="4" t="s">
        <v>4283</v>
      </c>
      <c r="B3234" s="4" t="s">
        <v>39</v>
      </c>
      <c r="C3234" s="5">
        <v>45962.04190972223</v>
      </c>
      <c r="D3234" s="5">
        <v>45962</v>
      </c>
      <c r="E3234" s="6">
        <f>IF(AND(C3234&lt;&gt;"",D3234&lt;&gt;""),D3234-C3234,"")</f>
        <v>0</v>
      </c>
      <c r="F3234" s="4" t="s">
        <v>2755</v>
      </c>
      <c r="G3234" s="4" t="s">
        <v>2756</v>
      </c>
      <c r="H3234" s="4" t="s">
        <v>32</v>
      </c>
      <c r="I3234" s="4" t="s">
        <v>33</v>
      </c>
      <c r="J3234" s="4">
        <v>0</v>
      </c>
      <c r="K3234" s="4">
        <v>0</v>
      </c>
      <c r="L3234" s="4">
        <f>J3234+K3234</f>
        <v>0</v>
      </c>
      <c r="M3234" s="4" t="s">
        <v>370</v>
      </c>
      <c r="N3234" s="4"/>
      <c r="O3234" s="4">
        <v>1</v>
      </c>
      <c r="P3234" s="4" t="s">
        <v>135</v>
      </c>
      <c r="Q3234" s="4" t="s">
        <v>44</v>
      </c>
      <c r="R3234" s="7">
        <v>10000000</v>
      </c>
      <c r="S3234" s="7">
        <v>0</v>
      </c>
      <c r="T3234" s="7">
        <f>R3234-S3234</f>
        <v>0</v>
      </c>
      <c r="U3234" s="7">
        <f>T3234*O3234</f>
        <v>0</v>
      </c>
    </row>
    <row r="3235" spans="1:21">
      <c r="A3235" s="4" t="s">
        <v>4284</v>
      </c>
      <c r="B3235" s="4" t="s">
        <v>39</v>
      </c>
      <c r="C3235" s="5">
        <v>45962.04260416667</v>
      </c>
      <c r="D3235" s="5">
        <v>45962</v>
      </c>
      <c r="E3235" s="6">
        <f>IF(AND(C3235&lt;&gt;"",D3235&lt;&gt;""),D3235-C3235,"")</f>
        <v>0</v>
      </c>
      <c r="F3235" s="4" t="s">
        <v>2755</v>
      </c>
      <c r="G3235" s="4" t="s">
        <v>2756</v>
      </c>
      <c r="H3235" s="4" t="s">
        <v>32</v>
      </c>
      <c r="I3235" s="4" t="s">
        <v>33</v>
      </c>
      <c r="J3235" s="4">
        <v>0</v>
      </c>
      <c r="K3235" s="4">
        <v>0</v>
      </c>
      <c r="L3235" s="4">
        <f>J3235+K3235</f>
        <v>0</v>
      </c>
      <c r="M3235" s="4" t="s">
        <v>370</v>
      </c>
      <c r="N3235" s="4"/>
      <c r="O3235" s="4">
        <v>1</v>
      </c>
      <c r="P3235" s="4" t="s">
        <v>135</v>
      </c>
      <c r="Q3235" s="4" t="s">
        <v>44</v>
      </c>
      <c r="R3235" s="7">
        <v>10000000</v>
      </c>
      <c r="S3235" s="7">
        <v>0</v>
      </c>
      <c r="T3235" s="7">
        <f>R3235-S3235</f>
        <v>0</v>
      </c>
      <c r="U3235" s="7">
        <f>T3235*O3235</f>
        <v>0</v>
      </c>
    </row>
    <row r="3236" spans="1:21">
      <c r="A3236" s="4" t="s">
        <v>4285</v>
      </c>
      <c r="B3236" s="4" t="s">
        <v>39</v>
      </c>
      <c r="C3236" s="5">
        <v>45962.04364583334</v>
      </c>
      <c r="D3236" s="5">
        <v>45962</v>
      </c>
      <c r="E3236" s="6">
        <f>IF(AND(C3236&lt;&gt;"",D3236&lt;&gt;""),D3236-C3236,"")</f>
        <v>0</v>
      </c>
      <c r="F3236" s="4" t="s">
        <v>2755</v>
      </c>
      <c r="G3236" s="4" t="s">
        <v>2756</v>
      </c>
      <c r="H3236" s="4" t="s">
        <v>32</v>
      </c>
      <c r="I3236" s="4" t="s">
        <v>33</v>
      </c>
      <c r="J3236" s="4">
        <v>0</v>
      </c>
      <c r="K3236" s="4">
        <v>0</v>
      </c>
      <c r="L3236" s="4">
        <f>J3236+K3236</f>
        <v>0</v>
      </c>
      <c r="M3236" s="4" t="s">
        <v>370</v>
      </c>
      <c r="N3236" s="4"/>
      <c r="O3236" s="4">
        <v>1</v>
      </c>
      <c r="P3236" s="4" t="s">
        <v>135</v>
      </c>
      <c r="Q3236" s="4" t="s">
        <v>44</v>
      </c>
      <c r="R3236" s="7">
        <v>10000000</v>
      </c>
      <c r="S3236" s="7">
        <v>0</v>
      </c>
      <c r="T3236" s="7">
        <f>R3236-S3236</f>
        <v>0</v>
      </c>
      <c r="U3236" s="7">
        <f>T3236*O3236</f>
        <v>0</v>
      </c>
    </row>
    <row r="3237" spans="1:21">
      <c r="A3237" s="4" t="s">
        <v>4286</v>
      </c>
      <c r="B3237" s="4" t="s">
        <v>39</v>
      </c>
      <c r="C3237" s="5">
        <v>45962.09002314815</v>
      </c>
      <c r="D3237" s="5">
        <v>45962</v>
      </c>
      <c r="E3237" s="6">
        <f>IF(AND(C3237&lt;&gt;"",D3237&lt;&gt;""),D3237-C3237,"")</f>
        <v>0</v>
      </c>
      <c r="F3237" s="4" t="s">
        <v>2755</v>
      </c>
      <c r="G3237" s="4" t="s">
        <v>2756</v>
      </c>
      <c r="H3237" s="4" t="s">
        <v>32</v>
      </c>
      <c r="I3237" s="4" t="s">
        <v>33</v>
      </c>
      <c r="J3237" s="4">
        <v>0</v>
      </c>
      <c r="K3237" s="4">
        <v>0</v>
      </c>
      <c r="L3237" s="4">
        <f>J3237+K3237</f>
        <v>0</v>
      </c>
      <c r="M3237" s="4" t="s">
        <v>370</v>
      </c>
      <c r="N3237" s="4"/>
      <c r="O3237" s="4">
        <v>1</v>
      </c>
      <c r="P3237" s="4" t="s">
        <v>135</v>
      </c>
      <c r="Q3237" s="4" t="s">
        <v>44</v>
      </c>
      <c r="R3237" s="7">
        <v>10000000</v>
      </c>
      <c r="S3237" s="7">
        <v>0</v>
      </c>
      <c r="T3237" s="7">
        <f>R3237-S3237</f>
        <v>0</v>
      </c>
      <c r="U3237" s="7">
        <f>T3237*O3237</f>
        <v>0</v>
      </c>
    </row>
    <row r="3238" spans="1:21">
      <c r="A3238" s="4" t="s">
        <v>4287</v>
      </c>
      <c r="B3238" s="4" t="s">
        <v>39</v>
      </c>
      <c r="C3238" s="5">
        <v>45962.09144675926</v>
      </c>
      <c r="D3238" s="5">
        <v>45962</v>
      </c>
      <c r="E3238" s="6">
        <f>IF(AND(C3238&lt;&gt;"",D3238&lt;&gt;""),D3238-C3238,"")</f>
        <v>0</v>
      </c>
      <c r="F3238" s="4" t="s">
        <v>2755</v>
      </c>
      <c r="G3238" s="4" t="s">
        <v>2756</v>
      </c>
      <c r="H3238" s="4" t="s">
        <v>32</v>
      </c>
      <c r="I3238" s="4" t="s">
        <v>33</v>
      </c>
      <c r="J3238" s="4">
        <v>0</v>
      </c>
      <c r="K3238" s="4">
        <v>0</v>
      </c>
      <c r="L3238" s="4">
        <f>J3238+K3238</f>
        <v>0</v>
      </c>
      <c r="M3238" s="4" t="s">
        <v>370</v>
      </c>
      <c r="N3238" s="4"/>
      <c r="O3238" s="4">
        <v>1</v>
      </c>
      <c r="P3238" s="4" t="s">
        <v>135</v>
      </c>
      <c r="Q3238" s="4" t="s">
        <v>44</v>
      </c>
      <c r="R3238" s="7">
        <v>10000000</v>
      </c>
      <c r="S3238" s="7">
        <v>0</v>
      </c>
      <c r="T3238" s="7">
        <f>R3238-S3238</f>
        <v>0</v>
      </c>
      <c r="U3238" s="7">
        <f>T3238*O3238</f>
        <v>0</v>
      </c>
    </row>
    <row r="3239" spans="1:21">
      <c r="A3239" s="4" t="s">
        <v>4288</v>
      </c>
      <c r="B3239" s="4" t="s">
        <v>39</v>
      </c>
      <c r="C3239" s="5">
        <v>45962.09340277778</v>
      </c>
      <c r="D3239" s="5">
        <v>45962</v>
      </c>
      <c r="E3239" s="6">
        <f>IF(AND(C3239&lt;&gt;"",D3239&lt;&gt;""),D3239-C3239,"")</f>
        <v>0</v>
      </c>
      <c r="F3239" s="4" t="s">
        <v>4289</v>
      </c>
      <c r="G3239" s="4" t="s">
        <v>4290</v>
      </c>
      <c r="H3239" s="4" t="s">
        <v>32</v>
      </c>
      <c r="I3239" s="4" t="s">
        <v>33</v>
      </c>
      <c r="J3239" s="4">
        <v>0</v>
      </c>
      <c r="K3239" s="4">
        <v>0</v>
      </c>
      <c r="L3239" s="4">
        <f>J3239+K3239</f>
        <v>0</v>
      </c>
      <c r="M3239" s="4" t="s">
        <v>370</v>
      </c>
      <c r="N3239" s="4"/>
      <c r="O3239" s="4">
        <v>1</v>
      </c>
      <c r="P3239" s="4" t="s">
        <v>135</v>
      </c>
      <c r="Q3239" s="4" t="s">
        <v>44</v>
      </c>
      <c r="R3239" s="7">
        <v>10000000</v>
      </c>
      <c r="S3239" s="7">
        <v>0</v>
      </c>
      <c r="T3239" s="7">
        <f>R3239-S3239</f>
        <v>0</v>
      </c>
      <c r="U3239" s="7">
        <f>T3239*O3239</f>
        <v>0</v>
      </c>
    </row>
    <row r="3240" spans="1:21">
      <c r="A3240" s="4" t="s">
        <v>4291</v>
      </c>
      <c r="B3240" s="4" t="s">
        <v>39</v>
      </c>
      <c r="C3240" s="5">
        <v>45962.09521990741</v>
      </c>
      <c r="D3240" s="5">
        <v>45962</v>
      </c>
      <c r="E3240" s="6">
        <f>IF(AND(C3240&lt;&gt;"",D3240&lt;&gt;""),D3240-C3240,"")</f>
        <v>0</v>
      </c>
      <c r="F3240" s="4" t="s">
        <v>4292</v>
      </c>
      <c r="G3240" s="4" t="s">
        <v>4293</v>
      </c>
      <c r="H3240" s="4" t="s">
        <v>32</v>
      </c>
      <c r="I3240" s="4" t="s">
        <v>33</v>
      </c>
      <c r="J3240" s="4">
        <v>0</v>
      </c>
      <c r="K3240" s="4">
        <v>0</v>
      </c>
      <c r="L3240" s="4">
        <f>J3240+K3240</f>
        <v>0</v>
      </c>
      <c r="M3240" s="4" t="s">
        <v>370</v>
      </c>
      <c r="N3240" s="4"/>
      <c r="O3240" s="4">
        <v>1</v>
      </c>
      <c r="P3240" s="4" t="s">
        <v>135</v>
      </c>
      <c r="Q3240" s="4" t="s">
        <v>44</v>
      </c>
      <c r="R3240" s="7">
        <v>10000000</v>
      </c>
      <c r="S3240" s="7">
        <v>0</v>
      </c>
      <c r="T3240" s="7">
        <f>R3240-S3240</f>
        <v>0</v>
      </c>
      <c r="U3240" s="7">
        <f>T3240*O3240</f>
        <v>0</v>
      </c>
    </row>
    <row r="3241" spans="1:21">
      <c r="A3241" s="4" t="s">
        <v>4294</v>
      </c>
      <c r="B3241" s="4" t="s">
        <v>39</v>
      </c>
      <c r="C3241" s="5">
        <v>45962.11827546296</v>
      </c>
      <c r="D3241" s="5">
        <v>45962</v>
      </c>
      <c r="E3241" s="6">
        <f>IF(AND(C3241&lt;&gt;"",D3241&lt;&gt;""),D3241-C3241,"")</f>
        <v>0</v>
      </c>
      <c r="F3241" s="4" t="s">
        <v>4295</v>
      </c>
      <c r="G3241" s="4" t="s">
        <v>4296</v>
      </c>
      <c r="H3241" s="4" t="s">
        <v>32</v>
      </c>
      <c r="I3241" s="4" t="s">
        <v>33</v>
      </c>
      <c r="J3241" s="4">
        <v>1</v>
      </c>
      <c r="K3241" s="4">
        <v>0</v>
      </c>
      <c r="L3241" s="4">
        <f>J3241+K3241</f>
        <v>0</v>
      </c>
      <c r="M3241" s="4" t="s">
        <v>1645</v>
      </c>
      <c r="N3241" s="4"/>
      <c r="O3241" s="4">
        <v>1</v>
      </c>
      <c r="P3241" s="4" t="s">
        <v>135</v>
      </c>
      <c r="Q3241" s="4" t="s">
        <v>4048</v>
      </c>
      <c r="R3241" s="7">
        <v>1701000</v>
      </c>
      <c r="S3241" s="7">
        <v>0</v>
      </c>
      <c r="T3241" s="7">
        <f>R3241-S3241</f>
        <v>0</v>
      </c>
      <c r="U3241" s="7">
        <f>T3241*O3241</f>
        <v>0</v>
      </c>
    </row>
    <row r="3242" spans="1:21">
      <c r="A3242" s="4" t="s">
        <v>4294</v>
      </c>
      <c r="B3242" s="4" t="s">
        <v>39</v>
      </c>
      <c r="C3242" s="5">
        <v>45962.11827546296</v>
      </c>
      <c r="D3242" s="5">
        <v>45962</v>
      </c>
      <c r="E3242" s="6">
        <f>IF(AND(C3242&lt;&gt;"",D3242&lt;&gt;""),D3242-C3242,"")</f>
        <v>0</v>
      </c>
      <c r="F3242" s="4" t="s">
        <v>4295</v>
      </c>
      <c r="G3242" s="4" t="s">
        <v>4296</v>
      </c>
      <c r="H3242" s="4" t="s">
        <v>32</v>
      </c>
      <c r="I3242" s="4" t="s">
        <v>33</v>
      </c>
      <c r="J3242" s="4">
        <v>1</v>
      </c>
      <c r="K3242" s="4">
        <v>0</v>
      </c>
      <c r="L3242" s="4">
        <f>J3242+K3242</f>
        <v>0</v>
      </c>
      <c r="M3242" s="4" t="s">
        <v>42</v>
      </c>
      <c r="N3242" s="4"/>
      <c r="O3242" s="4">
        <v>1</v>
      </c>
      <c r="P3242" s="4" t="s">
        <v>135</v>
      </c>
      <c r="Q3242" s="4" t="s">
        <v>4048</v>
      </c>
      <c r="R3242" s="7">
        <v>267000</v>
      </c>
      <c r="S3242" s="7">
        <v>0</v>
      </c>
      <c r="T3242" s="7">
        <f>R3242-S3242</f>
        <v>0</v>
      </c>
      <c r="U3242" s="7">
        <f>T3242*O3242</f>
        <v>0</v>
      </c>
    </row>
    <row r="3243" spans="1:21">
      <c r="A3243" s="4" t="s">
        <v>4297</v>
      </c>
      <c r="B3243" s="4" t="s">
        <v>39</v>
      </c>
      <c r="C3243" s="5">
        <v>45962.12152777778</v>
      </c>
      <c r="D3243" s="5">
        <v>45962</v>
      </c>
      <c r="E3243" s="6">
        <f>IF(AND(C3243&lt;&gt;"",D3243&lt;&gt;""),D3243-C3243,"")</f>
        <v>0</v>
      </c>
      <c r="F3243" s="4" t="s">
        <v>4298</v>
      </c>
      <c r="G3243" s="4" t="s">
        <v>4299</v>
      </c>
      <c r="H3243" s="4" t="s">
        <v>32</v>
      </c>
      <c r="I3243" s="4" t="s">
        <v>33</v>
      </c>
      <c r="J3243" s="4">
        <v>1</v>
      </c>
      <c r="K3243" s="4">
        <v>0</v>
      </c>
      <c r="L3243" s="4">
        <f>J3243+K3243</f>
        <v>0</v>
      </c>
      <c r="M3243" s="4" t="s">
        <v>1645</v>
      </c>
      <c r="N3243" s="4"/>
      <c r="O3243" s="4">
        <v>1</v>
      </c>
      <c r="P3243" s="4" t="s">
        <v>135</v>
      </c>
      <c r="Q3243" s="4" t="s">
        <v>4048</v>
      </c>
      <c r="R3243" s="7">
        <v>1701000</v>
      </c>
      <c r="S3243" s="7">
        <v>0</v>
      </c>
      <c r="T3243" s="7">
        <f>R3243-S3243</f>
        <v>0</v>
      </c>
      <c r="U3243" s="7">
        <f>T3243*O3243</f>
        <v>0</v>
      </c>
    </row>
    <row r="3244" spans="1:21">
      <c r="A3244" s="4" t="s">
        <v>4297</v>
      </c>
      <c r="B3244" s="4" t="s">
        <v>39</v>
      </c>
      <c r="C3244" s="5">
        <v>45962.12152777778</v>
      </c>
      <c r="D3244" s="5">
        <v>45962</v>
      </c>
      <c r="E3244" s="6">
        <f>IF(AND(C3244&lt;&gt;"",D3244&lt;&gt;""),D3244-C3244,"")</f>
        <v>0</v>
      </c>
      <c r="F3244" s="4" t="s">
        <v>4298</v>
      </c>
      <c r="G3244" s="4" t="s">
        <v>4299</v>
      </c>
      <c r="H3244" s="4" t="s">
        <v>32</v>
      </c>
      <c r="I3244" s="4" t="s">
        <v>33</v>
      </c>
      <c r="J3244" s="4">
        <v>1</v>
      </c>
      <c r="K3244" s="4">
        <v>0</v>
      </c>
      <c r="L3244" s="4">
        <f>J3244+K3244</f>
        <v>0</v>
      </c>
      <c r="M3244" s="4" t="s">
        <v>42</v>
      </c>
      <c r="N3244" s="4"/>
      <c r="O3244" s="4">
        <v>1</v>
      </c>
      <c r="P3244" s="4" t="s">
        <v>135</v>
      </c>
      <c r="Q3244" s="4" t="s">
        <v>4048</v>
      </c>
      <c r="R3244" s="7">
        <v>267000</v>
      </c>
      <c r="S3244" s="7">
        <v>0</v>
      </c>
      <c r="T3244" s="7">
        <f>R3244-S3244</f>
        <v>0</v>
      </c>
      <c r="U3244" s="7">
        <f>T3244*O3244</f>
        <v>0</v>
      </c>
    </row>
    <row r="3245" spans="1:21">
      <c r="A3245" s="4" t="s">
        <v>4300</v>
      </c>
      <c r="B3245" s="4" t="s">
        <v>39</v>
      </c>
      <c r="C3245" s="5">
        <v>45962.12248842593</v>
      </c>
      <c r="D3245" s="5">
        <v>45962</v>
      </c>
      <c r="E3245" s="6">
        <f>IF(AND(C3245&lt;&gt;"",D3245&lt;&gt;""),D3245-C3245,"")</f>
        <v>0</v>
      </c>
      <c r="F3245" s="4" t="s">
        <v>4301</v>
      </c>
      <c r="G3245" s="4" t="s">
        <v>4302</v>
      </c>
      <c r="H3245" s="4" t="s">
        <v>190</v>
      </c>
      <c r="I3245" s="4" t="s">
        <v>56</v>
      </c>
      <c r="J3245" s="4">
        <v>1</v>
      </c>
      <c r="K3245" s="4">
        <v>0</v>
      </c>
      <c r="L3245" s="4">
        <f>J3245+K3245</f>
        <v>0</v>
      </c>
      <c r="M3245" s="4" t="s">
        <v>1645</v>
      </c>
      <c r="N3245" s="4"/>
      <c r="O3245" s="4">
        <v>1</v>
      </c>
      <c r="P3245" s="4" t="s">
        <v>135</v>
      </c>
      <c r="Q3245" s="4" t="s">
        <v>4048</v>
      </c>
      <c r="R3245" s="7">
        <v>1701000</v>
      </c>
      <c r="S3245" s="7">
        <v>0</v>
      </c>
      <c r="T3245" s="7">
        <f>R3245-S3245</f>
        <v>0</v>
      </c>
      <c r="U3245" s="7">
        <f>T3245*O3245</f>
        <v>0</v>
      </c>
    </row>
    <row r="3246" spans="1:21">
      <c r="A3246" s="4" t="s">
        <v>4300</v>
      </c>
      <c r="B3246" s="4" t="s">
        <v>39</v>
      </c>
      <c r="C3246" s="5">
        <v>45962.12248842593</v>
      </c>
      <c r="D3246" s="5">
        <v>45962</v>
      </c>
      <c r="E3246" s="6">
        <f>IF(AND(C3246&lt;&gt;"",D3246&lt;&gt;""),D3246-C3246,"")</f>
        <v>0</v>
      </c>
      <c r="F3246" s="4" t="s">
        <v>4301</v>
      </c>
      <c r="G3246" s="4" t="s">
        <v>4302</v>
      </c>
      <c r="H3246" s="4" t="s">
        <v>190</v>
      </c>
      <c r="I3246" s="4" t="s">
        <v>56</v>
      </c>
      <c r="J3246" s="4">
        <v>1</v>
      </c>
      <c r="K3246" s="4">
        <v>0</v>
      </c>
      <c r="L3246" s="4">
        <f>J3246+K3246</f>
        <v>0</v>
      </c>
      <c r="M3246" s="4" t="s">
        <v>42</v>
      </c>
      <c r="N3246" s="4"/>
      <c r="O3246" s="4">
        <v>1</v>
      </c>
      <c r="P3246" s="4" t="s">
        <v>135</v>
      </c>
      <c r="Q3246" s="4" t="s">
        <v>4048</v>
      </c>
      <c r="R3246" s="7">
        <v>267000</v>
      </c>
      <c r="S3246" s="7">
        <v>0</v>
      </c>
      <c r="T3246" s="7">
        <f>R3246-S3246</f>
        <v>0</v>
      </c>
      <c r="U3246" s="7">
        <f>T3246*O3246</f>
        <v>0</v>
      </c>
    </row>
    <row r="3247" spans="1:21">
      <c r="A3247" s="4" t="s">
        <v>4303</v>
      </c>
      <c r="B3247" s="4" t="s">
        <v>39</v>
      </c>
      <c r="C3247" s="5">
        <v>45962.12815972222</v>
      </c>
      <c r="D3247" s="5">
        <v>45962</v>
      </c>
      <c r="E3247" s="6">
        <f>IF(AND(C3247&lt;&gt;"",D3247&lt;&gt;""),D3247-C3247,"")</f>
        <v>0</v>
      </c>
      <c r="F3247" s="4" t="s">
        <v>4304</v>
      </c>
      <c r="G3247" s="4" t="s">
        <v>4305</v>
      </c>
      <c r="H3247" s="4" t="s">
        <v>190</v>
      </c>
      <c r="I3247" s="4" t="s">
        <v>56</v>
      </c>
      <c r="J3247" s="4">
        <v>1</v>
      </c>
      <c r="K3247" s="4">
        <v>0</v>
      </c>
      <c r="L3247" s="4">
        <f>J3247+K3247</f>
        <v>0</v>
      </c>
      <c r="M3247" s="4" t="s">
        <v>42</v>
      </c>
      <c r="N3247" s="4"/>
      <c r="O3247" s="4">
        <v>1</v>
      </c>
      <c r="P3247" s="4" t="s">
        <v>135</v>
      </c>
      <c r="Q3247" s="4" t="s">
        <v>3213</v>
      </c>
      <c r="R3247" s="7">
        <v>333000</v>
      </c>
      <c r="S3247" s="7">
        <v>0</v>
      </c>
      <c r="T3247" s="7">
        <f>R3247-S3247</f>
        <v>0</v>
      </c>
      <c r="U3247" s="7">
        <f>T3247*O3247</f>
        <v>0</v>
      </c>
    </row>
    <row r="3248" spans="1:21">
      <c r="A3248" s="4" t="s">
        <v>4303</v>
      </c>
      <c r="B3248" s="4" t="s">
        <v>39</v>
      </c>
      <c r="C3248" s="5">
        <v>45962.12815972222</v>
      </c>
      <c r="D3248" s="5">
        <v>45962</v>
      </c>
      <c r="E3248" s="6">
        <f>IF(AND(C3248&lt;&gt;"",D3248&lt;&gt;""),D3248-C3248,"")</f>
        <v>0</v>
      </c>
      <c r="F3248" s="4" t="s">
        <v>4304</v>
      </c>
      <c r="G3248" s="4" t="s">
        <v>4305</v>
      </c>
      <c r="H3248" s="4" t="s">
        <v>190</v>
      </c>
      <c r="I3248" s="4" t="s">
        <v>56</v>
      </c>
      <c r="J3248" s="4">
        <v>1</v>
      </c>
      <c r="K3248" s="4">
        <v>0</v>
      </c>
      <c r="L3248" s="4">
        <f>J3248+K3248</f>
        <v>0</v>
      </c>
      <c r="M3248" s="4" t="s">
        <v>1645</v>
      </c>
      <c r="N3248" s="4"/>
      <c r="O3248" s="4">
        <v>1</v>
      </c>
      <c r="P3248" s="4" t="s">
        <v>135</v>
      </c>
      <c r="Q3248" s="4" t="s">
        <v>3213</v>
      </c>
      <c r="R3248" s="7">
        <v>2100000</v>
      </c>
      <c r="S3248" s="7">
        <v>0</v>
      </c>
      <c r="T3248" s="7">
        <f>R3248-S3248</f>
        <v>0</v>
      </c>
      <c r="U3248" s="7">
        <f>T3248*O3248</f>
        <v>0</v>
      </c>
    </row>
    <row r="3249" spans="1:21">
      <c r="A3249" s="4" t="s">
        <v>4306</v>
      </c>
      <c r="B3249" s="4" t="s">
        <v>39</v>
      </c>
      <c r="C3249" s="5">
        <v>45962.1537962963</v>
      </c>
      <c r="D3249" s="5">
        <v>45962</v>
      </c>
      <c r="E3249" s="6">
        <f>IF(AND(C3249&lt;&gt;"",D3249&lt;&gt;""),D3249-C3249,"")</f>
        <v>0</v>
      </c>
      <c r="F3249" s="4" t="s">
        <v>3019</v>
      </c>
      <c r="G3249" s="4" t="s">
        <v>3020</v>
      </c>
      <c r="H3249" s="4" t="s">
        <v>190</v>
      </c>
      <c r="I3249" s="4" t="s">
        <v>56</v>
      </c>
      <c r="J3249" s="4">
        <v>2</v>
      </c>
      <c r="K3249" s="4">
        <v>0</v>
      </c>
      <c r="L3249" s="4">
        <f>J3249+K3249</f>
        <v>0</v>
      </c>
      <c r="M3249" s="4" t="s">
        <v>42</v>
      </c>
      <c r="N3249" s="4"/>
      <c r="O3249" s="4">
        <v>2</v>
      </c>
      <c r="P3249" s="4" t="s">
        <v>43</v>
      </c>
      <c r="Q3249" s="4" t="s">
        <v>44</v>
      </c>
      <c r="R3249" s="7">
        <v>370000</v>
      </c>
      <c r="S3249" s="7">
        <v>0</v>
      </c>
      <c r="T3249" s="7">
        <f>R3249-S3249</f>
        <v>0</v>
      </c>
      <c r="U3249" s="7">
        <f>T3249*O3249</f>
        <v>0</v>
      </c>
    </row>
    <row r="3250" spans="1:21">
      <c r="A3250" s="4" t="s">
        <v>4307</v>
      </c>
      <c r="B3250" s="4" t="s">
        <v>39</v>
      </c>
      <c r="C3250" s="5">
        <v>45962.16032407407</v>
      </c>
      <c r="D3250" s="5">
        <v>45962</v>
      </c>
      <c r="E3250" s="6">
        <f>IF(AND(C3250&lt;&gt;"",D3250&lt;&gt;""),D3250-C3250,"")</f>
        <v>0</v>
      </c>
      <c r="F3250" s="4" t="s">
        <v>172</v>
      </c>
      <c r="G3250" s="4" t="s">
        <v>173</v>
      </c>
      <c r="H3250" s="4" t="s">
        <v>32</v>
      </c>
      <c r="I3250" s="4" t="s">
        <v>33</v>
      </c>
      <c r="J3250" s="4">
        <v>3</v>
      </c>
      <c r="K3250" s="4">
        <v>0</v>
      </c>
      <c r="L3250" s="4">
        <f>J3250+K3250</f>
        <v>0</v>
      </c>
      <c r="M3250" s="4" t="s">
        <v>42</v>
      </c>
      <c r="N3250" s="4"/>
      <c r="O3250" s="4">
        <v>3</v>
      </c>
      <c r="P3250" s="4" t="s">
        <v>135</v>
      </c>
      <c r="Q3250" s="4" t="s">
        <v>44</v>
      </c>
      <c r="R3250" s="7">
        <v>370000</v>
      </c>
      <c r="S3250" s="7">
        <v>0</v>
      </c>
      <c r="T3250" s="7">
        <f>R3250-S3250</f>
        <v>0</v>
      </c>
      <c r="U3250" s="7">
        <f>T3250*O3250</f>
        <v>0</v>
      </c>
    </row>
    <row r="3251" spans="1:21">
      <c r="A3251" s="4" t="s">
        <v>4308</v>
      </c>
      <c r="B3251" s="4" t="s">
        <v>39</v>
      </c>
      <c r="C3251" s="5">
        <v>45962.16637731482</v>
      </c>
      <c r="D3251" s="5">
        <v>45962</v>
      </c>
      <c r="E3251" s="6">
        <f>IF(AND(C3251&lt;&gt;"",D3251&lt;&gt;""),D3251-C3251,"")</f>
        <v>0</v>
      </c>
      <c r="F3251" s="4" t="s">
        <v>4154</v>
      </c>
      <c r="G3251" s="4" t="s">
        <v>4204</v>
      </c>
      <c r="H3251" s="4" t="s">
        <v>32</v>
      </c>
      <c r="I3251" s="4" t="s">
        <v>33</v>
      </c>
      <c r="J3251" s="4">
        <v>3</v>
      </c>
      <c r="K3251" s="4">
        <v>0</v>
      </c>
      <c r="L3251" s="4">
        <f>J3251+K3251</f>
        <v>0</v>
      </c>
      <c r="M3251" s="4" t="s">
        <v>42</v>
      </c>
      <c r="N3251" s="4"/>
      <c r="O3251" s="4">
        <v>3</v>
      </c>
      <c r="P3251" s="4" t="s">
        <v>135</v>
      </c>
      <c r="Q3251" s="4" t="s">
        <v>44</v>
      </c>
      <c r="R3251" s="7">
        <v>370000</v>
      </c>
      <c r="S3251" s="7">
        <v>0</v>
      </c>
      <c r="T3251" s="7">
        <f>R3251-S3251</f>
        <v>0</v>
      </c>
      <c r="U3251" s="7">
        <f>T3251*O3251</f>
        <v>0</v>
      </c>
    </row>
    <row r="3252" spans="1:21">
      <c r="A3252" s="4" t="s">
        <v>4309</v>
      </c>
      <c r="B3252" s="4" t="s">
        <v>39</v>
      </c>
      <c r="C3252" s="5">
        <v>45962.16671296296</v>
      </c>
      <c r="D3252" s="5">
        <v>45962</v>
      </c>
      <c r="E3252" s="6">
        <f>IF(AND(C3252&lt;&gt;"",D3252&lt;&gt;""),D3252-C3252,"")</f>
        <v>0</v>
      </c>
      <c r="F3252" s="4" t="s">
        <v>4227</v>
      </c>
      <c r="G3252" s="4" t="s">
        <v>4228</v>
      </c>
      <c r="H3252" s="4" t="s">
        <v>32</v>
      </c>
      <c r="I3252" s="4" t="s">
        <v>33</v>
      </c>
      <c r="J3252" s="4">
        <v>3</v>
      </c>
      <c r="K3252" s="4">
        <v>0</v>
      </c>
      <c r="L3252" s="4">
        <f>J3252+K3252</f>
        <v>0</v>
      </c>
      <c r="M3252" s="4" t="s">
        <v>42</v>
      </c>
      <c r="N3252" s="4"/>
      <c r="O3252" s="4">
        <v>3</v>
      </c>
      <c r="P3252" s="4" t="s">
        <v>135</v>
      </c>
      <c r="Q3252" s="4" t="s">
        <v>44</v>
      </c>
      <c r="R3252" s="7">
        <v>370000</v>
      </c>
      <c r="S3252" s="7">
        <v>0</v>
      </c>
      <c r="T3252" s="7">
        <f>R3252-S3252</f>
        <v>0</v>
      </c>
      <c r="U3252" s="7">
        <f>T3252*O3252</f>
        <v>0</v>
      </c>
    </row>
    <row r="3253" spans="1:21">
      <c r="A3253" s="4" t="s">
        <v>4310</v>
      </c>
      <c r="B3253" s="4" t="s">
        <v>39</v>
      </c>
      <c r="C3253" s="5">
        <v>45962.1775</v>
      </c>
      <c r="D3253" s="5">
        <v>45962</v>
      </c>
      <c r="E3253" s="6">
        <f>IF(AND(C3253&lt;&gt;"",D3253&lt;&gt;""),D3253-C3253,"")</f>
        <v>0</v>
      </c>
      <c r="F3253" s="4" t="s">
        <v>3968</v>
      </c>
      <c r="G3253" s="4" t="s">
        <v>3969</v>
      </c>
      <c r="H3253" s="4" t="s">
        <v>32</v>
      </c>
      <c r="I3253" s="4" t="s">
        <v>33</v>
      </c>
      <c r="J3253" s="4">
        <v>3</v>
      </c>
      <c r="K3253" s="4">
        <v>0</v>
      </c>
      <c r="L3253" s="4">
        <f>J3253+K3253</f>
        <v>0</v>
      </c>
      <c r="M3253" s="4" t="s">
        <v>42</v>
      </c>
      <c r="N3253" s="4"/>
      <c r="O3253" s="4">
        <v>3</v>
      </c>
      <c r="P3253" s="4" t="s">
        <v>135</v>
      </c>
      <c r="Q3253" s="4" t="s">
        <v>44</v>
      </c>
      <c r="R3253" s="7">
        <v>370000</v>
      </c>
      <c r="S3253" s="7">
        <v>0</v>
      </c>
      <c r="T3253" s="7">
        <f>R3253-S3253</f>
        <v>0</v>
      </c>
      <c r="U3253" s="7">
        <f>T3253*O3253</f>
        <v>0</v>
      </c>
    </row>
    <row r="3254" spans="1:21">
      <c r="A3254" s="4" t="s">
        <v>4311</v>
      </c>
      <c r="B3254" s="4" t="s">
        <v>39</v>
      </c>
      <c r="C3254" s="5">
        <v>45962.18168981482</v>
      </c>
      <c r="D3254" s="5">
        <v>45962</v>
      </c>
      <c r="E3254" s="6">
        <f>IF(AND(C3254&lt;&gt;"",D3254&lt;&gt;""),D3254-C3254,"")</f>
        <v>0</v>
      </c>
      <c r="F3254" s="4" t="s">
        <v>918</v>
      </c>
      <c r="G3254" s="4" t="s">
        <v>919</v>
      </c>
      <c r="H3254" s="4"/>
      <c r="I3254" s="4" t="s">
        <v>56</v>
      </c>
      <c r="J3254" s="4">
        <v>3</v>
      </c>
      <c r="K3254" s="4">
        <v>0</v>
      </c>
      <c r="L3254" s="4">
        <f>J3254+K3254</f>
        <v>0</v>
      </c>
      <c r="M3254" s="4" t="s">
        <v>42</v>
      </c>
      <c r="N3254" s="4"/>
      <c r="O3254" s="4">
        <v>3</v>
      </c>
      <c r="P3254" s="4" t="s">
        <v>135</v>
      </c>
      <c r="Q3254" s="4" t="s">
        <v>44</v>
      </c>
      <c r="R3254" s="7">
        <v>370000</v>
      </c>
      <c r="S3254" s="7">
        <v>0</v>
      </c>
      <c r="T3254" s="7">
        <f>R3254-S3254</f>
        <v>0</v>
      </c>
      <c r="U3254" s="7">
        <f>T3254*O3254</f>
        <v>0</v>
      </c>
    </row>
    <row r="3255" spans="1:21">
      <c r="A3255" s="4" t="s">
        <v>4312</v>
      </c>
      <c r="B3255" s="4" t="s">
        <v>39</v>
      </c>
      <c r="C3255" s="5">
        <v>45962.18184027778</v>
      </c>
      <c r="D3255" s="5">
        <v>45962</v>
      </c>
      <c r="E3255" s="6">
        <f>IF(AND(C3255&lt;&gt;"",D3255&lt;&gt;""),D3255-C3255,"")</f>
        <v>0</v>
      </c>
      <c r="F3255" s="4" t="s">
        <v>4313</v>
      </c>
      <c r="G3255" s="4" t="s">
        <v>4314</v>
      </c>
      <c r="H3255" s="4" t="s">
        <v>190</v>
      </c>
      <c r="I3255" s="4" t="s">
        <v>56</v>
      </c>
      <c r="J3255" s="4">
        <v>1</v>
      </c>
      <c r="K3255" s="4">
        <v>0</v>
      </c>
      <c r="L3255" s="4">
        <f>J3255+K3255</f>
        <v>0</v>
      </c>
      <c r="M3255" s="4" t="s">
        <v>80</v>
      </c>
      <c r="N3255" s="4"/>
      <c r="O3255" s="4">
        <v>1</v>
      </c>
      <c r="P3255" s="4" t="s">
        <v>135</v>
      </c>
      <c r="Q3255" s="4" t="s">
        <v>44</v>
      </c>
      <c r="R3255" s="7">
        <v>610000</v>
      </c>
      <c r="S3255" s="7">
        <v>0</v>
      </c>
      <c r="T3255" s="7">
        <f>R3255-S3255</f>
        <v>0</v>
      </c>
      <c r="U3255" s="7">
        <f>T3255*O3255</f>
        <v>0</v>
      </c>
    </row>
    <row r="3256" spans="1:21">
      <c r="A3256" s="4" t="s">
        <v>4312</v>
      </c>
      <c r="B3256" s="4" t="s">
        <v>39</v>
      </c>
      <c r="C3256" s="5">
        <v>45962.18184027778</v>
      </c>
      <c r="D3256" s="5">
        <v>45962</v>
      </c>
      <c r="E3256" s="6">
        <f>IF(AND(C3256&lt;&gt;"",D3256&lt;&gt;""),D3256-C3256,"")</f>
        <v>0</v>
      </c>
      <c r="F3256" s="4" t="s">
        <v>4313</v>
      </c>
      <c r="G3256" s="4" t="s">
        <v>4314</v>
      </c>
      <c r="H3256" s="4" t="s">
        <v>190</v>
      </c>
      <c r="I3256" s="4" t="s">
        <v>56</v>
      </c>
      <c r="J3256" s="4">
        <v>1</v>
      </c>
      <c r="K3256" s="4">
        <v>0</v>
      </c>
      <c r="L3256" s="4">
        <f>J3256+K3256</f>
        <v>0</v>
      </c>
      <c r="M3256" s="4" t="s">
        <v>80</v>
      </c>
      <c r="N3256" s="4"/>
      <c r="O3256" s="4">
        <v>1</v>
      </c>
      <c r="P3256" s="4" t="s">
        <v>135</v>
      </c>
      <c r="Q3256" s="4" t="s">
        <v>44</v>
      </c>
      <c r="R3256" s="7">
        <v>610000</v>
      </c>
      <c r="S3256" s="7">
        <v>0</v>
      </c>
      <c r="T3256" s="7">
        <f>R3256-S3256</f>
        <v>0</v>
      </c>
      <c r="U3256" s="7">
        <f>T3256*O3256</f>
        <v>0</v>
      </c>
    </row>
    <row r="3257" spans="1:21">
      <c r="A3257" s="4" t="s">
        <v>4312</v>
      </c>
      <c r="B3257" s="4" t="s">
        <v>39</v>
      </c>
      <c r="C3257" s="5">
        <v>45962.18184027778</v>
      </c>
      <c r="D3257" s="5">
        <v>45962</v>
      </c>
      <c r="E3257" s="6">
        <f>IF(AND(C3257&lt;&gt;"",D3257&lt;&gt;""),D3257-C3257,"")</f>
        <v>0</v>
      </c>
      <c r="F3257" s="4" t="s">
        <v>4313</v>
      </c>
      <c r="G3257" s="4" t="s">
        <v>4314</v>
      </c>
      <c r="H3257" s="4" t="s">
        <v>190</v>
      </c>
      <c r="I3257" s="4" t="s">
        <v>56</v>
      </c>
      <c r="J3257" s="4">
        <v>0</v>
      </c>
      <c r="K3257" s="4">
        <v>0</v>
      </c>
      <c r="L3257" s="4">
        <f>J3257+K3257</f>
        <v>0</v>
      </c>
      <c r="M3257" s="4" t="s">
        <v>370</v>
      </c>
      <c r="N3257" s="4"/>
      <c r="O3257" s="4">
        <v>1</v>
      </c>
      <c r="P3257" s="4" t="s">
        <v>135</v>
      </c>
      <c r="Q3257" s="4" t="s">
        <v>44</v>
      </c>
      <c r="R3257" s="7">
        <v>2000000</v>
      </c>
      <c r="S3257" s="7">
        <v>0</v>
      </c>
      <c r="T3257" s="7">
        <f>R3257-S3257</f>
        <v>0</v>
      </c>
      <c r="U3257" s="7">
        <f>T3257*O3257</f>
        <v>0</v>
      </c>
    </row>
    <row r="3258" spans="1:21">
      <c r="A3258" s="4" t="s">
        <v>4312</v>
      </c>
      <c r="B3258" s="4" t="s">
        <v>39</v>
      </c>
      <c r="C3258" s="5">
        <v>45962.18184027778</v>
      </c>
      <c r="D3258" s="5">
        <v>45962</v>
      </c>
      <c r="E3258" s="6">
        <f>IF(AND(C3258&lt;&gt;"",D3258&lt;&gt;""),D3258-C3258,"")</f>
        <v>0</v>
      </c>
      <c r="F3258" s="4" t="s">
        <v>4313</v>
      </c>
      <c r="G3258" s="4" t="s">
        <v>4314</v>
      </c>
      <c r="H3258" s="4" t="s">
        <v>190</v>
      </c>
      <c r="I3258" s="4" t="s">
        <v>56</v>
      </c>
      <c r="J3258" s="4">
        <v>0</v>
      </c>
      <c r="K3258" s="4">
        <v>1</v>
      </c>
      <c r="L3258" s="4">
        <f>J3258+K3258</f>
        <v>0</v>
      </c>
      <c r="M3258" s="4" t="s">
        <v>81</v>
      </c>
      <c r="N3258" s="4"/>
      <c r="O3258" s="4">
        <v>1</v>
      </c>
      <c r="P3258" s="4" t="s">
        <v>135</v>
      </c>
      <c r="Q3258" s="4" t="s">
        <v>44</v>
      </c>
      <c r="R3258" s="7">
        <v>495000</v>
      </c>
      <c r="S3258" s="7">
        <v>0</v>
      </c>
      <c r="T3258" s="7">
        <f>R3258-S3258</f>
        <v>0</v>
      </c>
      <c r="U3258" s="7">
        <f>T3258*O3258</f>
        <v>0</v>
      </c>
    </row>
    <row r="3259" spans="1:21">
      <c r="A3259" s="4" t="s">
        <v>4315</v>
      </c>
      <c r="B3259" s="4" t="s">
        <v>39</v>
      </c>
      <c r="C3259" s="5">
        <v>45962.1922337963</v>
      </c>
      <c r="D3259" s="5">
        <v>45962</v>
      </c>
      <c r="E3259" s="6">
        <f>IF(AND(C3259&lt;&gt;"",D3259&lt;&gt;""),D3259-C3259,"")</f>
        <v>0</v>
      </c>
      <c r="F3259" s="4" t="s">
        <v>1229</v>
      </c>
      <c r="G3259" s="4"/>
      <c r="H3259" s="4"/>
      <c r="I3259" s="4" t="s">
        <v>56</v>
      </c>
      <c r="J3259" s="4">
        <v>3</v>
      </c>
      <c r="K3259" s="4">
        <v>0</v>
      </c>
      <c r="L3259" s="4">
        <f>J3259+K3259</f>
        <v>0</v>
      </c>
      <c r="M3259" s="4" t="s">
        <v>42</v>
      </c>
      <c r="N3259" s="4"/>
      <c r="O3259" s="4">
        <v>3</v>
      </c>
      <c r="P3259" s="4" t="s">
        <v>135</v>
      </c>
      <c r="Q3259" s="4" t="s">
        <v>44</v>
      </c>
      <c r="R3259" s="7">
        <v>370000</v>
      </c>
      <c r="S3259" s="7">
        <v>0</v>
      </c>
      <c r="T3259" s="7">
        <f>R3259-S3259</f>
        <v>0</v>
      </c>
      <c r="U3259" s="7">
        <f>T3259*O3259</f>
        <v>0</v>
      </c>
    </row>
    <row r="3260" spans="1:21">
      <c r="A3260" s="4" t="s">
        <v>4316</v>
      </c>
      <c r="B3260" s="4" t="s">
        <v>39</v>
      </c>
      <c r="C3260" s="5">
        <v>45962.20306712963</v>
      </c>
      <c r="D3260" s="5">
        <v>45962</v>
      </c>
      <c r="E3260" s="6">
        <f>IF(AND(C3260&lt;&gt;"",D3260&lt;&gt;""),D3260-C3260,"")</f>
        <v>0</v>
      </c>
      <c r="F3260" s="4" t="s">
        <v>4317</v>
      </c>
      <c r="G3260" s="4" t="s">
        <v>4318</v>
      </c>
      <c r="H3260" s="4" t="s">
        <v>190</v>
      </c>
      <c r="I3260" s="4" t="s">
        <v>56</v>
      </c>
      <c r="J3260" s="4">
        <v>2</v>
      </c>
      <c r="K3260" s="4">
        <v>0</v>
      </c>
      <c r="L3260" s="4">
        <f>J3260+K3260</f>
        <v>0</v>
      </c>
      <c r="M3260" s="4" t="s">
        <v>80</v>
      </c>
      <c r="N3260" s="4"/>
      <c r="O3260" s="4">
        <v>2</v>
      </c>
      <c r="P3260" s="4" t="s">
        <v>135</v>
      </c>
      <c r="Q3260" s="4" t="s">
        <v>44</v>
      </c>
      <c r="R3260" s="7">
        <v>610000</v>
      </c>
      <c r="S3260" s="7">
        <v>61000</v>
      </c>
      <c r="T3260" s="7">
        <f>R3260-S3260</f>
        <v>0</v>
      </c>
      <c r="U3260" s="7">
        <f>T3260*O3260</f>
        <v>0</v>
      </c>
    </row>
    <row r="3261" spans="1:21">
      <c r="A3261" s="4" t="s">
        <v>4316</v>
      </c>
      <c r="B3261" s="4" t="s">
        <v>39</v>
      </c>
      <c r="C3261" s="5">
        <v>45962.20306712963</v>
      </c>
      <c r="D3261" s="5">
        <v>45962</v>
      </c>
      <c r="E3261" s="6">
        <f>IF(AND(C3261&lt;&gt;"",D3261&lt;&gt;""),D3261-C3261,"")</f>
        <v>0</v>
      </c>
      <c r="F3261" s="4" t="s">
        <v>4317</v>
      </c>
      <c r="G3261" s="4" t="s">
        <v>4318</v>
      </c>
      <c r="H3261" s="4" t="s">
        <v>190</v>
      </c>
      <c r="I3261" s="4" t="s">
        <v>56</v>
      </c>
      <c r="J3261" s="4">
        <v>0</v>
      </c>
      <c r="K3261" s="4">
        <v>0</v>
      </c>
      <c r="L3261" s="4">
        <f>J3261+K3261</f>
        <v>0</v>
      </c>
      <c r="M3261" s="4" t="s">
        <v>370</v>
      </c>
      <c r="N3261" s="4"/>
      <c r="O3261" s="4">
        <v>1</v>
      </c>
      <c r="P3261" s="4" t="s">
        <v>135</v>
      </c>
      <c r="Q3261" s="4" t="s">
        <v>44</v>
      </c>
      <c r="R3261" s="7">
        <v>3000000</v>
      </c>
      <c r="S3261" s="7">
        <v>0</v>
      </c>
      <c r="T3261" s="7">
        <f>R3261-S3261</f>
        <v>0</v>
      </c>
      <c r="U3261" s="7">
        <f>T3261*O3261</f>
        <v>0</v>
      </c>
    </row>
    <row r="3262" spans="1:21">
      <c r="A3262" s="4" t="s">
        <v>4316</v>
      </c>
      <c r="B3262" s="4" t="s">
        <v>39</v>
      </c>
      <c r="C3262" s="5">
        <v>45962.20306712963</v>
      </c>
      <c r="D3262" s="5">
        <v>45962</v>
      </c>
      <c r="E3262" s="6">
        <f>IF(AND(C3262&lt;&gt;"",D3262&lt;&gt;""),D3262-C3262,"")</f>
        <v>0</v>
      </c>
      <c r="F3262" s="4" t="s">
        <v>4317</v>
      </c>
      <c r="G3262" s="4" t="s">
        <v>4318</v>
      </c>
      <c r="H3262" s="4" t="s">
        <v>190</v>
      </c>
      <c r="I3262" s="4" t="s">
        <v>56</v>
      </c>
      <c r="J3262" s="4">
        <v>0</v>
      </c>
      <c r="K3262" s="4">
        <v>1</v>
      </c>
      <c r="L3262" s="4">
        <f>J3262+K3262</f>
        <v>0</v>
      </c>
      <c r="M3262" s="4" t="s">
        <v>81</v>
      </c>
      <c r="N3262" s="4"/>
      <c r="O3262" s="4">
        <v>1</v>
      </c>
      <c r="P3262" s="4" t="s">
        <v>135</v>
      </c>
      <c r="Q3262" s="4" t="s">
        <v>44</v>
      </c>
      <c r="R3262" s="7">
        <v>495000</v>
      </c>
      <c r="S3262" s="7">
        <v>49500</v>
      </c>
      <c r="T3262" s="7">
        <f>R3262-S3262</f>
        <v>0</v>
      </c>
      <c r="U3262" s="7">
        <f>T3262*O3262</f>
        <v>0</v>
      </c>
    </row>
    <row r="3263" spans="1:21">
      <c r="A3263" s="4" t="s">
        <v>4319</v>
      </c>
      <c r="B3263" s="4" t="s">
        <v>39</v>
      </c>
      <c r="C3263" s="5">
        <v>45962.23721064815</v>
      </c>
      <c r="D3263" s="5">
        <v>45962</v>
      </c>
      <c r="E3263" s="6">
        <f>IF(AND(C3263&lt;&gt;"",D3263&lt;&gt;""),D3263-C3263,"")</f>
        <v>0</v>
      </c>
      <c r="F3263" s="4" t="s">
        <v>4320</v>
      </c>
      <c r="G3263" s="4" t="s">
        <v>4321</v>
      </c>
      <c r="H3263" s="4" t="s">
        <v>32</v>
      </c>
      <c r="I3263" s="4" t="s">
        <v>33</v>
      </c>
      <c r="J3263" s="4">
        <v>3</v>
      </c>
      <c r="K3263" s="4">
        <v>0</v>
      </c>
      <c r="L3263" s="4">
        <f>J3263+K3263</f>
        <v>0</v>
      </c>
      <c r="M3263" s="4" t="s">
        <v>80</v>
      </c>
      <c r="N3263" s="4"/>
      <c r="O3263" s="4">
        <v>3</v>
      </c>
      <c r="P3263" s="4" t="s">
        <v>135</v>
      </c>
      <c r="Q3263" s="4"/>
      <c r="R3263" s="7">
        <v>610000</v>
      </c>
      <c r="S3263" s="7">
        <v>0</v>
      </c>
      <c r="T3263" s="7">
        <f>R3263-S3263</f>
        <v>0</v>
      </c>
      <c r="U3263" s="7">
        <f>T3263*O3263</f>
        <v>0</v>
      </c>
    </row>
    <row r="3264" spans="1:21">
      <c r="A3264" s="4" t="s">
        <v>4322</v>
      </c>
      <c r="B3264" s="4" t="s">
        <v>39</v>
      </c>
      <c r="C3264" s="5">
        <v>45962.2940625</v>
      </c>
      <c r="D3264" s="5">
        <v>45962</v>
      </c>
      <c r="E3264" s="6">
        <f>IF(AND(C3264&lt;&gt;"",D3264&lt;&gt;""),D3264-C3264,"")</f>
        <v>0</v>
      </c>
      <c r="F3264" s="4" t="s">
        <v>4323</v>
      </c>
      <c r="G3264" s="4" t="s">
        <v>4324</v>
      </c>
      <c r="H3264" s="4" t="s">
        <v>190</v>
      </c>
      <c r="I3264" s="4" t="s">
        <v>56</v>
      </c>
      <c r="J3264" s="4">
        <v>0</v>
      </c>
      <c r="K3264" s="4">
        <v>0</v>
      </c>
      <c r="L3264" s="4">
        <f>J3264+K3264</f>
        <v>0</v>
      </c>
      <c r="M3264" s="4" t="s">
        <v>370</v>
      </c>
      <c r="N3264" s="4"/>
      <c r="O3264" s="4">
        <v>1</v>
      </c>
      <c r="P3264" s="4" t="s">
        <v>135</v>
      </c>
      <c r="Q3264" s="4" t="s">
        <v>44</v>
      </c>
      <c r="R3264" s="7">
        <v>1000000</v>
      </c>
      <c r="S3264" s="7">
        <v>0</v>
      </c>
      <c r="T3264" s="7">
        <f>R3264-S3264</f>
        <v>0</v>
      </c>
      <c r="U3264" s="7">
        <f>T3264*O3264</f>
        <v>0</v>
      </c>
    </row>
    <row r="3265" spans="1:21">
      <c r="A3265" s="4" t="s">
        <v>4322</v>
      </c>
      <c r="B3265" s="4" t="s">
        <v>39</v>
      </c>
      <c r="C3265" s="5">
        <v>45962.2940625</v>
      </c>
      <c r="D3265" s="5">
        <v>45962</v>
      </c>
      <c r="E3265" s="6">
        <f>IF(AND(C3265&lt;&gt;"",D3265&lt;&gt;""),D3265-C3265,"")</f>
        <v>0</v>
      </c>
      <c r="F3265" s="4" t="s">
        <v>4323</v>
      </c>
      <c r="G3265" s="4" t="s">
        <v>4324</v>
      </c>
      <c r="H3265" s="4" t="s">
        <v>190</v>
      </c>
      <c r="I3265" s="4" t="s">
        <v>56</v>
      </c>
      <c r="J3265" s="4">
        <v>0</v>
      </c>
      <c r="K3265" s="4">
        <v>0</v>
      </c>
      <c r="L3265" s="4">
        <f>J3265+K3265</f>
        <v>0</v>
      </c>
      <c r="M3265" s="4" t="s">
        <v>370</v>
      </c>
      <c r="N3265" s="4"/>
      <c r="O3265" s="4">
        <v>0</v>
      </c>
      <c r="P3265" s="4" t="s">
        <v>135</v>
      </c>
      <c r="Q3265" s="4" t="s">
        <v>44</v>
      </c>
      <c r="R3265" s="7">
        <v>0</v>
      </c>
      <c r="S3265" s="7">
        <v>0</v>
      </c>
      <c r="T3265" s="7">
        <f>R3265-S3265</f>
        <v>0</v>
      </c>
      <c r="U3265" s="7">
        <f>T3265*O3265</f>
        <v>0</v>
      </c>
    </row>
    <row r="3266" spans="1:21">
      <c r="A3266" s="4" t="s">
        <v>4322</v>
      </c>
      <c r="B3266" s="4" t="s">
        <v>39</v>
      </c>
      <c r="C3266" s="5">
        <v>45962.2940625</v>
      </c>
      <c r="D3266" s="5">
        <v>45962</v>
      </c>
      <c r="E3266" s="6">
        <f>IF(AND(C3266&lt;&gt;"",D3266&lt;&gt;""),D3266-C3266,"")</f>
        <v>0</v>
      </c>
      <c r="F3266" s="4" t="s">
        <v>4323</v>
      </c>
      <c r="G3266" s="4" t="s">
        <v>4324</v>
      </c>
      <c r="H3266" s="4" t="s">
        <v>190</v>
      </c>
      <c r="I3266" s="4" t="s">
        <v>56</v>
      </c>
      <c r="J3266" s="4">
        <v>0</v>
      </c>
      <c r="K3266" s="4">
        <v>0</v>
      </c>
      <c r="L3266" s="4">
        <f>J3266+K3266</f>
        <v>0</v>
      </c>
      <c r="M3266" s="4" t="s">
        <v>370</v>
      </c>
      <c r="N3266" s="4"/>
      <c r="O3266" s="4">
        <v>0</v>
      </c>
      <c r="P3266" s="4" t="s">
        <v>135</v>
      </c>
      <c r="Q3266" s="4" t="s">
        <v>44</v>
      </c>
      <c r="R3266" s="7">
        <v>0</v>
      </c>
      <c r="S3266" s="7">
        <v>0</v>
      </c>
      <c r="T3266" s="7">
        <f>R3266-S3266</f>
        <v>0</v>
      </c>
      <c r="U3266" s="7">
        <f>T3266*O3266</f>
        <v>0</v>
      </c>
    </row>
    <row r="3267" spans="1:21">
      <c r="A3267" s="4" t="s">
        <v>4325</v>
      </c>
      <c r="B3267" s="4" t="s">
        <v>39</v>
      </c>
      <c r="C3267" s="5">
        <v>45963.11112268519</v>
      </c>
      <c r="D3267" s="5">
        <v>45963</v>
      </c>
      <c r="E3267" s="6">
        <f>IF(AND(C3267&lt;&gt;"",D3267&lt;&gt;""),D3267-C3267,"")</f>
        <v>0</v>
      </c>
      <c r="F3267" s="4" t="s">
        <v>4326</v>
      </c>
      <c r="G3267" s="4" t="s">
        <v>4327</v>
      </c>
      <c r="H3267" s="4" t="s">
        <v>699</v>
      </c>
      <c r="I3267" s="4" t="s">
        <v>56</v>
      </c>
      <c r="J3267" s="4">
        <v>0</v>
      </c>
      <c r="K3267" s="4">
        <v>0</v>
      </c>
      <c r="L3267" s="4">
        <f>J3267+K3267</f>
        <v>0</v>
      </c>
      <c r="M3267" s="4" t="s">
        <v>370</v>
      </c>
      <c r="N3267" s="4"/>
      <c r="O3267" s="4">
        <v>1</v>
      </c>
      <c r="P3267" s="4" t="s">
        <v>135</v>
      </c>
      <c r="Q3267" s="4" t="s">
        <v>44</v>
      </c>
      <c r="R3267" s="7">
        <v>500000</v>
      </c>
      <c r="S3267" s="7">
        <v>0</v>
      </c>
      <c r="T3267" s="7">
        <f>R3267-S3267</f>
        <v>0</v>
      </c>
      <c r="U3267" s="7">
        <f>T3267*O3267</f>
        <v>0</v>
      </c>
    </row>
    <row r="3268" spans="1:21">
      <c r="A3268" s="4" t="s">
        <v>4328</v>
      </c>
      <c r="B3268" s="4" t="s">
        <v>39</v>
      </c>
      <c r="C3268" s="5">
        <v>45963.23138888889</v>
      </c>
      <c r="D3268" s="5">
        <v>45963</v>
      </c>
      <c r="E3268" s="6">
        <f>IF(AND(C3268&lt;&gt;"",D3268&lt;&gt;""),D3268-C3268,"")</f>
        <v>0</v>
      </c>
      <c r="F3268" s="4" t="s">
        <v>4329</v>
      </c>
      <c r="G3268" s="4" t="s">
        <v>4330</v>
      </c>
      <c r="H3268" s="4" t="s">
        <v>2581</v>
      </c>
      <c r="I3268" s="4" t="s">
        <v>56</v>
      </c>
      <c r="J3268" s="4">
        <v>0</v>
      </c>
      <c r="K3268" s="4">
        <v>0</v>
      </c>
      <c r="L3268" s="4">
        <f>J3268+K3268</f>
        <v>0</v>
      </c>
      <c r="M3268" s="4" t="s">
        <v>370</v>
      </c>
      <c r="N3268" s="4"/>
      <c r="O3268" s="4">
        <v>1</v>
      </c>
      <c r="P3268" s="4" t="s">
        <v>135</v>
      </c>
      <c r="Q3268" s="4"/>
      <c r="R3268" s="7">
        <v>2000000</v>
      </c>
      <c r="S3268" s="7">
        <v>0</v>
      </c>
      <c r="T3268" s="7">
        <f>R3268-S3268</f>
        <v>0</v>
      </c>
      <c r="U3268" s="7">
        <f>T3268*O3268</f>
        <v>0</v>
      </c>
    </row>
    <row r="3269" spans="1:21">
      <c r="A3269" s="4" t="s">
        <v>4331</v>
      </c>
      <c r="B3269" s="4" t="s">
        <v>48</v>
      </c>
      <c r="C3269" s="5">
        <v>45963.26498842592</v>
      </c>
      <c r="D3269" s="5">
        <v>45964</v>
      </c>
      <c r="E3269" s="6">
        <f>IF(AND(C3269&lt;&gt;"",D3269&lt;&gt;""),D3269-C3269,"")</f>
        <v>0</v>
      </c>
      <c r="F3269" s="4" t="s">
        <v>4332</v>
      </c>
      <c r="G3269" s="4" t="s">
        <v>4333</v>
      </c>
      <c r="H3269" s="4" t="s">
        <v>32</v>
      </c>
      <c r="I3269" s="4" t="s">
        <v>33</v>
      </c>
      <c r="J3269" s="4">
        <v>3</v>
      </c>
      <c r="K3269" s="4">
        <v>0</v>
      </c>
      <c r="L3269" s="4">
        <f>J3269+K3269</f>
        <v>0</v>
      </c>
      <c r="M3269" s="4"/>
      <c r="N3269" s="4"/>
      <c r="O3269" s="4">
        <v>0</v>
      </c>
      <c r="P3269" s="4"/>
      <c r="Q3269" s="4"/>
      <c r="R3269" s="7">
        <v>0</v>
      </c>
      <c r="S3269" s="7">
        <v>0</v>
      </c>
      <c r="T3269" s="7">
        <f>R3269-S3269</f>
        <v>0</v>
      </c>
      <c r="U3269" s="7">
        <f>T3269*O3269</f>
        <v>0</v>
      </c>
    </row>
    <row r="3270" spans="1:21">
      <c r="A3270" s="4" t="s">
        <v>4334</v>
      </c>
      <c r="B3270" s="4" t="s">
        <v>48</v>
      </c>
      <c r="C3270" s="5">
        <v>45963.26806712963</v>
      </c>
      <c r="D3270" s="5">
        <v>45964</v>
      </c>
      <c r="E3270" s="6">
        <f>IF(AND(C3270&lt;&gt;"",D3270&lt;&gt;""),D3270-C3270,"")</f>
        <v>0</v>
      </c>
      <c r="F3270" s="4" t="s">
        <v>4335</v>
      </c>
      <c r="G3270" s="4" t="s">
        <v>4336</v>
      </c>
      <c r="H3270" s="4" t="s">
        <v>32</v>
      </c>
      <c r="I3270" s="4" t="s">
        <v>33</v>
      </c>
      <c r="J3270" s="4">
        <v>2</v>
      </c>
      <c r="K3270" s="4">
        <v>2</v>
      </c>
      <c r="L3270" s="4">
        <f>J3270+K3270</f>
        <v>0</v>
      </c>
      <c r="M3270" s="4"/>
      <c r="N3270" s="4"/>
      <c r="O3270" s="4">
        <v>0</v>
      </c>
      <c r="P3270" s="4"/>
      <c r="Q3270" s="4"/>
      <c r="R3270" s="7">
        <v>0</v>
      </c>
      <c r="S3270" s="7">
        <v>0</v>
      </c>
      <c r="T3270" s="7">
        <f>R3270-S3270</f>
        <v>0</v>
      </c>
      <c r="U3270" s="7">
        <f>T3270*O3270</f>
        <v>0</v>
      </c>
    </row>
    <row r="3271" spans="1:21">
      <c r="A3271" s="4" t="s">
        <v>4337</v>
      </c>
      <c r="B3271" s="4" t="s">
        <v>48</v>
      </c>
      <c r="C3271" s="5">
        <v>45963.27149305555</v>
      </c>
      <c r="D3271" s="5">
        <v>45963</v>
      </c>
      <c r="E3271" s="6">
        <f>IF(AND(C3271&lt;&gt;"",D3271&lt;&gt;""),D3271-C3271,"")</f>
        <v>0</v>
      </c>
      <c r="F3271" s="4" t="s">
        <v>4338</v>
      </c>
      <c r="G3271" s="4" t="s">
        <v>4339</v>
      </c>
      <c r="H3271" s="4" t="s">
        <v>32</v>
      </c>
      <c r="I3271" s="4" t="s">
        <v>33</v>
      </c>
      <c r="J3271" s="4">
        <v>2</v>
      </c>
      <c r="K3271" s="4">
        <v>2</v>
      </c>
      <c r="L3271" s="4">
        <f>J3271+K3271</f>
        <v>0</v>
      </c>
      <c r="M3271" s="4"/>
      <c r="N3271" s="4"/>
      <c r="O3271" s="4">
        <v>0</v>
      </c>
      <c r="P3271" s="4"/>
      <c r="Q3271" s="4"/>
      <c r="R3271" s="7">
        <v>0</v>
      </c>
      <c r="S3271" s="7">
        <v>0</v>
      </c>
      <c r="T3271" s="7">
        <f>R3271-S3271</f>
        <v>0</v>
      </c>
      <c r="U3271" s="7">
        <f>T3271*O3271</f>
        <v>0</v>
      </c>
    </row>
    <row r="3272" spans="1:21">
      <c r="A3272" s="4" t="s">
        <v>4340</v>
      </c>
      <c r="B3272" s="4" t="s">
        <v>39</v>
      </c>
      <c r="C3272" s="5">
        <v>45963.29508101852</v>
      </c>
      <c r="D3272" s="5">
        <v>45963</v>
      </c>
      <c r="E3272" s="6">
        <f>IF(AND(C3272&lt;&gt;"",D3272&lt;&gt;""),D3272-C3272,"")</f>
        <v>0</v>
      </c>
      <c r="F3272" s="4" t="s">
        <v>4341</v>
      </c>
      <c r="G3272" s="4" t="s">
        <v>4342</v>
      </c>
      <c r="H3272" s="4" t="s">
        <v>1262</v>
      </c>
      <c r="I3272" s="4" t="s">
        <v>56</v>
      </c>
      <c r="J3272" s="4">
        <v>1</v>
      </c>
      <c r="K3272" s="4">
        <v>0</v>
      </c>
      <c r="L3272" s="4">
        <f>J3272+K3272</f>
        <v>0</v>
      </c>
      <c r="M3272" s="4" t="s">
        <v>976</v>
      </c>
      <c r="N3272" s="4"/>
      <c r="O3272" s="4">
        <v>1</v>
      </c>
      <c r="P3272" s="4" t="s">
        <v>135</v>
      </c>
      <c r="Q3272" s="4"/>
      <c r="R3272" s="7">
        <v>1500000</v>
      </c>
      <c r="S3272" s="7">
        <v>0</v>
      </c>
      <c r="T3272" s="7">
        <f>R3272-S3272</f>
        <v>0</v>
      </c>
      <c r="U3272" s="7">
        <f>T3272*O3272</f>
        <v>0</v>
      </c>
    </row>
    <row r="3273" spans="1:21">
      <c r="A3273" s="4" t="s">
        <v>4343</v>
      </c>
      <c r="B3273" s="4" t="s">
        <v>39</v>
      </c>
      <c r="C3273" s="5">
        <v>45963.30288194444</v>
      </c>
      <c r="D3273" s="5">
        <v>45963</v>
      </c>
      <c r="E3273" s="6">
        <f>IF(AND(C3273&lt;&gt;"",D3273&lt;&gt;""),D3273-C3273,"")</f>
        <v>0</v>
      </c>
      <c r="F3273" s="4" t="s">
        <v>4344</v>
      </c>
      <c r="G3273" s="4" t="s">
        <v>4345</v>
      </c>
      <c r="H3273" s="4" t="s">
        <v>4346</v>
      </c>
      <c r="I3273" s="4" t="s">
        <v>56</v>
      </c>
      <c r="J3273" s="4">
        <v>1</v>
      </c>
      <c r="K3273" s="4">
        <v>0</v>
      </c>
      <c r="L3273" s="4">
        <f>J3273+K3273</f>
        <v>0</v>
      </c>
      <c r="M3273" s="4" t="s">
        <v>1645</v>
      </c>
      <c r="N3273" s="4"/>
      <c r="O3273" s="4">
        <v>1</v>
      </c>
      <c r="P3273" s="4" t="s">
        <v>135</v>
      </c>
      <c r="Q3273" s="4"/>
      <c r="R3273" s="7">
        <v>2100000</v>
      </c>
      <c r="S3273" s="7">
        <v>0</v>
      </c>
      <c r="T3273" s="7">
        <f>R3273-S3273</f>
        <v>0</v>
      </c>
      <c r="U3273" s="7">
        <f>T3273*O3273</f>
        <v>0</v>
      </c>
    </row>
    <row r="3274" spans="1:21">
      <c r="A3274" s="4" t="s">
        <v>4347</v>
      </c>
      <c r="B3274" s="4" t="s">
        <v>39</v>
      </c>
      <c r="C3274" s="5">
        <v>45963.31319444445</v>
      </c>
      <c r="D3274" s="5">
        <v>45963</v>
      </c>
      <c r="E3274" s="6">
        <f>IF(AND(C3274&lt;&gt;"",D3274&lt;&gt;""),D3274-C3274,"")</f>
        <v>0</v>
      </c>
      <c r="F3274" s="4" t="s">
        <v>4006</v>
      </c>
      <c r="G3274" s="4" t="s">
        <v>4348</v>
      </c>
      <c r="H3274" s="4" t="s">
        <v>4349</v>
      </c>
      <c r="I3274" s="4" t="s">
        <v>56</v>
      </c>
      <c r="J3274" s="4">
        <v>1</v>
      </c>
      <c r="K3274" s="4">
        <v>0</v>
      </c>
      <c r="L3274" s="4">
        <f>J3274+K3274</f>
        <v>0</v>
      </c>
      <c r="M3274" s="4" t="s">
        <v>1645</v>
      </c>
      <c r="N3274" s="4"/>
      <c r="O3274" s="4">
        <v>1</v>
      </c>
      <c r="P3274" s="4" t="s">
        <v>135</v>
      </c>
      <c r="Q3274" s="4" t="s">
        <v>44</v>
      </c>
      <c r="R3274" s="7">
        <v>0</v>
      </c>
      <c r="S3274" s="7">
        <v>0</v>
      </c>
      <c r="T3274" s="7">
        <f>R3274-S3274</f>
        <v>0</v>
      </c>
      <c r="U3274" s="7">
        <f>T3274*O3274</f>
        <v>0</v>
      </c>
    </row>
    <row r="3275" spans="1:21">
      <c r="A3275" s="4" t="s">
        <v>4350</v>
      </c>
      <c r="B3275" s="4" t="s">
        <v>39</v>
      </c>
      <c r="C3275" s="5">
        <v>45963.31704861111</v>
      </c>
      <c r="D3275" s="5">
        <v>45963</v>
      </c>
      <c r="E3275" s="6">
        <f>IF(AND(C3275&lt;&gt;"",D3275&lt;&gt;""),D3275-C3275,"")</f>
        <v>0</v>
      </c>
      <c r="F3275" s="4" t="s">
        <v>4351</v>
      </c>
      <c r="G3275" s="4" t="s">
        <v>4352</v>
      </c>
      <c r="H3275" s="4" t="s">
        <v>4349</v>
      </c>
      <c r="I3275" s="4" t="s">
        <v>56</v>
      </c>
      <c r="J3275" s="4">
        <v>1</v>
      </c>
      <c r="K3275" s="4">
        <v>0</v>
      </c>
      <c r="L3275" s="4">
        <f>J3275+K3275</f>
        <v>0</v>
      </c>
      <c r="M3275" s="4" t="s">
        <v>1645</v>
      </c>
      <c r="N3275" s="4"/>
      <c r="O3275" s="4">
        <v>1</v>
      </c>
      <c r="P3275" s="4" t="s">
        <v>135</v>
      </c>
      <c r="Q3275" s="4" t="s">
        <v>44</v>
      </c>
      <c r="R3275" s="7">
        <v>2100000</v>
      </c>
      <c r="S3275" s="7">
        <v>0</v>
      </c>
      <c r="T3275" s="7">
        <f>R3275-S3275</f>
        <v>0</v>
      </c>
      <c r="U3275" s="7">
        <f>T3275*O3275</f>
        <v>0</v>
      </c>
    </row>
    <row r="3276" spans="1:21">
      <c r="A3276" s="4" t="s">
        <v>4353</v>
      </c>
      <c r="B3276" s="4" t="s">
        <v>39</v>
      </c>
      <c r="C3276" s="5">
        <v>45963.319375</v>
      </c>
      <c r="D3276" s="5">
        <v>45963</v>
      </c>
      <c r="E3276" s="6">
        <f>IF(AND(C3276&lt;&gt;"",D3276&lt;&gt;""),D3276-C3276,"")</f>
        <v>0</v>
      </c>
      <c r="F3276" s="4" t="s">
        <v>4354</v>
      </c>
      <c r="G3276" s="4" t="s">
        <v>4355</v>
      </c>
      <c r="H3276" s="4" t="s">
        <v>4349</v>
      </c>
      <c r="I3276" s="4" t="s">
        <v>56</v>
      </c>
      <c r="J3276" s="4">
        <v>1</v>
      </c>
      <c r="K3276" s="4">
        <v>0</v>
      </c>
      <c r="L3276" s="4">
        <f>J3276+K3276</f>
        <v>0</v>
      </c>
      <c r="M3276" s="4" t="s">
        <v>1645</v>
      </c>
      <c r="N3276" s="4"/>
      <c r="O3276" s="4">
        <v>1</v>
      </c>
      <c r="P3276" s="4" t="s">
        <v>135</v>
      </c>
      <c r="Q3276" s="4" t="s">
        <v>44</v>
      </c>
      <c r="R3276" s="7">
        <v>2100000</v>
      </c>
      <c r="S3276" s="7">
        <v>0</v>
      </c>
      <c r="T3276" s="7">
        <f>R3276-S3276</f>
        <v>0</v>
      </c>
      <c r="U3276" s="7">
        <f>T3276*O3276</f>
        <v>0</v>
      </c>
    </row>
    <row r="3277" spans="1:21">
      <c r="A3277" s="4" t="s">
        <v>4356</v>
      </c>
      <c r="B3277" s="4" t="s">
        <v>39</v>
      </c>
      <c r="C3277" s="5">
        <v>45963.32202546296</v>
      </c>
      <c r="D3277" s="5">
        <v>45963</v>
      </c>
      <c r="E3277" s="6">
        <f>IF(AND(C3277&lt;&gt;"",D3277&lt;&gt;""),D3277-C3277,"")</f>
        <v>0</v>
      </c>
      <c r="F3277" s="4" t="s">
        <v>4357</v>
      </c>
      <c r="G3277" s="4" t="s">
        <v>4358</v>
      </c>
      <c r="H3277" s="4" t="s">
        <v>190</v>
      </c>
      <c r="I3277" s="4" t="s">
        <v>56</v>
      </c>
      <c r="J3277" s="4">
        <v>1</v>
      </c>
      <c r="K3277" s="4">
        <v>0</v>
      </c>
      <c r="L3277" s="4">
        <f>J3277+K3277</f>
        <v>0</v>
      </c>
      <c r="M3277" s="4" t="s">
        <v>976</v>
      </c>
      <c r="N3277" s="4"/>
      <c r="O3277" s="4">
        <v>1</v>
      </c>
      <c r="P3277" s="4" t="s">
        <v>135</v>
      </c>
      <c r="Q3277" s="4" t="s">
        <v>44</v>
      </c>
      <c r="R3277" s="7">
        <v>1500000</v>
      </c>
      <c r="S3277" s="7">
        <v>0</v>
      </c>
      <c r="T3277" s="7">
        <f>R3277-S3277</f>
        <v>0</v>
      </c>
      <c r="U3277" s="7">
        <f>T3277*O3277</f>
        <v>0</v>
      </c>
    </row>
    <row r="3278" spans="1:21">
      <c r="A3278" s="4" t="s">
        <v>4356</v>
      </c>
      <c r="B3278" s="4" t="s">
        <v>39</v>
      </c>
      <c r="C3278" s="5">
        <v>45963.32202546296</v>
      </c>
      <c r="D3278" s="5">
        <v>45963</v>
      </c>
      <c r="E3278" s="6">
        <f>IF(AND(C3278&lt;&gt;"",D3278&lt;&gt;""),D3278-C3278,"")</f>
        <v>0</v>
      </c>
      <c r="F3278" s="4" t="s">
        <v>4357</v>
      </c>
      <c r="G3278" s="4" t="s">
        <v>4358</v>
      </c>
      <c r="H3278" s="4" t="s">
        <v>190</v>
      </c>
      <c r="I3278" s="4" t="s">
        <v>56</v>
      </c>
      <c r="J3278" s="4">
        <v>0</v>
      </c>
      <c r="K3278" s="4">
        <v>0</v>
      </c>
      <c r="L3278" s="4">
        <f>J3278+K3278</f>
        <v>0</v>
      </c>
      <c r="M3278" s="4" t="s">
        <v>370</v>
      </c>
      <c r="N3278" s="4"/>
      <c r="O3278" s="4">
        <v>1</v>
      </c>
      <c r="P3278" s="4" t="s">
        <v>135</v>
      </c>
      <c r="Q3278" s="4" t="s">
        <v>44</v>
      </c>
      <c r="R3278" s="7">
        <v>0</v>
      </c>
      <c r="S3278" s="7">
        <v>0</v>
      </c>
      <c r="T3278" s="7">
        <f>R3278-S3278</f>
        <v>0</v>
      </c>
      <c r="U3278" s="7">
        <f>T3278*O3278</f>
        <v>0</v>
      </c>
    </row>
    <row r="3279" spans="1:21">
      <c r="A3279" s="4" t="s">
        <v>4359</v>
      </c>
      <c r="B3279" s="4" t="s">
        <v>39</v>
      </c>
      <c r="C3279" s="5">
        <v>45963.33802083333</v>
      </c>
      <c r="D3279" s="5">
        <v>45963</v>
      </c>
      <c r="E3279" s="6">
        <f>IF(AND(C3279&lt;&gt;"",D3279&lt;&gt;""),D3279-C3279,"")</f>
        <v>0</v>
      </c>
      <c r="F3279" s="4" t="s">
        <v>4360</v>
      </c>
      <c r="G3279" s="4" t="s">
        <v>4361</v>
      </c>
      <c r="H3279" s="4" t="s">
        <v>4349</v>
      </c>
      <c r="I3279" s="4" t="s">
        <v>56</v>
      </c>
      <c r="J3279" s="4">
        <v>1</v>
      </c>
      <c r="K3279" s="4">
        <v>0</v>
      </c>
      <c r="L3279" s="4">
        <f>J3279+K3279</f>
        <v>0</v>
      </c>
      <c r="M3279" s="4" t="s">
        <v>1645</v>
      </c>
      <c r="N3279" s="4"/>
      <c r="O3279" s="4">
        <v>1</v>
      </c>
      <c r="P3279" s="4" t="s">
        <v>135</v>
      </c>
      <c r="Q3279" s="4" t="s">
        <v>44</v>
      </c>
      <c r="R3279" s="7">
        <v>2100000</v>
      </c>
      <c r="S3279" s="7">
        <v>0</v>
      </c>
      <c r="T3279" s="7">
        <f>R3279-S3279</f>
        <v>0</v>
      </c>
      <c r="U3279" s="7">
        <f>T3279*O3279</f>
        <v>0</v>
      </c>
    </row>
    <row r="3280" spans="1:21">
      <c r="A3280" s="4" t="s">
        <v>4362</v>
      </c>
      <c r="B3280" s="4" t="s">
        <v>39</v>
      </c>
      <c r="C3280" s="5">
        <v>45963.344375</v>
      </c>
      <c r="D3280" s="5">
        <v>45963</v>
      </c>
      <c r="E3280" s="6">
        <f>IF(AND(C3280&lt;&gt;"",D3280&lt;&gt;""),D3280-C3280,"")</f>
        <v>0</v>
      </c>
      <c r="F3280" s="4" t="s">
        <v>4363</v>
      </c>
      <c r="G3280" s="4" t="s">
        <v>4364</v>
      </c>
      <c r="H3280" s="4" t="s">
        <v>4349</v>
      </c>
      <c r="I3280" s="4" t="s">
        <v>56</v>
      </c>
      <c r="J3280" s="4">
        <v>1</v>
      </c>
      <c r="K3280" s="4">
        <v>0</v>
      </c>
      <c r="L3280" s="4">
        <f>J3280+K3280</f>
        <v>0</v>
      </c>
      <c r="M3280" s="4" t="s">
        <v>80</v>
      </c>
      <c r="N3280" s="4"/>
      <c r="O3280" s="4">
        <v>1</v>
      </c>
      <c r="P3280" s="4" t="s">
        <v>135</v>
      </c>
      <c r="Q3280" s="4" t="s">
        <v>44</v>
      </c>
      <c r="R3280" s="7">
        <v>610000</v>
      </c>
      <c r="S3280" s="7">
        <v>0</v>
      </c>
      <c r="T3280" s="7">
        <f>R3280-S3280</f>
        <v>0</v>
      </c>
      <c r="U3280" s="7">
        <f>T3280*O3280</f>
        <v>0</v>
      </c>
    </row>
    <row r="3281" spans="1:21">
      <c r="A3281" s="4" t="s">
        <v>4365</v>
      </c>
      <c r="B3281" s="4" t="s">
        <v>39</v>
      </c>
      <c r="C3281" s="5">
        <v>45963.34497685185</v>
      </c>
      <c r="D3281" s="5">
        <v>45963</v>
      </c>
      <c r="E3281" s="6">
        <f>IF(AND(C3281&lt;&gt;"",D3281&lt;&gt;""),D3281-C3281,"")</f>
        <v>0</v>
      </c>
      <c r="F3281" s="4" t="s">
        <v>4366</v>
      </c>
      <c r="G3281" s="4" t="s">
        <v>4367</v>
      </c>
      <c r="H3281" s="4" t="s">
        <v>4349</v>
      </c>
      <c r="I3281" s="4" t="s">
        <v>56</v>
      </c>
      <c r="J3281" s="4">
        <v>1</v>
      </c>
      <c r="K3281" s="4">
        <v>0</v>
      </c>
      <c r="L3281" s="4">
        <f>J3281+K3281</f>
        <v>0</v>
      </c>
      <c r="M3281" s="4" t="s">
        <v>80</v>
      </c>
      <c r="N3281" s="4"/>
      <c r="O3281" s="4">
        <v>1</v>
      </c>
      <c r="P3281" s="4" t="s">
        <v>135</v>
      </c>
      <c r="Q3281" s="4" t="s">
        <v>44</v>
      </c>
      <c r="R3281" s="7">
        <v>610000</v>
      </c>
      <c r="S3281" s="7">
        <v>0</v>
      </c>
      <c r="T3281" s="7">
        <f>R3281-S3281</f>
        <v>0</v>
      </c>
      <c r="U3281" s="7">
        <f>T3281*O3281</f>
        <v>0</v>
      </c>
    </row>
    <row r="3282" spans="1:21">
      <c r="A3282" s="4" t="s">
        <v>4368</v>
      </c>
      <c r="B3282" s="4" t="s">
        <v>39</v>
      </c>
      <c r="C3282" s="5">
        <v>45963.3503125</v>
      </c>
      <c r="D3282" s="5">
        <v>45963</v>
      </c>
      <c r="E3282" s="6">
        <f>IF(AND(C3282&lt;&gt;"",D3282&lt;&gt;""),D3282-C3282,"")</f>
        <v>0</v>
      </c>
      <c r="F3282" s="4" t="s">
        <v>4366</v>
      </c>
      <c r="G3282" s="4" t="s">
        <v>4367</v>
      </c>
      <c r="H3282" s="4" t="s">
        <v>4349</v>
      </c>
      <c r="I3282" s="4" t="s">
        <v>56</v>
      </c>
      <c r="J3282" s="4">
        <v>1</v>
      </c>
      <c r="K3282" s="4">
        <v>0</v>
      </c>
      <c r="L3282" s="4">
        <f>J3282+K3282</f>
        <v>0</v>
      </c>
      <c r="M3282" s="4" t="s">
        <v>80</v>
      </c>
      <c r="N3282" s="4"/>
      <c r="O3282" s="4">
        <v>1</v>
      </c>
      <c r="P3282" s="4" t="s">
        <v>135</v>
      </c>
      <c r="Q3282" s="4" t="s">
        <v>44</v>
      </c>
      <c r="R3282" s="7">
        <v>610000</v>
      </c>
      <c r="S3282" s="7">
        <v>0</v>
      </c>
      <c r="T3282" s="7">
        <f>R3282-S3282</f>
        <v>0</v>
      </c>
      <c r="U3282" s="7">
        <f>T3282*O3282</f>
        <v>0</v>
      </c>
    </row>
    <row r="3283" spans="1:21">
      <c r="A3283" s="4" t="s">
        <v>4369</v>
      </c>
      <c r="B3283" s="4" t="s">
        <v>39</v>
      </c>
      <c r="C3283" s="5">
        <v>45963.43699074074</v>
      </c>
      <c r="D3283" s="5">
        <v>45963</v>
      </c>
      <c r="E3283" s="6">
        <f>IF(AND(C3283&lt;&gt;"",D3283&lt;&gt;""),D3283-C3283,"")</f>
        <v>0</v>
      </c>
      <c r="F3283" s="4" t="s">
        <v>4370</v>
      </c>
      <c r="G3283" s="4" t="s">
        <v>4371</v>
      </c>
      <c r="H3283" s="4" t="s">
        <v>32</v>
      </c>
      <c r="I3283" s="4" t="s">
        <v>33</v>
      </c>
      <c r="J3283" s="4">
        <v>0</v>
      </c>
      <c r="K3283" s="4">
        <v>0</v>
      </c>
      <c r="L3283" s="4">
        <f>J3283+K3283</f>
        <v>0</v>
      </c>
      <c r="M3283" s="4" t="s">
        <v>370</v>
      </c>
      <c r="N3283" s="4"/>
      <c r="O3283" s="4">
        <v>1</v>
      </c>
      <c r="P3283" s="4" t="s">
        <v>135</v>
      </c>
      <c r="Q3283" s="4" t="s">
        <v>44</v>
      </c>
      <c r="R3283" s="7">
        <v>1000000</v>
      </c>
      <c r="S3283" s="7">
        <v>0</v>
      </c>
      <c r="T3283" s="7">
        <f>R3283-S3283</f>
        <v>0</v>
      </c>
      <c r="U3283" s="7">
        <f>T3283*O3283</f>
        <v>0</v>
      </c>
    </row>
    <row r="3284" spans="1:21">
      <c r="A3284" s="4" t="s">
        <v>4369</v>
      </c>
      <c r="B3284" s="4" t="s">
        <v>39</v>
      </c>
      <c r="C3284" s="5">
        <v>45963.43699074074</v>
      </c>
      <c r="D3284" s="5">
        <v>45963</v>
      </c>
      <c r="E3284" s="6">
        <f>IF(AND(C3284&lt;&gt;"",D3284&lt;&gt;""),D3284-C3284,"")</f>
        <v>0</v>
      </c>
      <c r="F3284" s="4" t="s">
        <v>4370</v>
      </c>
      <c r="G3284" s="4" t="s">
        <v>4371</v>
      </c>
      <c r="H3284" s="4" t="s">
        <v>32</v>
      </c>
      <c r="I3284" s="4" t="s">
        <v>33</v>
      </c>
      <c r="J3284" s="4">
        <v>0</v>
      </c>
      <c r="K3284" s="4">
        <v>0</v>
      </c>
      <c r="L3284" s="4">
        <f>J3284+K3284</f>
        <v>0</v>
      </c>
      <c r="M3284" s="4" t="s">
        <v>1080</v>
      </c>
      <c r="N3284" s="4"/>
      <c r="O3284" s="4">
        <v>1</v>
      </c>
      <c r="P3284" s="4" t="s">
        <v>135</v>
      </c>
      <c r="Q3284" s="4" t="s">
        <v>44</v>
      </c>
      <c r="R3284" s="7">
        <v>750000</v>
      </c>
      <c r="S3284" s="7">
        <v>0</v>
      </c>
      <c r="T3284" s="7">
        <f>R3284-S3284</f>
        <v>0</v>
      </c>
      <c r="U3284" s="7">
        <f>T3284*O3284</f>
        <v>0</v>
      </c>
    </row>
    <row r="3285" spans="1:21">
      <c r="A3285" s="4" t="s">
        <v>4372</v>
      </c>
      <c r="B3285" s="4" t="s">
        <v>48</v>
      </c>
      <c r="C3285" s="5">
        <v>45963.59697916666</v>
      </c>
      <c r="D3285" s="5">
        <v>45963</v>
      </c>
      <c r="E3285" s="6">
        <f>IF(AND(C3285&lt;&gt;"",D3285&lt;&gt;""),D3285-C3285,"")</f>
        <v>0</v>
      </c>
      <c r="F3285" s="4" t="s">
        <v>64</v>
      </c>
      <c r="G3285" s="4" t="s">
        <v>65</v>
      </c>
      <c r="H3285" s="4" t="s">
        <v>32</v>
      </c>
      <c r="I3285" s="4" t="s">
        <v>33</v>
      </c>
      <c r="J3285" s="4">
        <v>1</v>
      </c>
      <c r="K3285" s="4">
        <v>1</v>
      </c>
      <c r="L3285" s="4">
        <f>J3285+K3285</f>
        <v>0</v>
      </c>
      <c r="M3285" s="4"/>
      <c r="N3285" s="4"/>
      <c r="O3285" s="4">
        <v>0</v>
      </c>
      <c r="P3285" s="4"/>
      <c r="Q3285" s="4"/>
      <c r="R3285" s="7">
        <v>0</v>
      </c>
      <c r="S3285" s="7">
        <v>0</v>
      </c>
      <c r="T3285" s="7">
        <f>R3285-S3285</f>
        <v>0</v>
      </c>
      <c r="U3285" s="7">
        <f>T3285*O3285</f>
        <v>0</v>
      </c>
    </row>
    <row r="3286" spans="1:21">
      <c r="A3286" s="4" t="s">
        <v>4373</v>
      </c>
      <c r="B3286" s="4" t="s">
        <v>48</v>
      </c>
      <c r="C3286" s="5">
        <v>45963.59893518518</v>
      </c>
      <c r="D3286" s="5">
        <v>45963</v>
      </c>
      <c r="E3286" s="6">
        <f>IF(AND(C3286&lt;&gt;"",D3286&lt;&gt;""),D3286-C3286,"")</f>
        <v>0</v>
      </c>
      <c r="F3286" s="4" t="s">
        <v>64</v>
      </c>
      <c r="G3286" s="4" t="s">
        <v>65</v>
      </c>
      <c r="H3286" s="4" t="s">
        <v>32</v>
      </c>
      <c r="I3286" s="4" t="s">
        <v>33</v>
      </c>
      <c r="J3286" s="4">
        <v>3</v>
      </c>
      <c r="K3286" s="4">
        <v>0</v>
      </c>
      <c r="L3286" s="4">
        <f>J3286+K3286</f>
        <v>0</v>
      </c>
      <c r="M3286" s="4"/>
      <c r="N3286" s="4"/>
      <c r="O3286" s="4">
        <v>0</v>
      </c>
      <c r="P3286" s="4"/>
      <c r="Q3286" s="4"/>
      <c r="R3286" s="7">
        <v>0</v>
      </c>
      <c r="S3286" s="7">
        <v>0</v>
      </c>
      <c r="T3286" s="7">
        <f>R3286-S3286</f>
        <v>0</v>
      </c>
      <c r="U3286" s="7">
        <f>T3286*O3286</f>
        <v>0</v>
      </c>
    </row>
    <row r="3287" spans="1:21">
      <c r="A3287" s="4" t="s">
        <v>4374</v>
      </c>
      <c r="B3287" s="4" t="s">
        <v>48</v>
      </c>
      <c r="C3287" s="5">
        <v>45963.60048611111</v>
      </c>
      <c r="D3287" s="5">
        <v>45964</v>
      </c>
      <c r="E3287" s="6">
        <f>IF(AND(C3287&lt;&gt;"",D3287&lt;&gt;""),D3287-C3287,"")</f>
        <v>0</v>
      </c>
      <c r="F3287" s="4" t="s">
        <v>64</v>
      </c>
      <c r="G3287" s="4" t="s">
        <v>65</v>
      </c>
      <c r="H3287" s="4" t="s">
        <v>32</v>
      </c>
      <c r="I3287" s="4" t="s">
        <v>33</v>
      </c>
      <c r="J3287" s="4">
        <v>8</v>
      </c>
      <c r="K3287" s="4">
        <v>0</v>
      </c>
      <c r="L3287" s="4">
        <f>J3287+K3287</f>
        <v>0</v>
      </c>
      <c r="M3287" s="4"/>
      <c r="N3287" s="4"/>
      <c r="O3287" s="4">
        <v>0</v>
      </c>
      <c r="P3287" s="4"/>
      <c r="Q3287" s="4"/>
      <c r="R3287" s="7">
        <v>0</v>
      </c>
      <c r="S3287" s="7">
        <v>0</v>
      </c>
      <c r="T3287" s="7">
        <f>R3287-S3287</f>
        <v>0</v>
      </c>
      <c r="U3287" s="7">
        <f>T3287*O3287</f>
        <v>0</v>
      </c>
    </row>
    <row r="3288" spans="1:21">
      <c r="A3288" s="4" t="s">
        <v>4375</v>
      </c>
      <c r="B3288" s="4" t="s">
        <v>39</v>
      </c>
      <c r="C3288" s="5">
        <v>45963.63767361111</v>
      </c>
      <c r="D3288" s="5">
        <v>45963</v>
      </c>
      <c r="E3288" s="6">
        <f>IF(AND(C3288&lt;&gt;"",D3288&lt;&gt;""),D3288-C3288,"")</f>
        <v>0</v>
      </c>
      <c r="F3288" s="4" t="s">
        <v>4376</v>
      </c>
      <c r="G3288" s="4" t="s">
        <v>4377</v>
      </c>
      <c r="H3288" s="4" t="s">
        <v>4378</v>
      </c>
      <c r="I3288" s="4" t="s">
        <v>56</v>
      </c>
      <c r="J3288" s="4">
        <v>1</v>
      </c>
      <c r="K3288" s="4">
        <v>0</v>
      </c>
      <c r="L3288" s="4">
        <f>J3288+K3288</f>
        <v>0</v>
      </c>
      <c r="M3288" s="4" t="s">
        <v>80</v>
      </c>
      <c r="N3288" s="4"/>
      <c r="O3288" s="4">
        <v>1</v>
      </c>
      <c r="P3288" s="4" t="s">
        <v>135</v>
      </c>
      <c r="Q3288" s="4" t="s">
        <v>44</v>
      </c>
      <c r="R3288" s="7">
        <v>610000</v>
      </c>
      <c r="S3288" s="7">
        <v>0</v>
      </c>
      <c r="T3288" s="7">
        <f>R3288-S3288</f>
        <v>0</v>
      </c>
      <c r="U3288" s="7">
        <f>T3288*O3288</f>
        <v>0</v>
      </c>
    </row>
    <row r="3289" spans="1:21">
      <c r="A3289" s="4" t="s">
        <v>4375</v>
      </c>
      <c r="B3289" s="4" t="s">
        <v>39</v>
      </c>
      <c r="C3289" s="5">
        <v>45963.63767361111</v>
      </c>
      <c r="D3289" s="5">
        <v>45963</v>
      </c>
      <c r="E3289" s="6">
        <f>IF(AND(C3289&lt;&gt;"",D3289&lt;&gt;""),D3289-C3289,"")</f>
        <v>0</v>
      </c>
      <c r="F3289" s="4" t="s">
        <v>4376</v>
      </c>
      <c r="G3289" s="4" t="s">
        <v>4377</v>
      </c>
      <c r="H3289" s="4" t="s">
        <v>4378</v>
      </c>
      <c r="I3289" s="4" t="s">
        <v>56</v>
      </c>
      <c r="J3289" s="4">
        <v>1</v>
      </c>
      <c r="K3289" s="4">
        <v>0</v>
      </c>
      <c r="L3289" s="4">
        <f>J3289+K3289</f>
        <v>0</v>
      </c>
      <c r="M3289" s="4" t="s">
        <v>42</v>
      </c>
      <c r="N3289" s="4"/>
      <c r="O3289" s="4">
        <v>1</v>
      </c>
      <c r="P3289" s="4" t="s">
        <v>135</v>
      </c>
      <c r="Q3289" s="4" t="s">
        <v>44</v>
      </c>
      <c r="R3289" s="7">
        <v>370000</v>
      </c>
      <c r="S3289" s="7">
        <v>0</v>
      </c>
      <c r="T3289" s="7">
        <f>R3289-S3289</f>
        <v>0</v>
      </c>
      <c r="U3289" s="7">
        <f>T3289*O3289</f>
        <v>0</v>
      </c>
    </row>
    <row r="3290" spans="1:21">
      <c r="A3290" s="4" t="s">
        <v>4375</v>
      </c>
      <c r="B3290" s="4" t="s">
        <v>39</v>
      </c>
      <c r="C3290" s="5">
        <v>45963.63767361111</v>
      </c>
      <c r="D3290" s="5">
        <v>45963</v>
      </c>
      <c r="E3290" s="6">
        <f>IF(AND(C3290&lt;&gt;"",D3290&lt;&gt;""),D3290-C3290,"")</f>
        <v>0</v>
      </c>
      <c r="F3290" s="4" t="s">
        <v>4376</v>
      </c>
      <c r="G3290" s="4" t="s">
        <v>4377</v>
      </c>
      <c r="H3290" s="4" t="s">
        <v>4378</v>
      </c>
      <c r="I3290" s="4" t="s">
        <v>56</v>
      </c>
      <c r="J3290" s="4">
        <v>1</v>
      </c>
      <c r="K3290" s="4">
        <v>0</v>
      </c>
      <c r="L3290" s="4">
        <f>J3290+K3290</f>
        <v>0</v>
      </c>
      <c r="M3290" s="4" t="s">
        <v>42</v>
      </c>
      <c r="N3290" s="4"/>
      <c r="O3290" s="4">
        <v>1</v>
      </c>
      <c r="P3290" s="4" t="s">
        <v>135</v>
      </c>
      <c r="Q3290" s="4" t="s">
        <v>44</v>
      </c>
      <c r="R3290" s="7">
        <v>370000</v>
      </c>
      <c r="S3290" s="7">
        <v>0</v>
      </c>
      <c r="T3290" s="7">
        <f>R3290-S3290</f>
        <v>0</v>
      </c>
      <c r="U3290" s="7">
        <f>T3290*O3290</f>
        <v>0</v>
      </c>
    </row>
    <row r="3291" spans="1:21">
      <c r="A3291" s="4" t="s">
        <v>4375</v>
      </c>
      <c r="B3291" s="4" t="s">
        <v>39</v>
      </c>
      <c r="C3291" s="5">
        <v>45963.63767361111</v>
      </c>
      <c r="D3291" s="5">
        <v>45963</v>
      </c>
      <c r="E3291" s="6">
        <f>IF(AND(C3291&lt;&gt;"",D3291&lt;&gt;""),D3291-C3291,"")</f>
        <v>0</v>
      </c>
      <c r="F3291" s="4" t="s">
        <v>4376</v>
      </c>
      <c r="G3291" s="4" t="s">
        <v>4377</v>
      </c>
      <c r="H3291" s="4" t="s">
        <v>4378</v>
      </c>
      <c r="I3291" s="4" t="s">
        <v>56</v>
      </c>
      <c r="J3291" s="4">
        <v>1</v>
      </c>
      <c r="K3291" s="4">
        <v>0</v>
      </c>
      <c r="L3291" s="4">
        <f>J3291+K3291</f>
        <v>0</v>
      </c>
      <c r="M3291" s="4" t="s">
        <v>80</v>
      </c>
      <c r="N3291" s="4"/>
      <c r="O3291" s="4">
        <v>1</v>
      </c>
      <c r="P3291" s="4" t="s">
        <v>135</v>
      </c>
      <c r="Q3291" s="4" t="s">
        <v>44</v>
      </c>
      <c r="R3291" s="7">
        <v>610000</v>
      </c>
      <c r="S3291" s="7">
        <v>0</v>
      </c>
      <c r="T3291" s="7">
        <f>R3291-S3291</f>
        <v>0</v>
      </c>
      <c r="U3291" s="7">
        <f>T3291*O3291</f>
        <v>0</v>
      </c>
    </row>
    <row r="3292" spans="1:21">
      <c r="A3292" s="4" t="s">
        <v>4375</v>
      </c>
      <c r="B3292" s="4" t="s">
        <v>39</v>
      </c>
      <c r="C3292" s="5">
        <v>45963.63767361111</v>
      </c>
      <c r="D3292" s="5">
        <v>45963</v>
      </c>
      <c r="E3292" s="6">
        <f>IF(AND(C3292&lt;&gt;"",D3292&lt;&gt;""),D3292-C3292,"")</f>
        <v>0</v>
      </c>
      <c r="F3292" s="4" t="s">
        <v>4376</v>
      </c>
      <c r="G3292" s="4" t="s">
        <v>4377</v>
      </c>
      <c r="H3292" s="4" t="s">
        <v>4378</v>
      </c>
      <c r="I3292" s="4" t="s">
        <v>56</v>
      </c>
      <c r="J3292" s="4">
        <v>0</v>
      </c>
      <c r="K3292" s="4">
        <v>0</v>
      </c>
      <c r="L3292" s="4">
        <f>J3292+K3292</f>
        <v>0</v>
      </c>
      <c r="M3292" s="4" t="s">
        <v>370</v>
      </c>
      <c r="N3292" s="4"/>
      <c r="O3292" s="4">
        <v>1</v>
      </c>
      <c r="P3292" s="4" t="s">
        <v>135</v>
      </c>
      <c r="Q3292" s="4" t="s">
        <v>44</v>
      </c>
      <c r="R3292" s="7">
        <v>2000000</v>
      </c>
      <c r="S3292" s="7">
        <v>0</v>
      </c>
      <c r="T3292" s="7">
        <f>R3292-S3292</f>
        <v>0</v>
      </c>
      <c r="U3292" s="7">
        <f>T3292*O3292</f>
        <v>0</v>
      </c>
    </row>
    <row r="3293" spans="1:21">
      <c r="A3293" s="4" t="s">
        <v>4379</v>
      </c>
      <c r="B3293" s="4" t="s">
        <v>39</v>
      </c>
      <c r="C3293" s="5">
        <v>45963.66361111111</v>
      </c>
      <c r="D3293" s="5">
        <v>45963</v>
      </c>
      <c r="E3293" s="6">
        <f>IF(AND(C3293&lt;&gt;"",D3293&lt;&gt;""),D3293-C3293,"")</f>
        <v>0</v>
      </c>
      <c r="F3293" s="4" t="s">
        <v>4380</v>
      </c>
      <c r="G3293" s="4" t="s">
        <v>4381</v>
      </c>
      <c r="H3293" s="4" t="s">
        <v>32</v>
      </c>
      <c r="I3293" s="4" t="s">
        <v>33</v>
      </c>
      <c r="J3293" s="4">
        <v>0</v>
      </c>
      <c r="K3293" s="4">
        <v>0</v>
      </c>
      <c r="L3293" s="4">
        <f>J3293+K3293</f>
        <v>0</v>
      </c>
      <c r="M3293" s="4" t="s">
        <v>370</v>
      </c>
      <c r="N3293" s="4"/>
      <c r="O3293" s="4">
        <v>1</v>
      </c>
      <c r="P3293" s="4" t="s">
        <v>135</v>
      </c>
      <c r="Q3293" s="4" t="s">
        <v>44</v>
      </c>
      <c r="R3293" s="7">
        <v>3000000</v>
      </c>
      <c r="S3293" s="7">
        <v>0</v>
      </c>
      <c r="T3293" s="7">
        <f>R3293-S3293</f>
        <v>0</v>
      </c>
      <c r="U3293" s="7">
        <f>T3293*O3293</f>
        <v>0</v>
      </c>
    </row>
    <row r="3294" spans="1:21">
      <c r="A3294" s="4" t="s">
        <v>4379</v>
      </c>
      <c r="B3294" s="4" t="s">
        <v>39</v>
      </c>
      <c r="C3294" s="5">
        <v>45963.66361111111</v>
      </c>
      <c r="D3294" s="5">
        <v>45963</v>
      </c>
      <c r="E3294" s="6">
        <f>IF(AND(C3294&lt;&gt;"",D3294&lt;&gt;""),D3294-C3294,"")</f>
        <v>0</v>
      </c>
      <c r="F3294" s="4" t="s">
        <v>4380</v>
      </c>
      <c r="G3294" s="4" t="s">
        <v>4381</v>
      </c>
      <c r="H3294" s="4" t="s">
        <v>32</v>
      </c>
      <c r="I3294" s="4" t="s">
        <v>33</v>
      </c>
      <c r="J3294" s="4">
        <v>1</v>
      </c>
      <c r="K3294" s="4">
        <v>0</v>
      </c>
      <c r="L3294" s="4">
        <f>J3294+K3294</f>
        <v>0</v>
      </c>
      <c r="M3294" s="4" t="s">
        <v>80</v>
      </c>
      <c r="N3294" s="4"/>
      <c r="O3294" s="4">
        <v>1</v>
      </c>
      <c r="P3294" s="4" t="s">
        <v>135</v>
      </c>
      <c r="Q3294" s="4" t="s">
        <v>44</v>
      </c>
      <c r="R3294" s="7">
        <v>610000</v>
      </c>
      <c r="S3294" s="7">
        <v>0</v>
      </c>
      <c r="T3294" s="7">
        <f>R3294-S3294</f>
        <v>0</v>
      </c>
      <c r="U3294" s="7">
        <f>T3294*O3294</f>
        <v>0</v>
      </c>
    </row>
    <row r="3295" spans="1:21">
      <c r="A3295" s="4" t="s">
        <v>4382</v>
      </c>
      <c r="B3295" s="4" t="s">
        <v>39</v>
      </c>
      <c r="C3295" s="5">
        <v>45963.68778935185</v>
      </c>
      <c r="D3295" s="5">
        <v>45963</v>
      </c>
      <c r="E3295" s="6">
        <f>IF(AND(C3295&lt;&gt;"",D3295&lt;&gt;""),D3295-C3295,"")</f>
        <v>0</v>
      </c>
      <c r="F3295" s="4" t="s">
        <v>1229</v>
      </c>
      <c r="G3295" s="4"/>
      <c r="H3295" s="4"/>
      <c r="I3295" s="4" t="s">
        <v>56</v>
      </c>
      <c r="J3295" s="4">
        <v>1</v>
      </c>
      <c r="K3295" s="4">
        <v>0</v>
      </c>
      <c r="L3295" s="4">
        <f>J3295+K3295</f>
        <v>0</v>
      </c>
      <c r="M3295" s="4" t="s">
        <v>80</v>
      </c>
      <c r="N3295" s="4"/>
      <c r="O3295" s="4">
        <v>1</v>
      </c>
      <c r="P3295" s="4" t="s">
        <v>135</v>
      </c>
      <c r="Q3295" s="4" t="s">
        <v>44</v>
      </c>
      <c r="R3295" s="7">
        <v>610000</v>
      </c>
      <c r="S3295" s="7">
        <v>0</v>
      </c>
      <c r="T3295" s="7">
        <f>R3295-S3295</f>
        <v>0</v>
      </c>
      <c r="U3295" s="7">
        <f>T3295*O3295</f>
        <v>0</v>
      </c>
    </row>
    <row r="3296" spans="1:21">
      <c r="A3296" s="4" t="s">
        <v>4382</v>
      </c>
      <c r="B3296" s="4" t="s">
        <v>39</v>
      </c>
      <c r="C3296" s="5">
        <v>45963.68778935185</v>
      </c>
      <c r="D3296" s="5">
        <v>45963</v>
      </c>
      <c r="E3296" s="6">
        <f>IF(AND(C3296&lt;&gt;"",D3296&lt;&gt;""),D3296-C3296,"")</f>
        <v>0</v>
      </c>
      <c r="F3296" s="4" t="s">
        <v>1229</v>
      </c>
      <c r="G3296" s="4"/>
      <c r="H3296" s="4"/>
      <c r="I3296" s="4" t="s">
        <v>56</v>
      </c>
      <c r="J3296" s="4">
        <v>1</v>
      </c>
      <c r="K3296" s="4">
        <v>0</v>
      </c>
      <c r="L3296" s="4">
        <f>J3296+K3296</f>
        <v>0</v>
      </c>
      <c r="M3296" s="4" t="s">
        <v>80</v>
      </c>
      <c r="N3296" s="4"/>
      <c r="O3296" s="4">
        <v>1</v>
      </c>
      <c r="P3296" s="4" t="s">
        <v>135</v>
      </c>
      <c r="Q3296" s="4" t="s">
        <v>44</v>
      </c>
      <c r="R3296" s="7">
        <v>610000</v>
      </c>
      <c r="S3296" s="7">
        <v>0</v>
      </c>
      <c r="T3296" s="7">
        <f>R3296-S3296</f>
        <v>0</v>
      </c>
      <c r="U3296" s="7">
        <f>T3296*O3296</f>
        <v>0</v>
      </c>
    </row>
    <row r="3297" spans="1:21">
      <c r="A3297" s="4" t="s">
        <v>4383</v>
      </c>
      <c r="B3297" s="4" t="s">
        <v>48</v>
      </c>
      <c r="C3297" s="5">
        <v>45963.72170138889</v>
      </c>
      <c r="D3297" s="5">
        <v>45964</v>
      </c>
      <c r="E3297" s="6">
        <f>IF(AND(C3297&lt;&gt;"",D3297&lt;&gt;""),D3297-C3297,"")</f>
        <v>0</v>
      </c>
      <c r="F3297" s="4" t="s">
        <v>64</v>
      </c>
      <c r="G3297" s="4" t="s">
        <v>65</v>
      </c>
      <c r="H3297" s="4" t="s">
        <v>32</v>
      </c>
      <c r="I3297" s="4" t="s">
        <v>33</v>
      </c>
      <c r="J3297" s="4">
        <v>3</v>
      </c>
      <c r="K3297" s="4">
        <v>0</v>
      </c>
      <c r="L3297" s="4">
        <f>J3297+K3297</f>
        <v>0</v>
      </c>
      <c r="M3297" s="4"/>
      <c r="N3297" s="4"/>
      <c r="O3297" s="4">
        <v>0</v>
      </c>
      <c r="P3297" s="4"/>
      <c r="Q3297" s="4"/>
      <c r="R3297" s="7">
        <v>0</v>
      </c>
      <c r="S3297" s="7">
        <v>0</v>
      </c>
      <c r="T3297" s="7">
        <f>R3297-S3297</f>
        <v>0</v>
      </c>
      <c r="U3297" s="7">
        <f>T3297*O3297</f>
        <v>0</v>
      </c>
    </row>
    <row r="3298" spans="1:21">
      <c r="A3298" s="4" t="s">
        <v>4384</v>
      </c>
      <c r="B3298" s="4"/>
      <c r="C3298" s="5">
        <v>45964.0697337963</v>
      </c>
      <c r="D3298" s="5">
        <v>45965</v>
      </c>
      <c r="E3298" s="6">
        <f>IF(AND(C3298&lt;&gt;"",D3298&lt;&gt;""),D3298-C3298,"")</f>
        <v>0</v>
      </c>
      <c r="F3298" s="4" t="s">
        <v>292</v>
      </c>
      <c r="G3298" s="4" t="s">
        <v>293</v>
      </c>
      <c r="H3298" s="4" t="s">
        <v>32</v>
      </c>
      <c r="I3298" s="4" t="s">
        <v>33</v>
      </c>
      <c r="J3298" s="4">
        <v>2</v>
      </c>
      <c r="K3298" s="4">
        <v>1</v>
      </c>
      <c r="L3298" s="4">
        <f>J3298+K3298</f>
        <v>0</v>
      </c>
      <c r="M3298" s="4"/>
      <c r="N3298" s="4"/>
      <c r="O3298" s="4">
        <v>0</v>
      </c>
      <c r="P3298" s="4"/>
      <c r="Q3298" s="4"/>
      <c r="R3298" s="7">
        <v>0</v>
      </c>
      <c r="S3298" s="7">
        <v>0</v>
      </c>
      <c r="T3298" s="7">
        <f>R3298-S3298</f>
        <v>0</v>
      </c>
      <c r="U3298" s="7">
        <f>T3298*O3298</f>
        <v>0</v>
      </c>
    </row>
    <row r="3299" spans="1:21">
      <c r="A3299" s="4" t="s">
        <v>4385</v>
      </c>
      <c r="B3299" s="4"/>
      <c r="C3299" s="5">
        <v>45964.06976851852</v>
      </c>
      <c r="D3299" s="5">
        <v>45965</v>
      </c>
      <c r="E3299" s="6">
        <f>IF(AND(C3299&lt;&gt;"",D3299&lt;&gt;""),D3299-C3299,"")</f>
        <v>0</v>
      </c>
      <c r="F3299" s="4" t="s">
        <v>292</v>
      </c>
      <c r="G3299" s="4" t="s">
        <v>293</v>
      </c>
      <c r="H3299" s="4" t="s">
        <v>32</v>
      </c>
      <c r="I3299" s="4" t="s">
        <v>33</v>
      </c>
      <c r="J3299" s="4">
        <v>2</v>
      </c>
      <c r="K3299" s="4">
        <v>1</v>
      </c>
      <c r="L3299" s="4">
        <f>J3299+K3299</f>
        <v>0</v>
      </c>
      <c r="M3299" s="4"/>
      <c r="N3299" s="4"/>
      <c r="O3299" s="4">
        <v>0</v>
      </c>
      <c r="P3299" s="4"/>
      <c r="Q3299" s="4"/>
      <c r="R3299" s="7">
        <v>0</v>
      </c>
      <c r="S3299" s="7">
        <v>0</v>
      </c>
      <c r="T3299" s="7">
        <f>R3299-S3299</f>
        <v>0</v>
      </c>
      <c r="U3299" s="7">
        <f>T3299*O3299</f>
        <v>0</v>
      </c>
    </row>
    <row r="3300" spans="1:21">
      <c r="A3300" s="4" t="s">
        <v>4386</v>
      </c>
      <c r="B3300" s="4"/>
      <c r="C3300" s="5">
        <v>45964.07456018519</v>
      </c>
      <c r="D3300" s="5">
        <v>45965</v>
      </c>
      <c r="E3300" s="6">
        <f>IF(AND(C3300&lt;&gt;"",D3300&lt;&gt;""),D3300-C3300,"")</f>
        <v>0</v>
      </c>
      <c r="F3300" s="4" t="s">
        <v>162</v>
      </c>
      <c r="G3300" s="4" t="s">
        <v>163</v>
      </c>
      <c r="H3300" s="4" t="s">
        <v>32</v>
      </c>
      <c r="I3300" s="4" t="s">
        <v>33</v>
      </c>
      <c r="J3300" s="4">
        <v>2</v>
      </c>
      <c r="K3300" s="4">
        <v>1</v>
      </c>
      <c r="L3300" s="4">
        <f>J3300+K3300</f>
        <v>0</v>
      </c>
      <c r="M3300" s="4"/>
      <c r="N3300" s="4"/>
      <c r="O3300" s="4">
        <v>0</v>
      </c>
      <c r="P3300" s="4"/>
      <c r="Q3300" s="4"/>
      <c r="R3300" s="7">
        <v>0</v>
      </c>
      <c r="S3300" s="7">
        <v>0</v>
      </c>
      <c r="T3300" s="7">
        <f>R3300-S3300</f>
        <v>0</v>
      </c>
      <c r="U3300" s="7">
        <f>T3300*O3300</f>
        <v>0</v>
      </c>
    </row>
    <row r="3301" spans="1:21">
      <c r="A3301" s="4" t="s">
        <v>4386</v>
      </c>
      <c r="B3301" s="4"/>
      <c r="C3301" s="5">
        <v>45964.07456018519</v>
      </c>
      <c r="D3301" s="5">
        <v>45966</v>
      </c>
      <c r="E3301" s="6">
        <f>IF(AND(C3301&lt;&gt;"",D3301&lt;&gt;""),D3301-C3301,"")</f>
        <v>0</v>
      </c>
      <c r="F3301" s="4" t="s">
        <v>162</v>
      </c>
      <c r="G3301" s="4" t="s">
        <v>163</v>
      </c>
      <c r="H3301" s="4" t="s">
        <v>32</v>
      </c>
      <c r="I3301" s="4" t="s">
        <v>33</v>
      </c>
      <c r="J3301" s="4">
        <v>2</v>
      </c>
      <c r="K3301" s="4">
        <v>1</v>
      </c>
      <c r="L3301" s="4">
        <f>J3301+K3301</f>
        <v>0</v>
      </c>
      <c r="M3301" s="4"/>
      <c r="N3301" s="4"/>
      <c r="O3301" s="4">
        <v>0</v>
      </c>
      <c r="P3301" s="4"/>
      <c r="Q3301" s="4"/>
      <c r="R3301" s="7">
        <v>0</v>
      </c>
      <c r="S3301" s="7">
        <v>0</v>
      </c>
      <c r="T3301" s="7">
        <f>R3301-S3301</f>
        <v>0</v>
      </c>
      <c r="U3301" s="7">
        <f>T3301*O3301</f>
        <v>0</v>
      </c>
    </row>
    <row r="3302" spans="1:21">
      <c r="A3302" s="4" t="s">
        <v>4387</v>
      </c>
      <c r="B3302" s="4"/>
      <c r="C3302" s="5">
        <v>45964.08626157408</v>
      </c>
      <c r="D3302" s="5">
        <v>45966</v>
      </c>
      <c r="E3302" s="6">
        <f>IF(AND(C3302&lt;&gt;"",D3302&lt;&gt;""),D3302-C3302,"")</f>
        <v>0</v>
      </c>
      <c r="F3302" s="4" t="s">
        <v>130</v>
      </c>
      <c r="G3302" s="4" t="s">
        <v>62</v>
      </c>
      <c r="H3302" s="4" t="s">
        <v>32</v>
      </c>
      <c r="I3302" s="4" t="s">
        <v>33</v>
      </c>
      <c r="J3302" s="4">
        <v>2</v>
      </c>
      <c r="K3302" s="4">
        <v>1</v>
      </c>
      <c r="L3302" s="4">
        <f>J3302+K3302</f>
        <v>0</v>
      </c>
      <c r="M3302" s="4"/>
      <c r="N3302" s="4"/>
      <c r="O3302" s="4">
        <v>0</v>
      </c>
      <c r="P3302" s="4"/>
      <c r="Q3302" s="4"/>
      <c r="R3302" s="7">
        <v>0</v>
      </c>
      <c r="S3302" s="7">
        <v>0</v>
      </c>
      <c r="T3302" s="7">
        <f>R3302-S3302</f>
        <v>0</v>
      </c>
      <c r="U3302" s="7">
        <f>T3302*O3302</f>
        <v>0</v>
      </c>
    </row>
    <row r="3303" spans="1:21">
      <c r="A3303" s="4" t="s">
        <v>4388</v>
      </c>
      <c r="B3303" s="4"/>
      <c r="C3303" s="5">
        <v>45964.09892361111</v>
      </c>
      <c r="D3303" s="5">
        <v>45965</v>
      </c>
      <c r="E3303" s="6">
        <f>IF(AND(C3303&lt;&gt;"",D3303&lt;&gt;""),D3303-C3303,"")</f>
        <v>0</v>
      </c>
      <c r="F3303" s="4" t="s">
        <v>130</v>
      </c>
      <c r="G3303" s="4" t="s">
        <v>62</v>
      </c>
      <c r="H3303" s="4" t="s">
        <v>32</v>
      </c>
      <c r="I3303" s="4" t="s">
        <v>33</v>
      </c>
      <c r="J3303" s="4">
        <v>2</v>
      </c>
      <c r="K3303" s="4">
        <v>0</v>
      </c>
      <c r="L3303" s="4">
        <f>J3303+K3303</f>
        <v>0</v>
      </c>
      <c r="M3303" s="4"/>
      <c r="N3303" s="4"/>
      <c r="O3303" s="4">
        <v>0</v>
      </c>
      <c r="P3303" s="4"/>
      <c r="Q3303" s="4"/>
      <c r="R3303" s="7">
        <v>0</v>
      </c>
      <c r="S3303" s="7">
        <v>0</v>
      </c>
      <c r="T3303" s="7">
        <f>R3303-S3303</f>
        <v>0</v>
      </c>
      <c r="U3303" s="7">
        <f>T3303*O3303</f>
        <v>0</v>
      </c>
    </row>
    <row r="3304" spans="1:21">
      <c r="A3304" s="4" t="s">
        <v>4389</v>
      </c>
      <c r="B3304" s="4"/>
      <c r="C3304" s="5">
        <v>45964.09892361111</v>
      </c>
      <c r="D3304" s="5">
        <v>45966</v>
      </c>
      <c r="E3304" s="6">
        <f>IF(AND(C3304&lt;&gt;"",D3304&lt;&gt;""),D3304-C3304,"")</f>
        <v>0</v>
      </c>
      <c r="F3304" s="4" t="s">
        <v>130</v>
      </c>
      <c r="G3304" s="4" t="s">
        <v>62</v>
      </c>
      <c r="H3304" s="4" t="s">
        <v>32</v>
      </c>
      <c r="I3304" s="4" t="s">
        <v>33</v>
      </c>
      <c r="J3304" s="4">
        <v>2</v>
      </c>
      <c r="K3304" s="4">
        <v>1</v>
      </c>
      <c r="L3304" s="4">
        <f>J3304+K3304</f>
        <v>0</v>
      </c>
      <c r="M3304" s="4"/>
      <c r="N3304" s="4"/>
      <c r="O3304" s="4">
        <v>0</v>
      </c>
      <c r="P3304" s="4"/>
      <c r="Q3304" s="4"/>
      <c r="R3304" s="7">
        <v>0</v>
      </c>
      <c r="S3304" s="7">
        <v>0</v>
      </c>
      <c r="T3304" s="7">
        <f>R3304-S3304</f>
        <v>0</v>
      </c>
      <c r="U3304" s="7">
        <f>T3304*O3304</f>
        <v>0</v>
      </c>
    </row>
    <row r="3305" spans="1:21">
      <c r="A3305" s="4" t="s">
        <v>4390</v>
      </c>
      <c r="B3305" s="4" t="s">
        <v>39</v>
      </c>
      <c r="C3305" s="5">
        <v>45964.15628472222</v>
      </c>
      <c r="D3305" s="5">
        <v>45964</v>
      </c>
      <c r="E3305" s="6">
        <f>IF(AND(C3305&lt;&gt;"",D3305&lt;&gt;""),D3305-C3305,"")</f>
        <v>0</v>
      </c>
      <c r="F3305" s="4" t="s">
        <v>4391</v>
      </c>
      <c r="G3305" s="4" t="s">
        <v>4392</v>
      </c>
      <c r="H3305" s="4" t="s">
        <v>32</v>
      </c>
      <c r="I3305" s="4" t="s">
        <v>33</v>
      </c>
      <c r="J3305" s="4">
        <v>0</v>
      </c>
      <c r="K3305" s="4">
        <v>0</v>
      </c>
      <c r="L3305" s="4">
        <f>J3305+K3305</f>
        <v>0</v>
      </c>
      <c r="M3305" s="4" t="s">
        <v>370</v>
      </c>
      <c r="N3305" s="4"/>
      <c r="O3305" s="4">
        <v>1</v>
      </c>
      <c r="P3305" s="4" t="s">
        <v>135</v>
      </c>
      <c r="Q3305" s="4" t="s">
        <v>44</v>
      </c>
      <c r="R3305" s="7">
        <v>3000000</v>
      </c>
      <c r="S3305" s="7">
        <v>0</v>
      </c>
      <c r="T3305" s="7">
        <f>R3305-S3305</f>
        <v>0</v>
      </c>
      <c r="U3305" s="7">
        <f>T3305*O3305</f>
        <v>0</v>
      </c>
    </row>
    <row r="3306" spans="1:21">
      <c r="A3306" s="4" t="s">
        <v>4393</v>
      </c>
      <c r="B3306" s="4" t="s">
        <v>48</v>
      </c>
      <c r="C3306" s="5">
        <v>45964.2015625</v>
      </c>
      <c r="D3306" s="5">
        <v>45964</v>
      </c>
      <c r="E3306" s="6">
        <f>IF(AND(C3306&lt;&gt;"",D3306&lt;&gt;""),D3306-C3306,"")</f>
        <v>0</v>
      </c>
      <c r="F3306" s="4" t="s">
        <v>2408</v>
      </c>
      <c r="G3306" s="4" t="s">
        <v>2404</v>
      </c>
      <c r="H3306" s="4" t="s">
        <v>32</v>
      </c>
      <c r="I3306" s="4" t="s">
        <v>33</v>
      </c>
      <c r="J3306" s="4">
        <v>2</v>
      </c>
      <c r="K3306" s="4">
        <v>2</v>
      </c>
      <c r="L3306" s="4">
        <f>J3306+K3306</f>
        <v>0</v>
      </c>
      <c r="M3306" s="4"/>
      <c r="N3306" s="4"/>
      <c r="O3306" s="4">
        <v>0</v>
      </c>
      <c r="P3306" s="4"/>
      <c r="Q3306" s="4"/>
      <c r="R3306" s="7">
        <v>0</v>
      </c>
      <c r="S3306" s="7">
        <v>0</v>
      </c>
      <c r="T3306" s="7">
        <f>R3306-S3306</f>
        <v>0</v>
      </c>
      <c r="U3306" s="7">
        <f>T3306*O3306</f>
        <v>0</v>
      </c>
    </row>
    <row r="3307" spans="1:21">
      <c r="A3307" s="4" t="s">
        <v>4394</v>
      </c>
      <c r="B3307" s="4" t="s">
        <v>48</v>
      </c>
      <c r="C3307" s="5">
        <v>45964.20753472222</v>
      </c>
      <c r="D3307" s="5">
        <v>45965</v>
      </c>
      <c r="E3307" s="6">
        <f>IF(AND(C3307&lt;&gt;"",D3307&lt;&gt;""),D3307-C3307,"")</f>
        <v>0</v>
      </c>
      <c r="F3307" s="4" t="s">
        <v>4395</v>
      </c>
      <c r="G3307" s="4" t="s">
        <v>4396</v>
      </c>
      <c r="H3307" s="4"/>
      <c r="I3307" s="4" t="s">
        <v>56</v>
      </c>
      <c r="J3307" s="4">
        <v>3</v>
      </c>
      <c r="K3307" s="4">
        <v>0</v>
      </c>
      <c r="L3307" s="4">
        <f>J3307+K3307</f>
        <v>0</v>
      </c>
      <c r="M3307" s="4"/>
      <c r="N3307" s="4"/>
      <c r="O3307" s="4">
        <v>0</v>
      </c>
      <c r="P3307" s="4"/>
      <c r="Q3307" s="4"/>
      <c r="R3307" s="7">
        <v>0</v>
      </c>
      <c r="S3307" s="7">
        <v>0</v>
      </c>
      <c r="T3307" s="7">
        <f>R3307-S3307</f>
        <v>0</v>
      </c>
      <c r="U3307" s="7">
        <f>T3307*O3307</f>
        <v>0</v>
      </c>
    </row>
    <row r="3308" spans="1:21">
      <c r="A3308" s="4" t="s">
        <v>4397</v>
      </c>
      <c r="B3308" s="4" t="s">
        <v>48</v>
      </c>
      <c r="C3308" s="5">
        <v>45964.21224537037</v>
      </c>
      <c r="D3308" s="5">
        <v>45966</v>
      </c>
      <c r="E3308" s="6">
        <f>IF(AND(C3308&lt;&gt;"",D3308&lt;&gt;""),D3308-C3308,"")</f>
        <v>0</v>
      </c>
      <c r="F3308" s="4" t="s">
        <v>4398</v>
      </c>
      <c r="G3308" s="4" t="s">
        <v>4399</v>
      </c>
      <c r="H3308" s="4"/>
      <c r="I3308" s="4" t="s">
        <v>56</v>
      </c>
      <c r="J3308" s="4">
        <v>3</v>
      </c>
      <c r="K3308" s="4">
        <v>0</v>
      </c>
      <c r="L3308" s="4">
        <f>J3308+K3308</f>
        <v>0</v>
      </c>
      <c r="M3308" s="4"/>
      <c r="N3308" s="4"/>
      <c r="O3308" s="4">
        <v>0</v>
      </c>
      <c r="P3308" s="4"/>
      <c r="Q3308" s="4"/>
      <c r="R3308" s="7">
        <v>0</v>
      </c>
      <c r="S3308" s="7">
        <v>0</v>
      </c>
      <c r="T3308" s="7">
        <f>R3308-S3308</f>
        <v>0</v>
      </c>
      <c r="U3308" s="7">
        <f>T3308*O3308</f>
        <v>0</v>
      </c>
    </row>
    <row r="3309" spans="1:21">
      <c r="A3309" s="4" t="s">
        <v>4400</v>
      </c>
      <c r="B3309" s="4" t="s">
        <v>48</v>
      </c>
      <c r="C3309" s="5">
        <v>45964.21609953704</v>
      </c>
      <c r="D3309" s="5">
        <v>45964</v>
      </c>
      <c r="E3309" s="6">
        <f>IF(AND(C3309&lt;&gt;"",D3309&lt;&gt;""),D3309-C3309,"")</f>
        <v>0</v>
      </c>
      <c r="F3309" s="4" t="s">
        <v>30</v>
      </c>
      <c r="G3309" s="4" t="s">
        <v>31</v>
      </c>
      <c r="H3309" s="4" t="s">
        <v>32</v>
      </c>
      <c r="I3309" s="4" t="s">
        <v>33</v>
      </c>
      <c r="J3309" s="4">
        <v>1</v>
      </c>
      <c r="K3309" s="4">
        <v>0</v>
      </c>
      <c r="L3309" s="4">
        <f>J3309+K3309</f>
        <v>0</v>
      </c>
      <c r="M3309" s="4"/>
      <c r="N3309" s="4"/>
      <c r="O3309" s="4">
        <v>0</v>
      </c>
      <c r="P3309" s="4"/>
      <c r="Q3309" s="4"/>
      <c r="R3309" s="7">
        <v>0</v>
      </c>
      <c r="S3309" s="7">
        <v>0</v>
      </c>
      <c r="T3309" s="7">
        <f>R3309-S3309</f>
        <v>0</v>
      </c>
      <c r="U3309" s="7">
        <f>T3309*O3309</f>
        <v>0</v>
      </c>
    </row>
    <row r="3310" spans="1:21">
      <c r="A3310" s="4" t="s">
        <v>4401</v>
      </c>
      <c r="B3310" s="4" t="s">
        <v>48</v>
      </c>
      <c r="C3310" s="5">
        <v>45964.22023148148</v>
      </c>
      <c r="D3310" s="5">
        <v>45965</v>
      </c>
      <c r="E3310" s="6">
        <f>IF(AND(C3310&lt;&gt;"",D3310&lt;&gt;""),D3310-C3310,"")</f>
        <v>0</v>
      </c>
      <c r="F3310" s="4" t="s">
        <v>2408</v>
      </c>
      <c r="G3310" s="4" t="s">
        <v>4402</v>
      </c>
      <c r="H3310" s="4" t="s">
        <v>32</v>
      </c>
      <c r="I3310" s="4" t="s">
        <v>33</v>
      </c>
      <c r="J3310" s="4">
        <v>3</v>
      </c>
      <c r="K3310" s="4">
        <v>0</v>
      </c>
      <c r="L3310" s="4">
        <f>J3310+K3310</f>
        <v>0</v>
      </c>
      <c r="M3310" s="4"/>
      <c r="N3310" s="4"/>
      <c r="O3310" s="4">
        <v>0</v>
      </c>
      <c r="P3310" s="4"/>
      <c r="Q3310" s="4"/>
      <c r="R3310" s="7">
        <v>0</v>
      </c>
      <c r="S3310" s="7">
        <v>0</v>
      </c>
      <c r="T3310" s="7">
        <f>R3310-S3310</f>
        <v>0</v>
      </c>
      <c r="U3310" s="7">
        <f>T3310*O3310</f>
        <v>0</v>
      </c>
    </row>
    <row r="3311" spans="1:21">
      <c r="A3311" s="4" t="s">
        <v>4403</v>
      </c>
      <c r="B3311" s="4" t="s">
        <v>48</v>
      </c>
      <c r="C3311" s="5">
        <v>45964.22748842592</v>
      </c>
      <c r="D3311" s="5">
        <v>45966</v>
      </c>
      <c r="E3311" s="6">
        <f>IF(AND(C3311&lt;&gt;"",D3311&lt;&gt;""),D3311-C3311,"")</f>
        <v>0</v>
      </c>
      <c r="F3311" s="4" t="s">
        <v>4404</v>
      </c>
      <c r="G3311" s="4" t="s">
        <v>4405</v>
      </c>
      <c r="H3311" s="4" t="s">
        <v>32</v>
      </c>
      <c r="I3311" s="4" t="s">
        <v>33</v>
      </c>
      <c r="J3311" s="4">
        <v>3</v>
      </c>
      <c r="K3311" s="4">
        <v>0</v>
      </c>
      <c r="L3311" s="4">
        <f>J3311+K3311</f>
        <v>0</v>
      </c>
      <c r="M3311" s="4"/>
      <c r="N3311" s="4"/>
      <c r="O3311" s="4">
        <v>0</v>
      </c>
      <c r="P3311" s="4"/>
      <c r="Q3311" s="4"/>
      <c r="R3311" s="7">
        <v>0</v>
      </c>
      <c r="S3311" s="7">
        <v>0</v>
      </c>
      <c r="T3311" s="7">
        <f>R3311-S3311</f>
        <v>0</v>
      </c>
      <c r="U3311" s="7">
        <f>T3311*O3311</f>
        <v>0</v>
      </c>
    </row>
    <row r="3312" spans="1:21">
      <c r="A3312" s="4" t="s">
        <v>4406</v>
      </c>
      <c r="B3312" s="4" t="s">
        <v>48</v>
      </c>
      <c r="C3312" s="5">
        <v>45964.23251157408</v>
      </c>
      <c r="D3312" s="5">
        <v>45966</v>
      </c>
      <c r="E3312" s="6">
        <f>IF(AND(C3312&lt;&gt;"",D3312&lt;&gt;""),D3312-C3312,"")</f>
        <v>0</v>
      </c>
      <c r="F3312" s="4" t="s">
        <v>64</v>
      </c>
      <c r="G3312" s="4" t="s">
        <v>4407</v>
      </c>
      <c r="H3312" s="4" t="s">
        <v>32</v>
      </c>
      <c r="I3312" s="4" t="s">
        <v>33</v>
      </c>
      <c r="J3312" s="4">
        <v>3</v>
      </c>
      <c r="K3312" s="4">
        <v>0</v>
      </c>
      <c r="L3312" s="4">
        <f>J3312+K3312</f>
        <v>0</v>
      </c>
      <c r="M3312" s="4"/>
      <c r="N3312" s="4"/>
      <c r="O3312" s="4">
        <v>0</v>
      </c>
      <c r="P3312" s="4"/>
      <c r="Q3312" s="4"/>
      <c r="R3312" s="7">
        <v>0</v>
      </c>
      <c r="S3312" s="7">
        <v>0</v>
      </c>
      <c r="T3312" s="7">
        <f>R3312-S3312</f>
        <v>0</v>
      </c>
      <c r="U3312" s="7">
        <f>T3312*O3312</f>
        <v>0</v>
      </c>
    </row>
    <row r="3313" spans="1:21">
      <c r="A3313" s="4" t="s">
        <v>4408</v>
      </c>
      <c r="B3313" s="4" t="s">
        <v>48</v>
      </c>
      <c r="C3313" s="5">
        <v>45964.24277777778</v>
      </c>
      <c r="D3313" s="5">
        <v>45966</v>
      </c>
      <c r="E3313" s="6">
        <f>IF(AND(C3313&lt;&gt;"",D3313&lt;&gt;""),D3313-C3313,"")</f>
        <v>0</v>
      </c>
      <c r="F3313" s="4" t="s">
        <v>4409</v>
      </c>
      <c r="G3313" s="4" t="s">
        <v>4410</v>
      </c>
      <c r="H3313" s="4"/>
      <c r="I3313" s="4" t="s">
        <v>56</v>
      </c>
      <c r="J3313" s="4">
        <v>3</v>
      </c>
      <c r="K3313" s="4">
        <v>0</v>
      </c>
      <c r="L3313" s="4">
        <f>J3313+K3313</f>
        <v>0</v>
      </c>
      <c r="M3313" s="4"/>
      <c r="N3313" s="4"/>
      <c r="O3313" s="4">
        <v>0</v>
      </c>
      <c r="P3313" s="4"/>
      <c r="Q3313" s="4"/>
      <c r="R3313" s="7">
        <v>0</v>
      </c>
      <c r="S3313" s="7">
        <v>0</v>
      </c>
      <c r="T3313" s="7">
        <f>R3313-S3313</f>
        <v>0</v>
      </c>
      <c r="U3313" s="7">
        <f>T3313*O3313</f>
        <v>0</v>
      </c>
    </row>
    <row r="3314" spans="1:21">
      <c r="A3314" s="4" t="s">
        <v>4411</v>
      </c>
      <c r="B3314" s="4" t="s">
        <v>48</v>
      </c>
      <c r="C3314" s="5">
        <v>45964.29748842592</v>
      </c>
      <c r="D3314" s="5">
        <v>45971</v>
      </c>
      <c r="E3314" s="6">
        <f>IF(AND(C3314&lt;&gt;"",D3314&lt;&gt;""),D3314-C3314,"")</f>
        <v>0</v>
      </c>
      <c r="F3314" s="4" t="s">
        <v>64</v>
      </c>
      <c r="G3314" s="4" t="s">
        <v>4412</v>
      </c>
      <c r="H3314" s="4" t="s">
        <v>32</v>
      </c>
      <c r="I3314" s="4" t="s">
        <v>33</v>
      </c>
      <c r="J3314" s="4">
        <v>1</v>
      </c>
      <c r="K3314" s="4">
        <v>1</v>
      </c>
      <c r="L3314" s="4">
        <f>J3314+K3314</f>
        <v>0</v>
      </c>
      <c r="M3314" s="4"/>
      <c r="N3314" s="4"/>
      <c r="O3314" s="4">
        <v>0</v>
      </c>
      <c r="P3314" s="4"/>
      <c r="Q3314" s="4"/>
      <c r="R3314" s="7">
        <v>0</v>
      </c>
      <c r="S3314" s="7">
        <v>0</v>
      </c>
      <c r="T3314" s="7">
        <f>R3314-S3314</f>
        <v>0</v>
      </c>
      <c r="U3314" s="7">
        <f>T3314*O3314</f>
        <v>0</v>
      </c>
    </row>
    <row r="3315" spans="1:21">
      <c r="A3315" s="4" t="s">
        <v>4413</v>
      </c>
      <c r="B3315" s="4" t="s">
        <v>48</v>
      </c>
      <c r="C3315" s="5">
        <v>45964.30333333334</v>
      </c>
      <c r="D3315" s="5">
        <v>45971</v>
      </c>
      <c r="E3315" s="6">
        <f>IF(AND(C3315&lt;&gt;"",D3315&lt;&gt;""),D3315-C3315,"")</f>
        <v>0</v>
      </c>
      <c r="F3315" s="4" t="s">
        <v>64</v>
      </c>
      <c r="G3315" s="4" t="s">
        <v>4412</v>
      </c>
      <c r="H3315" s="4" t="s">
        <v>32</v>
      </c>
      <c r="I3315" s="4" t="s">
        <v>33</v>
      </c>
      <c r="J3315" s="4">
        <v>6</v>
      </c>
      <c r="K3315" s="4">
        <v>0</v>
      </c>
      <c r="L3315" s="4">
        <f>J3315+K3315</f>
        <v>0</v>
      </c>
      <c r="M3315" s="4"/>
      <c r="N3315" s="4"/>
      <c r="O3315" s="4">
        <v>0</v>
      </c>
      <c r="P3315" s="4"/>
      <c r="Q3315" s="4"/>
      <c r="R3315" s="7">
        <v>0</v>
      </c>
      <c r="S3315" s="7">
        <v>0</v>
      </c>
      <c r="T3315" s="7">
        <f>R3315-S3315</f>
        <v>0</v>
      </c>
      <c r="U3315" s="7">
        <f>T3315*O3315</f>
        <v>0</v>
      </c>
    </row>
    <row r="3316" spans="1:21">
      <c r="A3316" s="4" t="s">
        <v>4414</v>
      </c>
      <c r="B3316" s="4" t="s">
        <v>48</v>
      </c>
      <c r="C3316" s="5">
        <v>45964.35359953704</v>
      </c>
      <c r="D3316" s="5">
        <v>45971</v>
      </c>
      <c r="E3316" s="6">
        <f>IF(AND(C3316&lt;&gt;"",D3316&lt;&gt;""),D3316-C3316,"")</f>
        <v>0</v>
      </c>
      <c r="F3316" s="4" t="s">
        <v>64</v>
      </c>
      <c r="G3316" s="4" t="s">
        <v>4412</v>
      </c>
      <c r="H3316" s="4" t="s">
        <v>32</v>
      </c>
      <c r="I3316" s="4" t="s">
        <v>33</v>
      </c>
      <c r="J3316" s="4">
        <v>2</v>
      </c>
      <c r="K3316" s="4">
        <v>0</v>
      </c>
      <c r="L3316" s="4">
        <f>J3316+K3316</f>
        <v>0</v>
      </c>
      <c r="M3316" s="4"/>
      <c r="N3316" s="4"/>
      <c r="O3316" s="4">
        <v>0</v>
      </c>
      <c r="P3316" s="4"/>
      <c r="Q3316" s="4"/>
      <c r="R3316" s="7">
        <v>0</v>
      </c>
      <c r="S3316" s="7">
        <v>0</v>
      </c>
      <c r="T3316" s="7">
        <f>R3316-S3316</f>
        <v>0</v>
      </c>
      <c r="U3316" s="7">
        <f>T3316*O3316</f>
        <v>0</v>
      </c>
    </row>
    <row r="3317" spans="1:21">
      <c r="A3317" s="4" t="s">
        <v>4415</v>
      </c>
      <c r="B3317" s="4" t="s">
        <v>48</v>
      </c>
      <c r="C3317" s="5">
        <v>45964.56299768519</v>
      </c>
      <c r="D3317" s="5">
        <v>45967</v>
      </c>
      <c r="E3317" s="6">
        <f>IF(AND(C3317&lt;&gt;"",D3317&lt;&gt;""),D3317-C3317,"")</f>
        <v>0</v>
      </c>
      <c r="F3317" s="4" t="s">
        <v>64</v>
      </c>
      <c r="G3317" s="4" t="s">
        <v>4412</v>
      </c>
      <c r="H3317" s="4" t="s">
        <v>32</v>
      </c>
      <c r="I3317" s="4" t="s">
        <v>33</v>
      </c>
      <c r="J3317" s="4">
        <v>1</v>
      </c>
      <c r="K3317" s="4">
        <v>0</v>
      </c>
      <c r="L3317" s="4">
        <f>J3317+K3317</f>
        <v>0</v>
      </c>
      <c r="M3317" s="4"/>
      <c r="N3317" s="4"/>
      <c r="O3317" s="4">
        <v>0</v>
      </c>
      <c r="P3317" s="4"/>
      <c r="Q3317" s="4"/>
      <c r="R3317" s="7">
        <v>0</v>
      </c>
      <c r="S3317" s="7">
        <v>0</v>
      </c>
      <c r="T3317" s="7">
        <f>R3317-S3317</f>
        <v>0</v>
      </c>
      <c r="U3317" s="7">
        <f>T3317*O3317</f>
        <v>0</v>
      </c>
    </row>
    <row r="3318" spans="1:21">
      <c r="A3318" s="4" t="s">
        <v>4416</v>
      </c>
      <c r="B3318" s="4" t="s">
        <v>48</v>
      </c>
      <c r="C3318" s="5">
        <v>45964.56930555555</v>
      </c>
      <c r="D3318" s="5">
        <v>45965</v>
      </c>
      <c r="E3318" s="6">
        <f>IF(AND(C3318&lt;&gt;"",D3318&lt;&gt;""),D3318-C3318,"")</f>
        <v>0</v>
      </c>
      <c r="F3318" s="4" t="s">
        <v>64</v>
      </c>
      <c r="G3318" s="4" t="s">
        <v>4412</v>
      </c>
      <c r="H3318" s="4" t="s">
        <v>32</v>
      </c>
      <c r="I3318" s="4" t="s">
        <v>33</v>
      </c>
      <c r="J3318" s="4">
        <v>3</v>
      </c>
      <c r="K3318" s="4">
        <v>0</v>
      </c>
      <c r="L3318" s="4">
        <f>J3318+K3318</f>
        <v>0</v>
      </c>
      <c r="M3318" s="4"/>
      <c r="N3318" s="4"/>
      <c r="O3318" s="4">
        <v>0</v>
      </c>
      <c r="P3318" s="4"/>
      <c r="Q3318" s="4"/>
      <c r="R3318" s="7">
        <v>0</v>
      </c>
      <c r="S3318" s="7">
        <v>0</v>
      </c>
      <c r="T3318" s="7">
        <f>R3318-S3318</f>
        <v>0</v>
      </c>
      <c r="U3318" s="7">
        <f>T3318*O3318</f>
        <v>0</v>
      </c>
    </row>
    <row r="3319" spans="1:21">
      <c r="A3319" s="4" t="s">
        <v>4417</v>
      </c>
      <c r="B3319" s="4" t="s">
        <v>48</v>
      </c>
      <c r="C3319" s="5">
        <v>45964.57618055555</v>
      </c>
      <c r="D3319" s="5">
        <v>45978</v>
      </c>
      <c r="E3319" s="6">
        <f>IF(AND(C3319&lt;&gt;"",D3319&lt;&gt;""),D3319-C3319,"")</f>
        <v>0</v>
      </c>
      <c r="F3319" s="4" t="s">
        <v>64</v>
      </c>
      <c r="G3319" s="4" t="s">
        <v>4412</v>
      </c>
      <c r="H3319" s="4" t="s">
        <v>32</v>
      </c>
      <c r="I3319" s="4" t="s">
        <v>33</v>
      </c>
      <c r="J3319" s="4">
        <v>1</v>
      </c>
      <c r="K3319" s="4">
        <v>0</v>
      </c>
      <c r="L3319" s="4">
        <f>J3319+K3319</f>
        <v>0</v>
      </c>
      <c r="M3319" s="4"/>
      <c r="N3319" s="4"/>
      <c r="O3319" s="4">
        <v>0</v>
      </c>
      <c r="P3319" s="4"/>
      <c r="Q3319" s="4"/>
      <c r="R3319" s="7">
        <v>0</v>
      </c>
      <c r="S3319" s="7">
        <v>0</v>
      </c>
      <c r="T3319" s="7">
        <f>R3319-S3319</f>
        <v>0</v>
      </c>
      <c r="U3319" s="7">
        <f>T3319*O3319</f>
        <v>0</v>
      </c>
    </row>
    <row r="3320" spans="1:21">
      <c r="A3320" s="4" t="s">
        <v>4418</v>
      </c>
      <c r="B3320" s="4" t="s">
        <v>48</v>
      </c>
      <c r="C3320" s="5">
        <v>45964.5772337963</v>
      </c>
      <c r="D3320" s="5">
        <v>45979</v>
      </c>
      <c r="E3320" s="6">
        <f>IF(AND(C3320&lt;&gt;"",D3320&lt;&gt;""),D3320-C3320,"")</f>
        <v>0</v>
      </c>
      <c r="F3320" s="4" t="s">
        <v>64</v>
      </c>
      <c r="G3320" s="4" t="s">
        <v>4412</v>
      </c>
      <c r="H3320" s="4" t="s">
        <v>32</v>
      </c>
      <c r="I3320" s="4" t="s">
        <v>33</v>
      </c>
      <c r="J3320" s="4">
        <v>3</v>
      </c>
      <c r="K3320" s="4">
        <v>2</v>
      </c>
      <c r="L3320" s="4">
        <f>J3320+K3320</f>
        <v>0</v>
      </c>
      <c r="M3320" s="4"/>
      <c r="N3320" s="4"/>
      <c r="O3320" s="4">
        <v>0</v>
      </c>
      <c r="P3320" s="4"/>
      <c r="Q3320" s="4"/>
      <c r="R3320" s="7">
        <v>0</v>
      </c>
      <c r="S3320" s="7">
        <v>0</v>
      </c>
      <c r="T3320" s="7">
        <f>R3320-S3320</f>
        <v>0</v>
      </c>
      <c r="U3320" s="7">
        <f>T3320*O3320</f>
        <v>0</v>
      </c>
    </row>
    <row r="3321" spans="1:21">
      <c r="A3321" s="4" t="s">
        <v>4419</v>
      </c>
      <c r="B3321" s="4" t="s">
        <v>48</v>
      </c>
      <c r="C3321" s="5">
        <v>45964.5781712963</v>
      </c>
      <c r="D3321" s="5">
        <v>45980</v>
      </c>
      <c r="E3321" s="6">
        <f>IF(AND(C3321&lt;&gt;"",D3321&lt;&gt;""),D3321-C3321,"")</f>
        <v>0</v>
      </c>
      <c r="F3321" s="4" t="s">
        <v>64</v>
      </c>
      <c r="G3321" s="4" t="s">
        <v>4412</v>
      </c>
      <c r="H3321" s="4" t="s">
        <v>32</v>
      </c>
      <c r="I3321" s="4" t="s">
        <v>33</v>
      </c>
      <c r="J3321" s="4">
        <v>3</v>
      </c>
      <c r="K3321" s="4">
        <v>0</v>
      </c>
      <c r="L3321" s="4">
        <f>J3321+K3321</f>
        <v>0</v>
      </c>
      <c r="M3321" s="4"/>
      <c r="N3321" s="4"/>
      <c r="O3321" s="4">
        <v>0</v>
      </c>
      <c r="P3321" s="4"/>
      <c r="Q3321" s="4"/>
      <c r="R3321" s="7">
        <v>0</v>
      </c>
      <c r="S3321" s="7">
        <v>0</v>
      </c>
      <c r="T3321" s="7">
        <f>R3321-S3321</f>
        <v>0</v>
      </c>
      <c r="U3321" s="7">
        <f>T3321*O3321</f>
        <v>0</v>
      </c>
    </row>
    <row r="3322" spans="1:21">
      <c r="A3322" s="4" t="s">
        <v>4420</v>
      </c>
      <c r="B3322" s="4" t="s">
        <v>48</v>
      </c>
      <c r="C3322" s="5">
        <v>45964.57916666667</v>
      </c>
      <c r="D3322" s="5">
        <v>45981</v>
      </c>
      <c r="E3322" s="6">
        <f>IF(AND(C3322&lt;&gt;"",D3322&lt;&gt;""),D3322-C3322,"")</f>
        <v>0</v>
      </c>
      <c r="F3322" s="4" t="s">
        <v>64</v>
      </c>
      <c r="G3322" s="4" t="s">
        <v>4412</v>
      </c>
      <c r="H3322" s="4" t="s">
        <v>32</v>
      </c>
      <c r="I3322" s="4" t="s">
        <v>33</v>
      </c>
      <c r="J3322" s="4">
        <v>5</v>
      </c>
      <c r="K3322" s="4">
        <v>0</v>
      </c>
      <c r="L3322" s="4">
        <f>J3322+K3322</f>
        <v>0</v>
      </c>
      <c r="M3322" s="4"/>
      <c r="N3322" s="4"/>
      <c r="O3322" s="4">
        <v>0</v>
      </c>
      <c r="P3322" s="4"/>
      <c r="Q3322" s="4"/>
      <c r="R3322" s="7">
        <v>0</v>
      </c>
      <c r="S3322" s="7">
        <v>0</v>
      </c>
      <c r="T3322" s="7">
        <f>R3322-S3322</f>
        <v>0</v>
      </c>
      <c r="U3322" s="7">
        <f>T3322*O3322</f>
        <v>0</v>
      </c>
    </row>
    <row r="3323" spans="1:21">
      <c r="A3323" s="4" t="s">
        <v>4421</v>
      </c>
      <c r="B3323" s="4" t="s">
        <v>48</v>
      </c>
      <c r="C3323" s="5">
        <v>45964.58064814815</v>
      </c>
      <c r="D3323" s="5">
        <v>45982</v>
      </c>
      <c r="E3323" s="6">
        <f>IF(AND(C3323&lt;&gt;"",D3323&lt;&gt;""),D3323-C3323,"")</f>
        <v>0</v>
      </c>
      <c r="F3323" s="4" t="s">
        <v>64</v>
      </c>
      <c r="G3323" s="4" t="s">
        <v>4412</v>
      </c>
      <c r="H3323" s="4" t="s">
        <v>32</v>
      </c>
      <c r="I3323" s="4" t="s">
        <v>33</v>
      </c>
      <c r="J3323" s="4">
        <v>2</v>
      </c>
      <c r="K3323" s="4">
        <v>0</v>
      </c>
      <c r="L3323" s="4">
        <f>J3323+K3323</f>
        <v>0</v>
      </c>
      <c r="M3323" s="4"/>
      <c r="N3323" s="4"/>
      <c r="O3323" s="4">
        <v>0</v>
      </c>
      <c r="P3323" s="4"/>
      <c r="Q3323" s="4"/>
      <c r="R3323" s="7">
        <v>0</v>
      </c>
      <c r="S3323" s="7">
        <v>0</v>
      </c>
      <c r="T3323" s="7">
        <f>R3323-S3323</f>
        <v>0</v>
      </c>
      <c r="U3323" s="7">
        <f>T3323*O3323</f>
        <v>0</v>
      </c>
    </row>
    <row r="3324" spans="1:21">
      <c r="A3324" s="4" t="s">
        <v>4422</v>
      </c>
      <c r="B3324" s="4" t="s">
        <v>48</v>
      </c>
      <c r="C3324" s="5">
        <v>45964.58164351852</v>
      </c>
      <c r="D3324" s="5">
        <v>45983</v>
      </c>
      <c r="E3324" s="6">
        <f>IF(AND(C3324&lt;&gt;"",D3324&lt;&gt;""),D3324-C3324,"")</f>
        <v>0</v>
      </c>
      <c r="F3324" s="4" t="s">
        <v>64</v>
      </c>
      <c r="G3324" s="4" t="s">
        <v>4412</v>
      </c>
      <c r="H3324" s="4" t="s">
        <v>32</v>
      </c>
      <c r="I3324" s="4" t="s">
        <v>33</v>
      </c>
      <c r="J3324" s="4">
        <v>3</v>
      </c>
      <c r="K3324" s="4">
        <v>0</v>
      </c>
      <c r="L3324" s="4">
        <f>J3324+K3324</f>
        <v>0</v>
      </c>
      <c r="M3324" s="4"/>
      <c r="N3324" s="4"/>
      <c r="O3324" s="4">
        <v>0</v>
      </c>
      <c r="P3324" s="4"/>
      <c r="Q3324" s="4"/>
      <c r="R3324" s="7">
        <v>0</v>
      </c>
      <c r="S3324" s="7">
        <v>0</v>
      </c>
      <c r="T3324" s="7">
        <f>R3324-S3324</f>
        <v>0</v>
      </c>
      <c r="U3324" s="7">
        <f>T3324*O3324</f>
        <v>0</v>
      </c>
    </row>
    <row r="3325" spans="1:21">
      <c r="A3325" s="4" t="s">
        <v>4423</v>
      </c>
      <c r="B3325" s="4" t="s">
        <v>39</v>
      </c>
      <c r="C3325" s="5">
        <v>45964.67799768518</v>
      </c>
      <c r="D3325" s="5">
        <v>45964</v>
      </c>
      <c r="E3325" s="6">
        <f>IF(AND(C3325&lt;&gt;"",D3325&lt;&gt;""),D3325-C3325,"")</f>
        <v>0</v>
      </c>
      <c r="F3325" s="4" t="s">
        <v>4298</v>
      </c>
      <c r="G3325" s="4" t="s">
        <v>4299</v>
      </c>
      <c r="H3325" s="4" t="s">
        <v>32</v>
      </c>
      <c r="I3325" s="4" t="s">
        <v>33</v>
      </c>
      <c r="J3325" s="4">
        <v>0</v>
      </c>
      <c r="K3325" s="4">
        <v>0</v>
      </c>
      <c r="L3325" s="4">
        <f>J3325+K3325</f>
        <v>0</v>
      </c>
      <c r="M3325" s="4" t="s">
        <v>3914</v>
      </c>
      <c r="N3325" s="4"/>
      <c r="O3325" s="4">
        <v>1</v>
      </c>
      <c r="P3325" s="4" t="s">
        <v>135</v>
      </c>
      <c r="Q3325" s="4"/>
      <c r="R3325" s="7">
        <v>68000</v>
      </c>
      <c r="S3325" s="7">
        <v>34000</v>
      </c>
      <c r="T3325" s="7">
        <f>R3325-S3325</f>
        <v>0</v>
      </c>
      <c r="U3325" s="7">
        <f>T3325*O3325</f>
        <v>0</v>
      </c>
    </row>
    <row r="3326" spans="1:21">
      <c r="A3326" s="4" t="s">
        <v>4423</v>
      </c>
      <c r="B3326" s="4" t="s">
        <v>39</v>
      </c>
      <c r="C3326" s="5">
        <v>45964.67799768518</v>
      </c>
      <c r="D3326" s="5">
        <v>45964</v>
      </c>
      <c r="E3326" s="6">
        <f>IF(AND(C3326&lt;&gt;"",D3326&lt;&gt;""),D3326-C3326,"")</f>
        <v>0</v>
      </c>
      <c r="F3326" s="4" t="s">
        <v>4298</v>
      </c>
      <c r="G3326" s="4" t="s">
        <v>4299</v>
      </c>
      <c r="H3326" s="4" t="s">
        <v>32</v>
      </c>
      <c r="I3326" s="4" t="s">
        <v>33</v>
      </c>
      <c r="J3326" s="4">
        <v>0</v>
      </c>
      <c r="K3326" s="4">
        <v>0</v>
      </c>
      <c r="L3326" s="4">
        <f>J3326+K3326</f>
        <v>0</v>
      </c>
      <c r="M3326" s="4" t="s">
        <v>3914</v>
      </c>
      <c r="N3326" s="4"/>
      <c r="O3326" s="4">
        <v>1</v>
      </c>
      <c r="P3326" s="4" t="s">
        <v>135</v>
      </c>
      <c r="Q3326" s="4"/>
      <c r="R3326" s="7">
        <v>68000</v>
      </c>
      <c r="S3326" s="7">
        <v>34000</v>
      </c>
      <c r="T3326" s="7">
        <f>R3326-S3326</f>
        <v>0</v>
      </c>
      <c r="U3326" s="7">
        <f>T3326*O3326</f>
        <v>0</v>
      </c>
    </row>
    <row r="3327" spans="1:21">
      <c r="A3327" s="4" t="s">
        <v>4423</v>
      </c>
      <c r="B3327" s="4" t="s">
        <v>39</v>
      </c>
      <c r="C3327" s="5">
        <v>45964.67799768518</v>
      </c>
      <c r="D3327" s="5">
        <v>45964</v>
      </c>
      <c r="E3327" s="6">
        <f>IF(AND(C3327&lt;&gt;"",D3327&lt;&gt;""),D3327-C3327,"")</f>
        <v>0</v>
      </c>
      <c r="F3327" s="4" t="s">
        <v>4298</v>
      </c>
      <c r="G3327" s="4" t="s">
        <v>4299</v>
      </c>
      <c r="H3327" s="4" t="s">
        <v>32</v>
      </c>
      <c r="I3327" s="4" t="s">
        <v>33</v>
      </c>
      <c r="J3327" s="4">
        <v>0</v>
      </c>
      <c r="K3327" s="4">
        <v>0</v>
      </c>
      <c r="L3327" s="4">
        <f>J3327+K3327</f>
        <v>0</v>
      </c>
      <c r="M3327" s="4" t="s">
        <v>3914</v>
      </c>
      <c r="N3327" s="4"/>
      <c r="O3327" s="4">
        <v>1</v>
      </c>
      <c r="P3327" s="4" t="s">
        <v>135</v>
      </c>
      <c r="Q3327" s="4"/>
      <c r="R3327" s="7">
        <v>68000</v>
      </c>
      <c r="S3327" s="7">
        <v>34000</v>
      </c>
      <c r="T3327" s="7">
        <f>R3327-S3327</f>
        <v>0</v>
      </c>
      <c r="U3327" s="7">
        <f>T3327*O3327</f>
        <v>0</v>
      </c>
    </row>
    <row r="3328" spans="1:21">
      <c r="A3328" s="4" t="s">
        <v>4423</v>
      </c>
      <c r="B3328" s="4" t="s">
        <v>39</v>
      </c>
      <c r="C3328" s="5">
        <v>45964.67799768518</v>
      </c>
      <c r="D3328" s="5">
        <v>45964</v>
      </c>
      <c r="E3328" s="6">
        <f>IF(AND(C3328&lt;&gt;"",D3328&lt;&gt;""),D3328-C3328,"")</f>
        <v>0</v>
      </c>
      <c r="F3328" s="4" t="s">
        <v>4298</v>
      </c>
      <c r="G3328" s="4" t="s">
        <v>4299</v>
      </c>
      <c r="H3328" s="4" t="s">
        <v>32</v>
      </c>
      <c r="I3328" s="4" t="s">
        <v>33</v>
      </c>
      <c r="J3328" s="4">
        <v>0</v>
      </c>
      <c r="K3328" s="4">
        <v>0</v>
      </c>
      <c r="L3328" s="4">
        <f>J3328+K3328</f>
        <v>0</v>
      </c>
      <c r="M3328" s="4" t="s">
        <v>3914</v>
      </c>
      <c r="N3328" s="4"/>
      <c r="O3328" s="4">
        <v>1</v>
      </c>
      <c r="P3328" s="4" t="s">
        <v>135</v>
      </c>
      <c r="Q3328" s="4"/>
      <c r="R3328" s="7">
        <v>68000</v>
      </c>
      <c r="S3328" s="7">
        <v>34000</v>
      </c>
      <c r="T3328" s="7">
        <f>R3328-S3328</f>
        <v>0</v>
      </c>
      <c r="U3328" s="7">
        <f>T3328*O3328</f>
        <v>0</v>
      </c>
    </row>
    <row r="3329" spans="1:21">
      <c r="A3329" s="4" t="s">
        <v>4424</v>
      </c>
      <c r="B3329" s="4" t="s">
        <v>39</v>
      </c>
      <c r="C3329" s="5">
        <v>45964.69997685185</v>
      </c>
      <c r="D3329" s="5">
        <v>45964</v>
      </c>
      <c r="E3329" s="6">
        <f>IF(AND(C3329&lt;&gt;"",D3329&lt;&gt;""),D3329-C3329,"")</f>
        <v>0</v>
      </c>
      <c r="F3329" s="4" t="s">
        <v>4425</v>
      </c>
      <c r="G3329" s="4" t="s">
        <v>4426</v>
      </c>
      <c r="H3329" s="4" t="s">
        <v>32</v>
      </c>
      <c r="I3329" s="4" t="s">
        <v>33</v>
      </c>
      <c r="J3329" s="4">
        <v>0</v>
      </c>
      <c r="K3329" s="4">
        <v>0</v>
      </c>
      <c r="L3329" s="4">
        <f>J3329+K3329</f>
        <v>0</v>
      </c>
      <c r="M3329" s="4" t="s">
        <v>4427</v>
      </c>
      <c r="N3329" s="4"/>
      <c r="O3329" s="4">
        <v>1</v>
      </c>
      <c r="P3329" s="4" t="s">
        <v>135</v>
      </c>
      <c r="Q3329" s="4" t="s">
        <v>44</v>
      </c>
      <c r="R3329" s="7">
        <v>3000000</v>
      </c>
      <c r="S3329" s="7">
        <v>0</v>
      </c>
      <c r="T3329" s="7">
        <f>R3329-S3329</f>
        <v>0</v>
      </c>
      <c r="U3329" s="7">
        <f>T3329*O3329</f>
        <v>0</v>
      </c>
    </row>
    <row r="3330" spans="1:21">
      <c r="A3330" s="4" t="s">
        <v>4428</v>
      </c>
      <c r="B3330" s="4" t="s">
        <v>39</v>
      </c>
      <c r="C3330" s="5">
        <v>45964.70166666667</v>
      </c>
      <c r="D3330" s="5">
        <v>45964</v>
      </c>
      <c r="E3330" s="6">
        <f>IF(AND(C3330&lt;&gt;"",D3330&lt;&gt;""),D3330-C3330,"")</f>
        <v>0</v>
      </c>
      <c r="F3330" s="4" t="s">
        <v>4429</v>
      </c>
      <c r="G3330" s="4" t="s">
        <v>4430</v>
      </c>
      <c r="H3330" s="4" t="s">
        <v>32</v>
      </c>
      <c r="I3330" s="4" t="s">
        <v>33</v>
      </c>
      <c r="J3330" s="4">
        <v>0</v>
      </c>
      <c r="K3330" s="4">
        <v>0</v>
      </c>
      <c r="L3330" s="4">
        <f>J3330+K3330</f>
        <v>0</v>
      </c>
      <c r="M3330" s="4" t="s">
        <v>4431</v>
      </c>
      <c r="N3330" s="4"/>
      <c r="O3330" s="4">
        <v>1</v>
      </c>
      <c r="P3330" s="4" t="s">
        <v>135</v>
      </c>
      <c r="Q3330" s="4" t="s">
        <v>44</v>
      </c>
      <c r="R3330" s="7">
        <v>2700000</v>
      </c>
      <c r="S3330" s="7">
        <v>0</v>
      </c>
      <c r="T3330" s="7">
        <f>R3330-S3330</f>
        <v>0</v>
      </c>
      <c r="U3330" s="7">
        <f>T3330*O3330</f>
        <v>0</v>
      </c>
    </row>
    <row r="3331" spans="1:21">
      <c r="A3331" s="4" t="s">
        <v>4432</v>
      </c>
      <c r="B3331" s="4" t="s">
        <v>48</v>
      </c>
      <c r="C3331" s="5">
        <v>45964.72074074074</v>
      </c>
      <c r="D3331" s="5">
        <v>45984</v>
      </c>
      <c r="E3331" s="6">
        <f>IF(AND(C3331&lt;&gt;"",D3331&lt;&gt;""),D3331-C3331,"")</f>
        <v>0</v>
      </c>
      <c r="F3331" s="4" t="s">
        <v>64</v>
      </c>
      <c r="G3331" s="4" t="s">
        <v>4412</v>
      </c>
      <c r="H3331" s="4" t="s">
        <v>32</v>
      </c>
      <c r="I3331" s="4" t="s">
        <v>33</v>
      </c>
      <c r="J3331" s="4">
        <v>2</v>
      </c>
      <c r="K3331" s="4">
        <v>2</v>
      </c>
      <c r="L3331" s="4">
        <f>J3331+K3331</f>
        <v>0</v>
      </c>
      <c r="M3331" s="4"/>
      <c r="N3331" s="4"/>
      <c r="O3331" s="4">
        <v>0</v>
      </c>
      <c r="P3331" s="4"/>
      <c r="Q3331" s="4"/>
      <c r="R3331" s="7">
        <v>0</v>
      </c>
      <c r="S3331" s="7">
        <v>0</v>
      </c>
      <c r="T3331" s="7">
        <f>R3331-S3331</f>
        <v>0</v>
      </c>
      <c r="U3331" s="7">
        <f>T3331*O3331</f>
        <v>0</v>
      </c>
    </row>
    <row r="3332" spans="1:21">
      <c r="A3332" s="4" t="s">
        <v>4433</v>
      </c>
      <c r="B3332" s="4" t="s">
        <v>48</v>
      </c>
      <c r="C3332" s="5">
        <v>45964.72386574074</v>
      </c>
      <c r="D3332" s="5">
        <v>45965</v>
      </c>
      <c r="E3332" s="6">
        <f>IF(AND(C3332&lt;&gt;"",D3332&lt;&gt;""),D3332-C3332,"")</f>
        <v>0</v>
      </c>
      <c r="F3332" s="4" t="s">
        <v>64</v>
      </c>
      <c r="G3332" s="4" t="s">
        <v>4412</v>
      </c>
      <c r="H3332" s="4" t="s">
        <v>32</v>
      </c>
      <c r="I3332" s="4" t="s">
        <v>33</v>
      </c>
      <c r="J3332" s="4">
        <v>8</v>
      </c>
      <c r="K3332" s="4">
        <v>0</v>
      </c>
      <c r="L3332" s="4">
        <f>J3332+K3332</f>
        <v>0</v>
      </c>
      <c r="M3332" s="4"/>
      <c r="N3332" s="4"/>
      <c r="O3332" s="4">
        <v>0</v>
      </c>
      <c r="P3332" s="4"/>
      <c r="Q3332" s="4"/>
      <c r="R3332" s="7">
        <v>0</v>
      </c>
      <c r="S3332" s="7">
        <v>0</v>
      </c>
      <c r="T3332" s="7">
        <f>R3332-S3332</f>
        <v>0</v>
      </c>
      <c r="U3332" s="7">
        <f>T3332*O3332</f>
        <v>0</v>
      </c>
    </row>
    <row r="3333" spans="1:21">
      <c r="A3333" s="4" t="s">
        <v>4434</v>
      </c>
      <c r="B3333" s="4" t="s">
        <v>48</v>
      </c>
      <c r="C3333" s="5">
        <v>45964.73729166666</v>
      </c>
      <c r="D3333" s="5">
        <v>45967</v>
      </c>
      <c r="E3333" s="6">
        <f>IF(AND(C3333&lt;&gt;"",D3333&lt;&gt;""),D3333-C3333,"")</f>
        <v>0</v>
      </c>
      <c r="F3333" s="4" t="s">
        <v>64</v>
      </c>
      <c r="G3333" s="4" t="s">
        <v>4412</v>
      </c>
      <c r="H3333" s="4" t="s">
        <v>32</v>
      </c>
      <c r="I3333" s="4" t="s">
        <v>33</v>
      </c>
      <c r="J3333" s="4">
        <v>2</v>
      </c>
      <c r="K3333" s="4">
        <v>0</v>
      </c>
      <c r="L3333" s="4">
        <f>J3333+K3333</f>
        <v>0</v>
      </c>
      <c r="M3333" s="4"/>
      <c r="N3333" s="4"/>
      <c r="O3333" s="4">
        <v>0</v>
      </c>
      <c r="P3333" s="4"/>
      <c r="Q3333" s="4"/>
      <c r="R3333" s="7">
        <v>0</v>
      </c>
      <c r="S3333" s="7">
        <v>0</v>
      </c>
      <c r="T3333" s="7">
        <f>R3333-S3333</f>
        <v>0</v>
      </c>
      <c r="U3333" s="7">
        <f>T3333*O3333</f>
        <v>0</v>
      </c>
    </row>
    <row r="3334" spans="1:21">
      <c r="A3334" s="4" t="s">
        <v>4435</v>
      </c>
      <c r="B3334" s="4" t="s">
        <v>39</v>
      </c>
      <c r="C3334" s="5">
        <v>45964.94314814815</v>
      </c>
      <c r="D3334" s="5">
        <v>45964</v>
      </c>
      <c r="E3334" s="6">
        <f>IF(AND(C3334&lt;&gt;"",D3334&lt;&gt;""),D3334-C3334,"")</f>
        <v>0</v>
      </c>
      <c r="F3334" s="4" t="s">
        <v>3718</v>
      </c>
      <c r="G3334" s="4" t="s">
        <v>3719</v>
      </c>
      <c r="H3334" s="4" t="s">
        <v>32</v>
      </c>
      <c r="I3334" s="4" t="s">
        <v>33</v>
      </c>
      <c r="J3334" s="4">
        <v>1</v>
      </c>
      <c r="K3334" s="4">
        <v>0</v>
      </c>
      <c r="L3334" s="4">
        <f>J3334+K3334</f>
        <v>0</v>
      </c>
      <c r="M3334" s="4" t="s">
        <v>80</v>
      </c>
      <c r="N3334" s="4"/>
      <c r="O3334" s="4">
        <v>1</v>
      </c>
      <c r="P3334" s="4" t="s">
        <v>135</v>
      </c>
      <c r="Q3334" s="4" t="s">
        <v>44</v>
      </c>
      <c r="R3334" s="7">
        <v>610000</v>
      </c>
      <c r="S3334" s="7">
        <v>0</v>
      </c>
      <c r="T3334" s="7">
        <f>R3334-S3334</f>
        <v>0</v>
      </c>
      <c r="U3334" s="7">
        <f>T3334*O3334</f>
        <v>0</v>
      </c>
    </row>
    <row r="3335" spans="1:21">
      <c r="A3335" s="4" t="s">
        <v>4436</v>
      </c>
      <c r="B3335" s="4" t="s">
        <v>39</v>
      </c>
      <c r="C3335" s="5">
        <v>45964.95359953704</v>
      </c>
      <c r="D3335" s="5">
        <v>45964</v>
      </c>
      <c r="E3335" s="6">
        <f>IF(AND(C3335&lt;&gt;"",D3335&lt;&gt;""),D3335-C3335,"")</f>
        <v>0</v>
      </c>
      <c r="F3335" s="4" t="s">
        <v>3036</v>
      </c>
      <c r="G3335" s="4" t="s">
        <v>3037</v>
      </c>
      <c r="H3335" s="4" t="s">
        <v>32</v>
      </c>
      <c r="I3335" s="4" t="s">
        <v>33</v>
      </c>
      <c r="J3335" s="4">
        <v>1</v>
      </c>
      <c r="K3335" s="4">
        <v>0</v>
      </c>
      <c r="L3335" s="4">
        <f>J3335+K3335</f>
        <v>0</v>
      </c>
      <c r="M3335" s="4" t="s">
        <v>80</v>
      </c>
      <c r="N3335" s="4"/>
      <c r="O3335" s="4">
        <v>1</v>
      </c>
      <c r="P3335" s="4" t="s">
        <v>135</v>
      </c>
      <c r="Q3335" s="4" t="s">
        <v>44</v>
      </c>
      <c r="R3335" s="7">
        <v>610000</v>
      </c>
      <c r="S3335" s="7">
        <v>0</v>
      </c>
      <c r="T3335" s="7">
        <f>R3335-S3335</f>
        <v>0</v>
      </c>
      <c r="U3335" s="7">
        <f>T3335*O3335</f>
        <v>0</v>
      </c>
    </row>
    <row r="3336" spans="1:21">
      <c r="A3336" s="4" t="s">
        <v>4437</v>
      </c>
      <c r="B3336" s="4" t="s">
        <v>29</v>
      </c>
      <c r="C3336" s="5">
        <v>45965.09168981481</v>
      </c>
      <c r="D3336" s="5">
        <v>45965</v>
      </c>
      <c r="E3336" s="6">
        <f>IF(AND(C3336&lt;&gt;"",D3336&lt;&gt;""),D3336-C3336,"")</f>
        <v>0</v>
      </c>
      <c r="F3336" s="4" t="s">
        <v>672</v>
      </c>
      <c r="G3336" s="4" t="s">
        <v>673</v>
      </c>
      <c r="H3336" s="4"/>
      <c r="I3336" s="4" t="s">
        <v>56</v>
      </c>
      <c r="J3336" s="4">
        <v>1</v>
      </c>
      <c r="K3336" s="4">
        <v>1</v>
      </c>
      <c r="L3336" s="4">
        <f>J3336+K3336</f>
        <v>0</v>
      </c>
      <c r="M3336" s="4"/>
      <c r="N3336" s="4"/>
      <c r="O3336" s="4">
        <v>0</v>
      </c>
      <c r="P3336" s="4"/>
      <c r="Q3336" s="4"/>
      <c r="R3336" s="7">
        <v>0</v>
      </c>
      <c r="S3336" s="7">
        <v>0</v>
      </c>
      <c r="T3336" s="7">
        <f>R3336-S3336</f>
        <v>0</v>
      </c>
      <c r="U3336" s="7">
        <f>T3336*O3336</f>
        <v>0</v>
      </c>
    </row>
    <row r="3337" spans="1:21">
      <c r="A3337" s="4" t="s">
        <v>4438</v>
      </c>
      <c r="B3337" s="4" t="s">
        <v>39</v>
      </c>
      <c r="C3337" s="5">
        <v>45965.1225462963</v>
      </c>
      <c r="D3337" s="5">
        <v>45965</v>
      </c>
      <c r="E3337" s="6">
        <f>IF(AND(C3337&lt;&gt;"",D3337&lt;&gt;""),D3337-C3337,"")</f>
        <v>0</v>
      </c>
      <c r="F3337" s="4" t="s">
        <v>3036</v>
      </c>
      <c r="G3337" s="4" t="s">
        <v>3037</v>
      </c>
      <c r="H3337" s="4" t="s">
        <v>32</v>
      </c>
      <c r="I3337" s="4" t="s">
        <v>33</v>
      </c>
      <c r="J3337" s="4">
        <v>1</v>
      </c>
      <c r="K3337" s="4">
        <v>0</v>
      </c>
      <c r="L3337" s="4">
        <f>J3337+K3337</f>
        <v>0</v>
      </c>
      <c r="M3337" s="4" t="s">
        <v>80</v>
      </c>
      <c r="N3337" s="4"/>
      <c r="O3337" s="4">
        <v>1</v>
      </c>
      <c r="P3337" s="4" t="s">
        <v>135</v>
      </c>
      <c r="Q3337" s="4" t="s">
        <v>44</v>
      </c>
      <c r="R3337" s="7">
        <v>610000</v>
      </c>
      <c r="S3337" s="7">
        <v>0</v>
      </c>
      <c r="T3337" s="7">
        <f>R3337-S3337</f>
        <v>0</v>
      </c>
      <c r="U3337" s="7">
        <f>T3337*O3337</f>
        <v>0</v>
      </c>
    </row>
    <row r="3338" spans="1:21">
      <c r="A3338" s="4" t="s">
        <v>4439</v>
      </c>
      <c r="B3338" s="4" t="s">
        <v>39</v>
      </c>
      <c r="C3338" s="5">
        <v>45965.1309375</v>
      </c>
      <c r="D3338" s="5">
        <v>45965</v>
      </c>
      <c r="E3338" s="6">
        <f>IF(AND(C3338&lt;&gt;"",D3338&lt;&gt;""),D3338-C3338,"")</f>
        <v>0</v>
      </c>
      <c r="F3338" s="4" t="s">
        <v>172</v>
      </c>
      <c r="G3338" s="4" t="s">
        <v>173</v>
      </c>
      <c r="H3338" s="4" t="s">
        <v>32</v>
      </c>
      <c r="I3338" s="4" t="s">
        <v>33</v>
      </c>
      <c r="J3338" s="4">
        <v>1</v>
      </c>
      <c r="K3338" s="4">
        <v>0</v>
      </c>
      <c r="L3338" s="4">
        <f>J3338+K3338</f>
        <v>0</v>
      </c>
      <c r="M3338" s="4" t="s">
        <v>80</v>
      </c>
      <c r="N3338" s="4"/>
      <c r="O3338" s="4">
        <v>1</v>
      </c>
      <c r="P3338" s="4" t="s">
        <v>135</v>
      </c>
      <c r="Q3338" s="4" t="s">
        <v>44</v>
      </c>
      <c r="R3338" s="7">
        <v>610000</v>
      </c>
      <c r="S3338" s="7">
        <v>0</v>
      </c>
      <c r="T3338" s="7">
        <f>R3338-S3338</f>
        <v>0</v>
      </c>
      <c r="U3338" s="7">
        <f>T3338*O3338</f>
        <v>0</v>
      </c>
    </row>
    <row r="3339" spans="1:21">
      <c r="A3339" s="4" t="s">
        <v>4440</v>
      </c>
      <c r="B3339" s="4" t="s">
        <v>39</v>
      </c>
      <c r="C3339" s="5">
        <v>45965.14469907407</v>
      </c>
      <c r="D3339" s="5">
        <v>45965</v>
      </c>
      <c r="E3339" s="6">
        <f>IF(AND(C3339&lt;&gt;"",D3339&lt;&gt;""),D3339-C3339,"")</f>
        <v>0</v>
      </c>
      <c r="F3339" s="4" t="s">
        <v>4227</v>
      </c>
      <c r="G3339" s="4" t="s">
        <v>4228</v>
      </c>
      <c r="H3339" s="4" t="s">
        <v>32</v>
      </c>
      <c r="I3339" s="4" t="s">
        <v>33</v>
      </c>
      <c r="J3339" s="4">
        <v>1</v>
      </c>
      <c r="K3339" s="4">
        <v>0</v>
      </c>
      <c r="L3339" s="4">
        <f>J3339+K3339</f>
        <v>0</v>
      </c>
      <c r="M3339" s="4" t="s">
        <v>80</v>
      </c>
      <c r="N3339" s="4"/>
      <c r="O3339" s="4">
        <v>1</v>
      </c>
      <c r="P3339" s="4" t="s">
        <v>135</v>
      </c>
      <c r="Q3339" s="4" t="s">
        <v>44</v>
      </c>
      <c r="R3339" s="7">
        <v>610000</v>
      </c>
      <c r="S3339" s="7">
        <v>0</v>
      </c>
      <c r="T3339" s="7">
        <f>R3339-S3339</f>
        <v>0</v>
      </c>
      <c r="U3339" s="7">
        <f>T3339*O3339</f>
        <v>0</v>
      </c>
    </row>
    <row r="3340" spans="1:21">
      <c r="A3340" s="4" t="s">
        <v>4441</v>
      </c>
      <c r="B3340" s="4" t="s">
        <v>39</v>
      </c>
      <c r="C3340" s="5">
        <v>45965.14525462963</v>
      </c>
      <c r="D3340" s="5">
        <v>45965</v>
      </c>
      <c r="E3340" s="6">
        <f>IF(AND(C3340&lt;&gt;"",D3340&lt;&gt;""),D3340-C3340,"")</f>
        <v>0</v>
      </c>
      <c r="F3340" s="4" t="s">
        <v>4442</v>
      </c>
      <c r="G3340" s="4" t="s">
        <v>4443</v>
      </c>
      <c r="H3340" s="4" t="s">
        <v>32</v>
      </c>
      <c r="I3340" s="4" t="s">
        <v>33</v>
      </c>
      <c r="J3340" s="4">
        <v>1</v>
      </c>
      <c r="K3340" s="4">
        <v>0</v>
      </c>
      <c r="L3340" s="4">
        <f>J3340+K3340</f>
        <v>0</v>
      </c>
      <c r="M3340" s="4" t="s">
        <v>80</v>
      </c>
      <c r="N3340" s="4"/>
      <c r="O3340" s="4">
        <v>1</v>
      </c>
      <c r="P3340" s="4" t="s">
        <v>135</v>
      </c>
      <c r="Q3340" s="4" t="s">
        <v>44</v>
      </c>
      <c r="R3340" s="7">
        <v>610000</v>
      </c>
      <c r="S3340" s="7">
        <v>0</v>
      </c>
      <c r="T3340" s="7">
        <f>R3340-S3340</f>
        <v>0</v>
      </c>
      <c r="U3340" s="7">
        <f>T3340*O3340</f>
        <v>0</v>
      </c>
    </row>
    <row r="3341" spans="1:21">
      <c r="A3341" s="4" t="s">
        <v>4444</v>
      </c>
      <c r="B3341" s="4" t="s">
        <v>39</v>
      </c>
      <c r="C3341" s="5">
        <v>45965.14641203704</v>
      </c>
      <c r="D3341" s="5">
        <v>45965</v>
      </c>
      <c r="E3341" s="6">
        <f>IF(AND(C3341&lt;&gt;"",D3341&lt;&gt;""),D3341-C3341,"")</f>
        <v>0</v>
      </c>
      <c r="F3341" s="4" t="s">
        <v>4445</v>
      </c>
      <c r="G3341" s="4" t="s">
        <v>4446</v>
      </c>
      <c r="H3341" s="4" t="s">
        <v>32</v>
      </c>
      <c r="I3341" s="4" t="s">
        <v>33</v>
      </c>
      <c r="J3341" s="4">
        <v>0</v>
      </c>
      <c r="K3341" s="4">
        <v>0</v>
      </c>
      <c r="L3341" s="4">
        <f>J3341+K3341</f>
        <v>0</v>
      </c>
      <c r="M3341" s="4" t="s">
        <v>3630</v>
      </c>
      <c r="N3341" s="4"/>
      <c r="O3341" s="4">
        <v>1</v>
      </c>
      <c r="P3341" s="4" t="s">
        <v>135</v>
      </c>
      <c r="Q3341" s="4" t="s">
        <v>44</v>
      </c>
      <c r="R3341" s="7">
        <v>15000</v>
      </c>
      <c r="S3341" s="7">
        <v>0</v>
      </c>
      <c r="T3341" s="7">
        <f>R3341-S3341</f>
        <v>0</v>
      </c>
      <c r="U3341" s="7">
        <f>T3341*O3341</f>
        <v>0</v>
      </c>
    </row>
    <row r="3342" spans="1:21">
      <c r="A3342" s="4" t="s">
        <v>4447</v>
      </c>
      <c r="B3342" s="4" t="s">
        <v>39</v>
      </c>
      <c r="C3342" s="5">
        <v>45965.15875</v>
      </c>
      <c r="D3342" s="5">
        <v>45965</v>
      </c>
      <c r="E3342" s="6">
        <f>IF(AND(C3342&lt;&gt;"",D3342&lt;&gt;""),D3342-C3342,"")</f>
        <v>0</v>
      </c>
      <c r="F3342" s="4" t="s">
        <v>172</v>
      </c>
      <c r="G3342" s="4" t="s">
        <v>173</v>
      </c>
      <c r="H3342" s="4" t="s">
        <v>32</v>
      </c>
      <c r="I3342" s="4" t="s">
        <v>33</v>
      </c>
      <c r="J3342" s="4">
        <v>1</v>
      </c>
      <c r="K3342" s="4">
        <v>0</v>
      </c>
      <c r="L3342" s="4">
        <f>J3342+K3342</f>
        <v>0</v>
      </c>
      <c r="M3342" s="4" t="s">
        <v>42</v>
      </c>
      <c r="N3342" s="4"/>
      <c r="O3342" s="4">
        <v>1</v>
      </c>
      <c r="P3342" s="4" t="s">
        <v>135</v>
      </c>
      <c r="Q3342" s="4" t="s">
        <v>44</v>
      </c>
      <c r="R3342" s="7">
        <v>370000</v>
      </c>
      <c r="S3342" s="7">
        <v>0</v>
      </c>
      <c r="T3342" s="7">
        <f>R3342-S3342</f>
        <v>0</v>
      </c>
      <c r="U3342" s="7">
        <f>T3342*O3342</f>
        <v>0</v>
      </c>
    </row>
    <row r="3343" spans="1:21">
      <c r="A3343" s="4" t="s">
        <v>4447</v>
      </c>
      <c r="B3343" s="4" t="s">
        <v>39</v>
      </c>
      <c r="C3343" s="5">
        <v>45965.15875</v>
      </c>
      <c r="D3343" s="5">
        <v>45965</v>
      </c>
      <c r="E3343" s="6">
        <f>IF(AND(C3343&lt;&gt;"",D3343&lt;&gt;""),D3343-C3343,"")</f>
        <v>0</v>
      </c>
      <c r="F3343" s="4" t="s">
        <v>172</v>
      </c>
      <c r="G3343" s="4" t="s">
        <v>173</v>
      </c>
      <c r="H3343" s="4" t="s">
        <v>32</v>
      </c>
      <c r="I3343" s="4" t="s">
        <v>33</v>
      </c>
      <c r="J3343" s="4">
        <v>0</v>
      </c>
      <c r="K3343" s="4">
        <v>1</v>
      </c>
      <c r="L3343" s="4">
        <f>J3343+K3343</f>
        <v>0</v>
      </c>
      <c r="M3343" s="4" t="s">
        <v>46</v>
      </c>
      <c r="N3343" s="4"/>
      <c r="O3343" s="4">
        <v>1</v>
      </c>
      <c r="P3343" s="4" t="s">
        <v>135</v>
      </c>
      <c r="Q3343" s="4" t="s">
        <v>44</v>
      </c>
      <c r="R3343" s="7">
        <v>325000</v>
      </c>
      <c r="S3343" s="7">
        <v>0</v>
      </c>
      <c r="T3343" s="7">
        <f>R3343-S3343</f>
        <v>0</v>
      </c>
      <c r="U3343" s="7">
        <f>T3343*O3343</f>
        <v>0</v>
      </c>
    </row>
    <row r="3344" spans="1:21">
      <c r="A3344" s="4" t="s">
        <v>4448</v>
      </c>
      <c r="B3344" s="4" t="s">
        <v>39</v>
      </c>
      <c r="C3344" s="5">
        <v>45965.16069444444</v>
      </c>
      <c r="D3344" s="5">
        <v>45965</v>
      </c>
      <c r="E3344" s="6">
        <f>IF(AND(C3344&lt;&gt;"",D3344&lt;&gt;""),D3344-C3344,"")</f>
        <v>0</v>
      </c>
      <c r="F3344" s="4" t="s">
        <v>4357</v>
      </c>
      <c r="G3344" s="4" t="s">
        <v>4358</v>
      </c>
      <c r="H3344" s="4" t="s">
        <v>190</v>
      </c>
      <c r="I3344" s="4" t="s">
        <v>56</v>
      </c>
      <c r="J3344" s="4">
        <v>1</v>
      </c>
      <c r="K3344" s="4">
        <v>0</v>
      </c>
      <c r="L3344" s="4">
        <f>J3344+K3344</f>
        <v>0</v>
      </c>
      <c r="M3344" s="4" t="s">
        <v>80</v>
      </c>
      <c r="N3344" s="4"/>
      <c r="O3344" s="4">
        <v>1</v>
      </c>
      <c r="P3344" s="4" t="s">
        <v>135</v>
      </c>
      <c r="Q3344" s="4" t="s">
        <v>44</v>
      </c>
      <c r="R3344" s="7">
        <v>610000</v>
      </c>
      <c r="S3344" s="7">
        <v>0</v>
      </c>
      <c r="T3344" s="7">
        <f>R3344-S3344</f>
        <v>0</v>
      </c>
      <c r="U3344" s="7">
        <f>T3344*O3344</f>
        <v>0</v>
      </c>
    </row>
    <row r="3345" spans="1:21">
      <c r="A3345" s="4" t="s">
        <v>4448</v>
      </c>
      <c r="B3345" s="4" t="s">
        <v>39</v>
      </c>
      <c r="C3345" s="5">
        <v>45965.16069444444</v>
      </c>
      <c r="D3345" s="5">
        <v>45965</v>
      </c>
      <c r="E3345" s="6">
        <f>IF(AND(C3345&lt;&gt;"",D3345&lt;&gt;""),D3345-C3345,"")</f>
        <v>0</v>
      </c>
      <c r="F3345" s="4" t="s">
        <v>4357</v>
      </c>
      <c r="G3345" s="4" t="s">
        <v>4358</v>
      </c>
      <c r="H3345" s="4" t="s">
        <v>190</v>
      </c>
      <c r="I3345" s="4" t="s">
        <v>56</v>
      </c>
      <c r="J3345" s="4">
        <v>1</v>
      </c>
      <c r="K3345" s="4">
        <v>0</v>
      </c>
      <c r="L3345" s="4">
        <f>J3345+K3345</f>
        <v>0</v>
      </c>
      <c r="M3345" s="4" t="s">
        <v>80</v>
      </c>
      <c r="N3345" s="4"/>
      <c r="O3345" s="4">
        <v>1</v>
      </c>
      <c r="P3345" s="4" t="s">
        <v>135</v>
      </c>
      <c r="Q3345" s="4" t="s">
        <v>44</v>
      </c>
      <c r="R3345" s="7">
        <v>610000</v>
      </c>
      <c r="S3345" s="7">
        <v>0</v>
      </c>
      <c r="T3345" s="7">
        <f>R3345-S3345</f>
        <v>0</v>
      </c>
      <c r="U3345" s="7">
        <f>T3345*O3345</f>
        <v>0</v>
      </c>
    </row>
    <row r="3346" spans="1:21">
      <c r="A3346" s="4" t="s">
        <v>4448</v>
      </c>
      <c r="B3346" s="4" t="s">
        <v>39</v>
      </c>
      <c r="C3346" s="5">
        <v>45965.16069444444</v>
      </c>
      <c r="D3346" s="5">
        <v>45965</v>
      </c>
      <c r="E3346" s="6">
        <f>IF(AND(C3346&lt;&gt;"",D3346&lt;&gt;""),D3346-C3346,"")</f>
        <v>0</v>
      </c>
      <c r="F3346" s="4" t="s">
        <v>4357</v>
      </c>
      <c r="G3346" s="4" t="s">
        <v>4358</v>
      </c>
      <c r="H3346" s="4" t="s">
        <v>190</v>
      </c>
      <c r="I3346" s="4" t="s">
        <v>56</v>
      </c>
      <c r="J3346" s="4">
        <v>1</v>
      </c>
      <c r="K3346" s="4">
        <v>0</v>
      </c>
      <c r="L3346" s="4">
        <f>J3346+K3346</f>
        <v>0</v>
      </c>
      <c r="M3346" s="4" t="s">
        <v>80</v>
      </c>
      <c r="N3346" s="4"/>
      <c r="O3346" s="4">
        <v>1</v>
      </c>
      <c r="P3346" s="4" t="s">
        <v>135</v>
      </c>
      <c r="Q3346" s="4" t="s">
        <v>44</v>
      </c>
      <c r="R3346" s="7">
        <v>610000</v>
      </c>
      <c r="S3346" s="7">
        <v>0</v>
      </c>
      <c r="T3346" s="7">
        <f>R3346-S3346</f>
        <v>0</v>
      </c>
      <c r="U3346" s="7">
        <f>T3346*O3346</f>
        <v>0</v>
      </c>
    </row>
    <row r="3347" spans="1:21">
      <c r="A3347" s="4" t="s">
        <v>4449</v>
      </c>
      <c r="B3347" s="4" t="s">
        <v>48</v>
      </c>
      <c r="C3347" s="5">
        <v>45965.30665509259</v>
      </c>
      <c r="D3347" s="5">
        <v>45965</v>
      </c>
      <c r="E3347" s="6">
        <f>IF(AND(C3347&lt;&gt;"",D3347&lt;&gt;""),D3347-C3347,"")</f>
        <v>0</v>
      </c>
      <c r="F3347" s="4" t="s">
        <v>64</v>
      </c>
      <c r="G3347" s="4" t="s">
        <v>4412</v>
      </c>
      <c r="H3347" s="4" t="s">
        <v>32</v>
      </c>
      <c r="I3347" s="4" t="s">
        <v>33</v>
      </c>
      <c r="J3347" s="4">
        <v>3</v>
      </c>
      <c r="K3347" s="4">
        <v>0</v>
      </c>
      <c r="L3347" s="4">
        <f>J3347+K3347</f>
        <v>0</v>
      </c>
      <c r="M3347" s="4"/>
      <c r="N3347" s="4"/>
      <c r="O3347" s="4">
        <v>0</v>
      </c>
      <c r="P3347" s="4"/>
      <c r="Q3347" s="4"/>
      <c r="R3347" s="7">
        <v>0</v>
      </c>
      <c r="S3347" s="7">
        <v>0</v>
      </c>
      <c r="T3347" s="7">
        <f>R3347-S3347</f>
        <v>0</v>
      </c>
      <c r="U3347" s="7">
        <f>T3347*O3347</f>
        <v>0</v>
      </c>
    </row>
    <row r="3348" spans="1:21">
      <c r="A3348" s="4" t="s">
        <v>4450</v>
      </c>
      <c r="B3348" s="4" t="s">
        <v>48</v>
      </c>
      <c r="C3348" s="5">
        <v>45965.31515046296</v>
      </c>
      <c r="D3348" s="5">
        <v>45965</v>
      </c>
      <c r="E3348" s="6">
        <f>IF(AND(C3348&lt;&gt;"",D3348&lt;&gt;""),D3348-C3348,"")</f>
        <v>0</v>
      </c>
      <c r="F3348" s="4" t="s">
        <v>64</v>
      </c>
      <c r="G3348" s="4" t="s">
        <v>4412</v>
      </c>
      <c r="H3348" s="4" t="s">
        <v>32</v>
      </c>
      <c r="I3348" s="4" t="s">
        <v>33</v>
      </c>
      <c r="J3348" s="4">
        <v>3</v>
      </c>
      <c r="K3348" s="4">
        <v>0</v>
      </c>
      <c r="L3348" s="4">
        <f>J3348+K3348</f>
        <v>0</v>
      </c>
      <c r="M3348" s="4"/>
      <c r="N3348" s="4"/>
      <c r="O3348" s="4">
        <v>0</v>
      </c>
      <c r="P3348" s="4"/>
      <c r="Q3348" s="4"/>
      <c r="R3348" s="7">
        <v>0</v>
      </c>
      <c r="S3348" s="7">
        <v>0</v>
      </c>
      <c r="T3348" s="7">
        <f>R3348-S3348</f>
        <v>0</v>
      </c>
      <c r="U3348" s="7">
        <f>T3348*O3348</f>
        <v>0</v>
      </c>
    </row>
    <row r="3349" spans="1:21">
      <c r="A3349" s="4" t="s">
        <v>4451</v>
      </c>
      <c r="B3349" s="4" t="s">
        <v>48</v>
      </c>
      <c r="C3349" s="5">
        <v>45965.32172453704</v>
      </c>
      <c r="D3349" s="5">
        <v>45965</v>
      </c>
      <c r="E3349" s="6">
        <f>IF(AND(C3349&lt;&gt;"",D3349&lt;&gt;""),D3349-C3349,"")</f>
        <v>0</v>
      </c>
      <c r="F3349" s="4" t="s">
        <v>64</v>
      </c>
      <c r="G3349" s="4" t="s">
        <v>4412</v>
      </c>
      <c r="H3349" s="4" t="s">
        <v>32</v>
      </c>
      <c r="I3349" s="4" t="s">
        <v>33</v>
      </c>
      <c r="J3349" s="4">
        <v>3</v>
      </c>
      <c r="K3349" s="4">
        <v>0</v>
      </c>
      <c r="L3349" s="4">
        <f>J3349+K3349</f>
        <v>0</v>
      </c>
      <c r="M3349" s="4"/>
      <c r="N3349" s="4"/>
      <c r="O3349" s="4">
        <v>0</v>
      </c>
      <c r="P3349" s="4"/>
      <c r="Q3349" s="4"/>
      <c r="R3349" s="7">
        <v>0</v>
      </c>
      <c r="S3349" s="7">
        <v>0</v>
      </c>
      <c r="T3349" s="7">
        <f>R3349-S3349</f>
        <v>0</v>
      </c>
      <c r="U3349" s="7">
        <f>T3349*O3349</f>
        <v>0</v>
      </c>
    </row>
    <row r="3350" spans="1:21">
      <c r="A3350" s="4" t="s">
        <v>4452</v>
      </c>
      <c r="B3350" s="4" t="s">
        <v>48</v>
      </c>
      <c r="C3350" s="5">
        <v>45965.34151620371</v>
      </c>
      <c r="D3350" s="5">
        <v>45966</v>
      </c>
      <c r="E3350" s="6">
        <f>IF(AND(C3350&lt;&gt;"",D3350&lt;&gt;""),D3350-C3350,"")</f>
        <v>0</v>
      </c>
      <c r="F3350" s="4" t="s">
        <v>64</v>
      </c>
      <c r="G3350" s="4" t="s">
        <v>4412</v>
      </c>
      <c r="H3350" s="4" t="s">
        <v>32</v>
      </c>
      <c r="I3350" s="4" t="s">
        <v>33</v>
      </c>
      <c r="J3350" s="4">
        <v>3</v>
      </c>
      <c r="K3350" s="4">
        <v>0</v>
      </c>
      <c r="L3350" s="4">
        <f>J3350+K3350</f>
        <v>0</v>
      </c>
      <c r="M3350" s="4"/>
      <c r="N3350" s="4"/>
      <c r="O3350" s="4">
        <v>0</v>
      </c>
      <c r="P3350" s="4"/>
      <c r="Q3350" s="4"/>
      <c r="R3350" s="7">
        <v>0</v>
      </c>
      <c r="S3350" s="7">
        <v>0</v>
      </c>
      <c r="T3350" s="7">
        <f>R3350-S3350</f>
        <v>0</v>
      </c>
      <c r="U3350" s="7">
        <f>T3350*O3350</f>
        <v>0</v>
      </c>
    </row>
    <row r="3351" spans="1:21">
      <c r="A3351" s="4" t="s">
        <v>4453</v>
      </c>
      <c r="B3351" s="4" t="s">
        <v>48</v>
      </c>
      <c r="C3351" s="5">
        <v>45965.36940972223</v>
      </c>
      <c r="D3351" s="5">
        <v>45965</v>
      </c>
      <c r="E3351" s="6">
        <f>IF(AND(C3351&lt;&gt;"",D3351&lt;&gt;""),D3351-C3351,"")</f>
        <v>0</v>
      </c>
      <c r="F3351" s="4" t="s">
        <v>64</v>
      </c>
      <c r="G3351" s="4" t="s">
        <v>475</v>
      </c>
      <c r="H3351" s="4" t="s">
        <v>32</v>
      </c>
      <c r="I3351" s="4" t="s">
        <v>33</v>
      </c>
      <c r="J3351" s="4">
        <v>5</v>
      </c>
      <c r="K3351" s="4">
        <v>0</v>
      </c>
      <c r="L3351" s="4">
        <f>J3351+K3351</f>
        <v>0</v>
      </c>
      <c r="M3351" s="4"/>
      <c r="N3351" s="4"/>
      <c r="O3351" s="4">
        <v>0</v>
      </c>
      <c r="P3351" s="4"/>
      <c r="Q3351" s="4"/>
      <c r="R3351" s="7">
        <v>0</v>
      </c>
      <c r="S3351" s="7">
        <v>0</v>
      </c>
      <c r="T3351" s="7">
        <f>R3351-S3351</f>
        <v>0</v>
      </c>
      <c r="U3351" s="7">
        <f>T3351*O3351</f>
        <v>0</v>
      </c>
    </row>
    <row r="3352" spans="1:21">
      <c r="A3352" s="4" t="s">
        <v>4454</v>
      </c>
      <c r="B3352" s="4" t="s">
        <v>39</v>
      </c>
      <c r="C3352" s="5">
        <v>45965.37599537037</v>
      </c>
      <c r="D3352" s="5">
        <v>45965</v>
      </c>
      <c r="E3352" s="6">
        <f>IF(AND(C3352&lt;&gt;"",D3352&lt;&gt;""),D3352-C3352,"")</f>
        <v>0</v>
      </c>
      <c r="F3352" s="4" t="s">
        <v>4455</v>
      </c>
      <c r="G3352" s="4" t="s">
        <v>4456</v>
      </c>
      <c r="H3352" s="4" t="s">
        <v>32</v>
      </c>
      <c r="I3352" s="4" t="s">
        <v>33</v>
      </c>
      <c r="J3352" s="4">
        <v>1</v>
      </c>
      <c r="K3352" s="4">
        <v>0</v>
      </c>
      <c r="L3352" s="4">
        <f>J3352+K3352</f>
        <v>0</v>
      </c>
      <c r="M3352" s="4" t="s">
        <v>976</v>
      </c>
      <c r="N3352" s="4"/>
      <c r="O3352" s="4">
        <v>1</v>
      </c>
      <c r="P3352" s="4" t="s">
        <v>135</v>
      </c>
      <c r="Q3352" s="4" t="s">
        <v>44</v>
      </c>
      <c r="R3352" s="7">
        <v>1500000</v>
      </c>
      <c r="S3352" s="7">
        <v>0</v>
      </c>
      <c r="T3352" s="7">
        <f>R3352-S3352</f>
        <v>0</v>
      </c>
      <c r="U3352" s="7">
        <f>T3352*O3352</f>
        <v>0</v>
      </c>
    </row>
    <row r="3353" spans="1:21">
      <c r="A3353" s="4" t="s">
        <v>4457</v>
      </c>
      <c r="B3353" s="4" t="s">
        <v>48</v>
      </c>
      <c r="C3353" s="5">
        <v>45965.37796296296</v>
      </c>
      <c r="D3353" s="5">
        <v>45965</v>
      </c>
      <c r="E3353" s="6">
        <f>IF(AND(C3353&lt;&gt;"",D3353&lt;&gt;""),D3353-C3353,"")</f>
        <v>0</v>
      </c>
      <c r="F3353" s="4" t="s">
        <v>30</v>
      </c>
      <c r="G3353" s="4" t="s">
        <v>31</v>
      </c>
      <c r="H3353" s="4" t="s">
        <v>32</v>
      </c>
      <c r="I3353" s="4" t="s">
        <v>33</v>
      </c>
      <c r="J3353" s="4">
        <v>3</v>
      </c>
      <c r="K3353" s="4">
        <v>0</v>
      </c>
      <c r="L3353" s="4">
        <f>J3353+K3353</f>
        <v>0</v>
      </c>
      <c r="M3353" s="4"/>
      <c r="N3353" s="4"/>
      <c r="O3353" s="4">
        <v>0</v>
      </c>
      <c r="P3353" s="4"/>
      <c r="Q3353" s="4"/>
      <c r="R3353" s="7">
        <v>0</v>
      </c>
      <c r="S3353" s="7">
        <v>0</v>
      </c>
      <c r="T3353" s="7">
        <f>R3353-S3353</f>
        <v>0</v>
      </c>
      <c r="U3353" s="7">
        <f>T3353*O3353</f>
        <v>0</v>
      </c>
    </row>
    <row r="3354" spans="1:21">
      <c r="A3354" s="4" t="s">
        <v>4458</v>
      </c>
      <c r="B3354" s="4" t="s">
        <v>39</v>
      </c>
      <c r="C3354" s="5">
        <v>45965.38141203704</v>
      </c>
      <c r="D3354" s="5">
        <v>45965</v>
      </c>
      <c r="E3354" s="6">
        <f>IF(AND(C3354&lt;&gt;"",D3354&lt;&gt;""),D3354-C3354,"")</f>
        <v>0</v>
      </c>
      <c r="F3354" s="4" t="s">
        <v>3628</v>
      </c>
      <c r="G3354" s="4" t="s">
        <v>4459</v>
      </c>
      <c r="H3354" s="4" t="s">
        <v>32</v>
      </c>
      <c r="I3354" s="4" t="s">
        <v>33</v>
      </c>
      <c r="J3354" s="4">
        <v>0</v>
      </c>
      <c r="K3354" s="4">
        <v>0</v>
      </c>
      <c r="L3354" s="4">
        <f>J3354+K3354</f>
        <v>0</v>
      </c>
      <c r="M3354" s="4" t="s">
        <v>1080</v>
      </c>
      <c r="N3354" s="4"/>
      <c r="O3354" s="4">
        <v>1</v>
      </c>
      <c r="P3354" s="4" t="s">
        <v>135</v>
      </c>
      <c r="Q3354" s="4" t="s">
        <v>44</v>
      </c>
      <c r="R3354" s="7">
        <v>750000</v>
      </c>
      <c r="S3354" s="7">
        <v>0</v>
      </c>
      <c r="T3354" s="7">
        <f>R3354-S3354</f>
        <v>0</v>
      </c>
      <c r="U3354" s="7">
        <f>T3354*O3354</f>
        <v>0</v>
      </c>
    </row>
    <row r="3355" spans="1:21">
      <c r="A3355" s="4" t="s">
        <v>4458</v>
      </c>
      <c r="B3355" s="4" t="s">
        <v>39</v>
      </c>
      <c r="C3355" s="5">
        <v>45965.38141203704</v>
      </c>
      <c r="D3355" s="5">
        <v>45965</v>
      </c>
      <c r="E3355" s="6">
        <f>IF(AND(C3355&lt;&gt;"",D3355&lt;&gt;""),D3355-C3355,"")</f>
        <v>0</v>
      </c>
      <c r="F3355" s="4" t="s">
        <v>3628</v>
      </c>
      <c r="G3355" s="4" t="s">
        <v>4459</v>
      </c>
      <c r="H3355" s="4" t="s">
        <v>32</v>
      </c>
      <c r="I3355" s="4" t="s">
        <v>33</v>
      </c>
      <c r="J3355" s="4">
        <v>1</v>
      </c>
      <c r="K3355" s="4">
        <v>0</v>
      </c>
      <c r="L3355" s="4">
        <f>J3355+K3355</f>
        <v>0</v>
      </c>
      <c r="M3355" s="4" t="s">
        <v>976</v>
      </c>
      <c r="N3355" s="4"/>
      <c r="O3355" s="4">
        <v>1</v>
      </c>
      <c r="P3355" s="4" t="s">
        <v>135</v>
      </c>
      <c r="Q3355" s="4" t="s">
        <v>44</v>
      </c>
      <c r="R3355" s="7">
        <v>1500000</v>
      </c>
      <c r="S3355" s="7">
        <v>0</v>
      </c>
      <c r="T3355" s="7">
        <f>R3355-S3355</f>
        <v>0</v>
      </c>
      <c r="U3355" s="7">
        <f>T3355*O3355</f>
        <v>0</v>
      </c>
    </row>
    <row r="3356" spans="1:21">
      <c r="A3356" s="4" t="s">
        <v>4460</v>
      </c>
      <c r="B3356" s="4" t="s">
        <v>39</v>
      </c>
      <c r="C3356" s="5">
        <v>45965.38583333333</v>
      </c>
      <c r="D3356" s="5">
        <v>45965</v>
      </c>
      <c r="E3356" s="6">
        <f>IF(AND(C3356&lt;&gt;"",D3356&lt;&gt;""),D3356-C3356,"")</f>
        <v>0</v>
      </c>
      <c r="F3356" s="4" t="s">
        <v>4461</v>
      </c>
      <c r="G3356" s="4" t="s">
        <v>4462</v>
      </c>
      <c r="H3356" s="4" t="s">
        <v>32</v>
      </c>
      <c r="I3356" s="4" t="s">
        <v>33</v>
      </c>
      <c r="J3356" s="4">
        <v>1</v>
      </c>
      <c r="K3356" s="4">
        <v>0</v>
      </c>
      <c r="L3356" s="4">
        <f>J3356+K3356</f>
        <v>0</v>
      </c>
      <c r="M3356" s="4" t="s">
        <v>4463</v>
      </c>
      <c r="N3356" s="4"/>
      <c r="O3356" s="4">
        <v>1</v>
      </c>
      <c r="P3356" s="4" t="s">
        <v>135</v>
      </c>
      <c r="Q3356" s="4" t="s">
        <v>44</v>
      </c>
      <c r="R3356" s="7">
        <v>2600000</v>
      </c>
      <c r="S3356" s="7">
        <v>0</v>
      </c>
      <c r="T3356" s="7">
        <f>R3356-S3356</f>
        <v>0</v>
      </c>
      <c r="U3356" s="7">
        <f>T3356*O3356</f>
        <v>0</v>
      </c>
    </row>
    <row r="3357" spans="1:21">
      <c r="A3357" s="4" t="s">
        <v>4464</v>
      </c>
      <c r="B3357" s="4" t="s">
        <v>39</v>
      </c>
      <c r="C3357" s="5">
        <v>45965.38836805556</v>
      </c>
      <c r="D3357" s="5">
        <v>45965</v>
      </c>
      <c r="E3357" s="6">
        <f>IF(AND(C3357&lt;&gt;"",D3357&lt;&gt;""),D3357-C3357,"")</f>
        <v>0</v>
      </c>
      <c r="F3357" s="4" t="s">
        <v>4465</v>
      </c>
      <c r="G3357" s="4" t="s">
        <v>4466</v>
      </c>
      <c r="H3357" s="4" t="s">
        <v>32</v>
      </c>
      <c r="I3357" s="4" t="s">
        <v>33</v>
      </c>
      <c r="J3357" s="4">
        <v>1</v>
      </c>
      <c r="K3357" s="4">
        <v>0</v>
      </c>
      <c r="L3357" s="4">
        <f>J3357+K3357</f>
        <v>0</v>
      </c>
      <c r="M3357" s="4" t="s">
        <v>4463</v>
      </c>
      <c r="N3357" s="4"/>
      <c r="O3357" s="4">
        <v>1</v>
      </c>
      <c r="P3357" s="4" t="s">
        <v>135</v>
      </c>
      <c r="Q3357" s="4" t="s">
        <v>44</v>
      </c>
      <c r="R3357" s="7">
        <v>2600000</v>
      </c>
      <c r="S3357" s="7">
        <v>0</v>
      </c>
      <c r="T3357" s="7">
        <f>R3357-S3357</f>
        <v>0</v>
      </c>
      <c r="U3357" s="7">
        <f>T3357*O3357</f>
        <v>0</v>
      </c>
    </row>
    <row r="3358" spans="1:21">
      <c r="A3358" s="4" t="s">
        <v>4467</v>
      </c>
      <c r="B3358" s="4" t="s">
        <v>122</v>
      </c>
      <c r="C3358" s="5">
        <v>45965.56572916666</v>
      </c>
      <c r="D3358" s="5">
        <v>45966</v>
      </c>
      <c r="E3358" s="6">
        <f>IF(AND(C3358&lt;&gt;"",D3358&lt;&gt;""),D3358-C3358,"")</f>
        <v>0</v>
      </c>
      <c r="F3358" s="4" t="s">
        <v>64</v>
      </c>
      <c r="G3358" s="4" t="s">
        <v>4412</v>
      </c>
      <c r="H3358" s="4" t="s">
        <v>32</v>
      </c>
      <c r="I3358" s="4" t="s">
        <v>33</v>
      </c>
      <c r="J3358" s="4">
        <v>6</v>
      </c>
      <c r="K3358" s="4">
        <v>0</v>
      </c>
      <c r="L3358" s="4">
        <f>J3358+K3358</f>
        <v>0</v>
      </c>
      <c r="M3358" s="4"/>
      <c r="N3358" s="4"/>
      <c r="O3358" s="4">
        <v>0</v>
      </c>
      <c r="P3358" s="4"/>
      <c r="Q3358" s="4"/>
      <c r="R3358" s="7">
        <v>0</v>
      </c>
      <c r="S3358" s="7">
        <v>0</v>
      </c>
      <c r="T3358" s="7">
        <f>R3358-S3358</f>
        <v>0</v>
      </c>
      <c r="U3358" s="7">
        <f>T3358*O3358</f>
        <v>0</v>
      </c>
    </row>
    <row r="3359" spans="1:21">
      <c r="A3359" s="4" t="s">
        <v>4468</v>
      </c>
      <c r="B3359" s="4" t="s">
        <v>122</v>
      </c>
      <c r="C3359" s="5">
        <v>45965.56855324074</v>
      </c>
      <c r="D3359" s="5">
        <v>45968</v>
      </c>
      <c r="E3359" s="6">
        <f>IF(AND(C3359&lt;&gt;"",D3359&lt;&gt;""),D3359-C3359,"")</f>
        <v>0</v>
      </c>
      <c r="F3359" s="4" t="s">
        <v>64</v>
      </c>
      <c r="G3359" s="4" t="s">
        <v>4412</v>
      </c>
      <c r="H3359" s="4" t="s">
        <v>32</v>
      </c>
      <c r="I3359" s="4" t="s">
        <v>33</v>
      </c>
      <c r="J3359" s="4">
        <v>8</v>
      </c>
      <c r="K3359" s="4">
        <v>0</v>
      </c>
      <c r="L3359" s="4">
        <f>J3359+K3359</f>
        <v>0</v>
      </c>
      <c r="M3359" s="4"/>
      <c r="N3359" s="4"/>
      <c r="O3359" s="4">
        <v>0</v>
      </c>
      <c r="P3359" s="4"/>
      <c r="Q3359" s="4"/>
      <c r="R3359" s="7">
        <v>0</v>
      </c>
      <c r="S3359" s="7">
        <v>0</v>
      </c>
      <c r="T3359" s="7">
        <f>R3359-S3359</f>
        <v>0</v>
      </c>
      <c r="U3359" s="7">
        <f>T3359*O3359</f>
        <v>0</v>
      </c>
    </row>
    <row r="3360" spans="1:21">
      <c r="A3360" s="4" t="s">
        <v>4469</v>
      </c>
      <c r="B3360" s="4" t="s">
        <v>122</v>
      </c>
      <c r="C3360" s="5">
        <v>45965.58475694444</v>
      </c>
      <c r="D3360" s="5">
        <v>45966</v>
      </c>
      <c r="E3360" s="6">
        <f>IF(AND(C3360&lt;&gt;"",D3360&lt;&gt;""),D3360-C3360,"")</f>
        <v>0</v>
      </c>
      <c r="F3360" s="4" t="s">
        <v>64</v>
      </c>
      <c r="G3360" s="4" t="s">
        <v>4412</v>
      </c>
      <c r="H3360" s="4" t="s">
        <v>32</v>
      </c>
      <c r="I3360" s="4" t="s">
        <v>33</v>
      </c>
      <c r="J3360" s="4">
        <v>3</v>
      </c>
      <c r="K3360" s="4">
        <v>0</v>
      </c>
      <c r="L3360" s="4">
        <f>J3360+K3360</f>
        <v>0</v>
      </c>
      <c r="M3360" s="4"/>
      <c r="N3360" s="4"/>
      <c r="O3360" s="4">
        <v>0</v>
      </c>
      <c r="P3360" s="4"/>
      <c r="Q3360" s="4"/>
      <c r="R3360" s="7">
        <v>0</v>
      </c>
      <c r="S3360" s="7">
        <v>0</v>
      </c>
      <c r="T3360" s="7">
        <f>R3360-S3360</f>
        <v>0</v>
      </c>
      <c r="U3360" s="7">
        <f>T3360*O3360</f>
        <v>0</v>
      </c>
    </row>
    <row r="3361" spans="1:21">
      <c r="A3361" s="4" t="s">
        <v>4470</v>
      </c>
      <c r="B3361" s="4" t="s">
        <v>48</v>
      </c>
      <c r="C3361" s="5">
        <v>45965.59545138889</v>
      </c>
      <c r="D3361" s="5">
        <v>45966</v>
      </c>
      <c r="E3361" s="6">
        <f>IF(AND(C3361&lt;&gt;"",D3361&lt;&gt;""),D3361-C3361,"")</f>
        <v>0</v>
      </c>
      <c r="F3361" s="4" t="s">
        <v>2408</v>
      </c>
      <c r="G3361" s="4" t="s">
        <v>4402</v>
      </c>
      <c r="H3361" s="4" t="s">
        <v>32</v>
      </c>
      <c r="I3361" s="4" t="s">
        <v>33</v>
      </c>
      <c r="J3361" s="4">
        <v>1</v>
      </c>
      <c r="K3361" s="4">
        <v>1</v>
      </c>
      <c r="L3361" s="4">
        <f>J3361+K3361</f>
        <v>0</v>
      </c>
      <c r="M3361" s="4"/>
      <c r="N3361" s="4"/>
      <c r="O3361" s="4">
        <v>0</v>
      </c>
      <c r="P3361" s="4"/>
      <c r="Q3361" s="4"/>
      <c r="R3361" s="7">
        <v>0</v>
      </c>
      <c r="S3361" s="7">
        <v>0</v>
      </c>
      <c r="T3361" s="7">
        <f>R3361-S3361</f>
        <v>0</v>
      </c>
      <c r="U3361" s="7">
        <f>T3361*O3361</f>
        <v>0</v>
      </c>
    </row>
    <row r="3362" spans="1:21">
      <c r="A3362" s="4" t="s">
        <v>4471</v>
      </c>
      <c r="B3362" s="4" t="s">
        <v>48</v>
      </c>
      <c r="C3362" s="5">
        <v>45965.60072916667</v>
      </c>
      <c r="D3362" s="5">
        <v>45966</v>
      </c>
      <c r="E3362" s="6">
        <f>IF(AND(C3362&lt;&gt;"",D3362&lt;&gt;""),D3362-C3362,"")</f>
        <v>0</v>
      </c>
      <c r="F3362" s="4" t="s">
        <v>2408</v>
      </c>
      <c r="G3362" s="4" t="s">
        <v>4402</v>
      </c>
      <c r="H3362" s="4" t="s">
        <v>32</v>
      </c>
      <c r="I3362" s="4" t="s">
        <v>33</v>
      </c>
      <c r="J3362" s="4">
        <v>2</v>
      </c>
      <c r="K3362" s="4">
        <v>2</v>
      </c>
      <c r="L3362" s="4">
        <f>J3362+K3362</f>
        <v>0</v>
      </c>
      <c r="M3362" s="4"/>
      <c r="N3362" s="4"/>
      <c r="O3362" s="4">
        <v>0</v>
      </c>
      <c r="P3362" s="4"/>
      <c r="Q3362" s="4"/>
      <c r="R3362" s="7">
        <v>0</v>
      </c>
      <c r="S3362" s="7">
        <v>0</v>
      </c>
      <c r="T3362" s="7">
        <f>R3362-S3362</f>
        <v>0</v>
      </c>
      <c r="U3362" s="7">
        <f>T3362*O3362</f>
        <v>0</v>
      </c>
    </row>
    <row r="3363" spans="1:21">
      <c r="A3363" s="4" t="s">
        <v>4472</v>
      </c>
      <c r="B3363" s="4" t="s">
        <v>48</v>
      </c>
      <c r="C3363" s="5">
        <v>45965.6025</v>
      </c>
      <c r="D3363" s="5">
        <v>45966</v>
      </c>
      <c r="E3363" s="6">
        <f>IF(AND(C3363&lt;&gt;"",D3363&lt;&gt;""),D3363-C3363,"")</f>
        <v>0</v>
      </c>
      <c r="F3363" s="4" t="s">
        <v>2408</v>
      </c>
      <c r="G3363" s="4" t="s">
        <v>4402</v>
      </c>
      <c r="H3363" s="4" t="s">
        <v>32</v>
      </c>
      <c r="I3363" s="4" t="s">
        <v>33</v>
      </c>
      <c r="J3363" s="4">
        <v>1</v>
      </c>
      <c r="K3363" s="4">
        <v>1</v>
      </c>
      <c r="L3363" s="4">
        <f>J3363+K3363</f>
        <v>0</v>
      </c>
      <c r="M3363" s="4"/>
      <c r="N3363" s="4"/>
      <c r="O3363" s="4">
        <v>0</v>
      </c>
      <c r="P3363" s="4"/>
      <c r="Q3363" s="4"/>
      <c r="R3363" s="7">
        <v>0</v>
      </c>
      <c r="S3363" s="7">
        <v>0</v>
      </c>
      <c r="T3363" s="7">
        <f>R3363-S3363</f>
        <v>0</v>
      </c>
      <c r="U3363" s="7">
        <f>T3363*O3363</f>
        <v>0</v>
      </c>
    </row>
    <row r="3364" spans="1:21">
      <c r="A3364" s="4" t="s">
        <v>4473</v>
      </c>
      <c r="B3364" s="4" t="s">
        <v>48</v>
      </c>
      <c r="C3364" s="5">
        <v>45965.60390046296</v>
      </c>
      <c r="D3364" s="5">
        <v>45966</v>
      </c>
      <c r="E3364" s="6">
        <f>IF(AND(C3364&lt;&gt;"",D3364&lt;&gt;""),D3364-C3364,"")</f>
        <v>0</v>
      </c>
      <c r="F3364" s="4" t="s">
        <v>64</v>
      </c>
      <c r="G3364" s="4" t="s">
        <v>4412</v>
      </c>
      <c r="H3364" s="4" t="s">
        <v>32</v>
      </c>
      <c r="I3364" s="4" t="s">
        <v>33</v>
      </c>
      <c r="J3364" s="4">
        <v>1</v>
      </c>
      <c r="K3364" s="4">
        <v>1</v>
      </c>
      <c r="L3364" s="4">
        <f>J3364+K3364</f>
        <v>0</v>
      </c>
      <c r="M3364" s="4"/>
      <c r="N3364" s="4"/>
      <c r="O3364" s="4">
        <v>0</v>
      </c>
      <c r="P3364" s="4"/>
      <c r="Q3364" s="4"/>
      <c r="R3364" s="7">
        <v>0</v>
      </c>
      <c r="S3364" s="7">
        <v>0</v>
      </c>
      <c r="T3364" s="7">
        <f>R3364-S3364</f>
        <v>0</v>
      </c>
      <c r="U3364" s="7">
        <f>T3364*O3364</f>
        <v>0</v>
      </c>
    </row>
    <row r="3365" spans="1:21">
      <c r="A3365" s="4" t="s">
        <v>4474</v>
      </c>
      <c r="B3365" s="4" t="s">
        <v>48</v>
      </c>
      <c r="C3365" s="5">
        <v>45965.61084490741</v>
      </c>
      <c r="D3365" s="5">
        <v>45966</v>
      </c>
      <c r="E3365" s="6">
        <f>IF(AND(C3365&lt;&gt;"",D3365&lt;&gt;""),D3365-C3365,"")</f>
        <v>0</v>
      </c>
      <c r="F3365" s="4" t="s">
        <v>64</v>
      </c>
      <c r="G3365" s="4" t="s">
        <v>4412</v>
      </c>
      <c r="H3365" s="4" t="s">
        <v>32</v>
      </c>
      <c r="I3365" s="4" t="s">
        <v>33</v>
      </c>
      <c r="J3365" s="4">
        <v>1</v>
      </c>
      <c r="K3365" s="4">
        <v>1</v>
      </c>
      <c r="L3365" s="4">
        <f>J3365+K3365</f>
        <v>0</v>
      </c>
      <c r="M3365" s="4"/>
      <c r="N3365" s="4"/>
      <c r="O3365" s="4">
        <v>0</v>
      </c>
      <c r="P3365" s="4"/>
      <c r="Q3365" s="4"/>
      <c r="R3365" s="7">
        <v>0</v>
      </c>
      <c r="S3365" s="7">
        <v>0</v>
      </c>
      <c r="T3365" s="7">
        <f>R3365-S3365</f>
        <v>0</v>
      </c>
      <c r="U3365" s="7">
        <f>T3365*O3365</f>
        <v>0</v>
      </c>
    </row>
    <row r="3366" spans="1:21">
      <c r="A3366" s="4" t="s">
        <v>4475</v>
      </c>
      <c r="B3366" s="4" t="s">
        <v>48</v>
      </c>
      <c r="C3366" s="5">
        <v>45965.6130324074</v>
      </c>
      <c r="D3366" s="5">
        <v>45967</v>
      </c>
      <c r="E3366" s="6">
        <f>IF(AND(C3366&lt;&gt;"",D3366&lt;&gt;""),D3366-C3366,"")</f>
        <v>0</v>
      </c>
      <c r="F3366" s="4" t="s">
        <v>64</v>
      </c>
      <c r="G3366" s="4" t="s">
        <v>4412</v>
      </c>
      <c r="H3366" s="4" t="s">
        <v>32</v>
      </c>
      <c r="I3366" s="4" t="s">
        <v>33</v>
      </c>
      <c r="J3366" s="4">
        <v>1</v>
      </c>
      <c r="K3366" s="4">
        <v>1</v>
      </c>
      <c r="L3366" s="4">
        <f>J3366+K3366</f>
        <v>0</v>
      </c>
      <c r="M3366" s="4"/>
      <c r="N3366" s="4"/>
      <c r="O3366" s="4">
        <v>0</v>
      </c>
      <c r="P3366" s="4"/>
      <c r="Q3366" s="4"/>
      <c r="R3366" s="7">
        <v>0</v>
      </c>
      <c r="S3366" s="7">
        <v>0</v>
      </c>
      <c r="T3366" s="7">
        <f>R3366-S3366</f>
        <v>0</v>
      </c>
      <c r="U3366" s="7">
        <f>T3366*O3366</f>
        <v>0</v>
      </c>
    </row>
    <row r="3367" spans="1:21">
      <c r="A3367" s="4" t="s">
        <v>4476</v>
      </c>
      <c r="B3367" s="4" t="s">
        <v>48</v>
      </c>
      <c r="C3367" s="5">
        <v>45965.61476851852</v>
      </c>
      <c r="D3367" s="5">
        <v>45966</v>
      </c>
      <c r="E3367" s="6">
        <f>IF(AND(C3367&lt;&gt;"",D3367&lt;&gt;""),D3367-C3367,"")</f>
        <v>0</v>
      </c>
      <c r="F3367" s="4" t="s">
        <v>64</v>
      </c>
      <c r="G3367" s="4" t="s">
        <v>4412</v>
      </c>
      <c r="H3367" s="4" t="s">
        <v>32</v>
      </c>
      <c r="I3367" s="4" t="s">
        <v>33</v>
      </c>
      <c r="J3367" s="4">
        <v>1</v>
      </c>
      <c r="K3367" s="4">
        <v>1</v>
      </c>
      <c r="L3367" s="4">
        <f>J3367+K3367</f>
        <v>0</v>
      </c>
      <c r="M3367" s="4"/>
      <c r="N3367" s="4"/>
      <c r="O3367" s="4">
        <v>0</v>
      </c>
      <c r="P3367" s="4"/>
      <c r="Q3367" s="4"/>
      <c r="R3367" s="7">
        <v>0</v>
      </c>
      <c r="S3367" s="7">
        <v>0</v>
      </c>
      <c r="T3367" s="7">
        <f>R3367-S3367</f>
        <v>0</v>
      </c>
      <c r="U3367" s="7">
        <f>T3367*O3367</f>
        <v>0</v>
      </c>
    </row>
    <row r="3368" spans="1:21">
      <c r="A3368" s="4" t="s">
        <v>4477</v>
      </c>
      <c r="B3368" s="4" t="s">
        <v>48</v>
      </c>
      <c r="C3368" s="5">
        <v>45965.6415162037</v>
      </c>
      <c r="D3368" s="5">
        <v>45966</v>
      </c>
      <c r="E3368" s="6">
        <f>IF(AND(C3368&lt;&gt;"",D3368&lt;&gt;""),D3368-C3368,"")</f>
        <v>0</v>
      </c>
      <c r="F3368" s="4" t="s">
        <v>64</v>
      </c>
      <c r="G3368" s="4" t="s">
        <v>4412</v>
      </c>
      <c r="H3368" s="4" t="s">
        <v>32</v>
      </c>
      <c r="I3368" s="4" t="s">
        <v>33</v>
      </c>
      <c r="J3368" s="4">
        <v>1</v>
      </c>
      <c r="K3368" s="4">
        <v>1</v>
      </c>
      <c r="L3368" s="4">
        <f>J3368+K3368</f>
        <v>0</v>
      </c>
      <c r="M3368" s="4"/>
      <c r="N3368" s="4"/>
      <c r="O3368" s="4">
        <v>0</v>
      </c>
      <c r="P3368" s="4"/>
      <c r="Q3368" s="4"/>
      <c r="R3368" s="7">
        <v>0</v>
      </c>
      <c r="S3368" s="7">
        <v>0</v>
      </c>
      <c r="T3368" s="7">
        <f>R3368-S3368</f>
        <v>0</v>
      </c>
      <c r="U3368" s="7">
        <f>T3368*O3368</f>
        <v>0</v>
      </c>
    </row>
    <row r="3369" spans="1:21">
      <c r="A3369" s="4" t="s">
        <v>4478</v>
      </c>
      <c r="B3369" s="4" t="s">
        <v>48</v>
      </c>
      <c r="C3369" s="5">
        <v>45965.65886574074</v>
      </c>
      <c r="D3369" s="5">
        <v>45966</v>
      </c>
      <c r="E3369" s="6">
        <f>IF(AND(C3369&lt;&gt;"",D3369&lt;&gt;""),D3369-C3369,"")</f>
        <v>0</v>
      </c>
      <c r="F3369" s="4" t="s">
        <v>219</v>
      </c>
      <c r="G3369" s="4" t="s">
        <v>220</v>
      </c>
      <c r="H3369" s="4" t="s">
        <v>32</v>
      </c>
      <c r="I3369" s="4" t="s">
        <v>33</v>
      </c>
      <c r="J3369" s="4">
        <v>2</v>
      </c>
      <c r="K3369" s="4">
        <v>2</v>
      </c>
      <c r="L3369" s="4">
        <f>J3369+K3369</f>
        <v>0</v>
      </c>
      <c r="M3369" s="4"/>
      <c r="N3369" s="4"/>
      <c r="O3369" s="4">
        <v>0</v>
      </c>
      <c r="P3369" s="4"/>
      <c r="Q3369" s="4"/>
      <c r="R3369" s="7">
        <v>0</v>
      </c>
      <c r="S3369" s="7">
        <v>0</v>
      </c>
      <c r="T3369" s="7">
        <f>R3369-S3369</f>
        <v>0</v>
      </c>
      <c r="U3369" s="7">
        <f>T3369*O3369</f>
        <v>0</v>
      </c>
    </row>
    <row r="3370" spans="1:21">
      <c r="A3370" s="4" t="s">
        <v>4479</v>
      </c>
      <c r="B3370" s="4" t="s">
        <v>48</v>
      </c>
      <c r="C3370" s="5">
        <v>45965.6608449074</v>
      </c>
      <c r="D3370" s="5">
        <v>45966</v>
      </c>
      <c r="E3370" s="6">
        <f>IF(AND(C3370&lt;&gt;"",D3370&lt;&gt;""),D3370-C3370,"")</f>
        <v>0</v>
      </c>
      <c r="F3370" s="4" t="s">
        <v>64</v>
      </c>
      <c r="G3370" s="4" t="s">
        <v>4412</v>
      </c>
      <c r="H3370" s="4" t="s">
        <v>32</v>
      </c>
      <c r="I3370" s="4" t="s">
        <v>33</v>
      </c>
      <c r="J3370" s="4">
        <v>2</v>
      </c>
      <c r="K3370" s="4">
        <v>0</v>
      </c>
      <c r="L3370" s="4">
        <f>J3370+K3370</f>
        <v>0</v>
      </c>
      <c r="M3370" s="4"/>
      <c r="N3370" s="4"/>
      <c r="O3370" s="4">
        <v>0</v>
      </c>
      <c r="P3370" s="4"/>
      <c r="Q3370" s="4"/>
      <c r="R3370" s="7">
        <v>0</v>
      </c>
      <c r="S3370" s="7">
        <v>0</v>
      </c>
      <c r="T3370" s="7">
        <f>R3370-S3370</f>
        <v>0</v>
      </c>
      <c r="U3370" s="7">
        <f>T3370*O3370</f>
        <v>0</v>
      </c>
    </row>
    <row r="3371" spans="1:21">
      <c r="A3371" s="4" t="s">
        <v>4480</v>
      </c>
      <c r="B3371" s="4" t="s">
        <v>48</v>
      </c>
      <c r="C3371" s="5">
        <v>45965.66629629629</v>
      </c>
      <c r="D3371" s="5">
        <v>45966</v>
      </c>
      <c r="E3371" s="6">
        <f>IF(AND(C3371&lt;&gt;"",D3371&lt;&gt;""),D3371-C3371,"")</f>
        <v>0</v>
      </c>
      <c r="F3371" s="4" t="s">
        <v>219</v>
      </c>
      <c r="G3371" s="4" t="s">
        <v>220</v>
      </c>
      <c r="H3371" s="4" t="s">
        <v>32</v>
      </c>
      <c r="I3371" s="4" t="s">
        <v>33</v>
      </c>
      <c r="J3371" s="4">
        <v>2</v>
      </c>
      <c r="K3371" s="4">
        <v>0</v>
      </c>
      <c r="L3371" s="4">
        <f>J3371+K3371</f>
        <v>0</v>
      </c>
      <c r="M3371" s="4"/>
      <c r="N3371" s="4"/>
      <c r="O3371" s="4">
        <v>0</v>
      </c>
      <c r="P3371" s="4"/>
      <c r="Q3371" s="4"/>
      <c r="R3371" s="7">
        <v>0</v>
      </c>
      <c r="S3371" s="7">
        <v>0</v>
      </c>
      <c r="T3371" s="7">
        <f>R3371-S3371</f>
        <v>0</v>
      </c>
      <c r="U3371" s="7">
        <f>T3371*O3371</f>
        <v>0</v>
      </c>
    </row>
    <row r="3372" spans="1:21">
      <c r="A3372" s="4" t="s">
        <v>4481</v>
      </c>
      <c r="B3372" s="4" t="s">
        <v>48</v>
      </c>
      <c r="C3372" s="5">
        <v>45965.70535879629</v>
      </c>
      <c r="D3372" s="5">
        <v>45967</v>
      </c>
      <c r="E3372" s="6">
        <f>IF(AND(C3372&lt;&gt;"",D3372&lt;&gt;""),D3372-C3372,"")</f>
        <v>0</v>
      </c>
      <c r="F3372" s="4" t="s">
        <v>64</v>
      </c>
      <c r="G3372" s="4" t="s">
        <v>4412</v>
      </c>
      <c r="H3372" s="4" t="s">
        <v>32</v>
      </c>
      <c r="I3372" s="4" t="s">
        <v>33</v>
      </c>
      <c r="J3372" s="4">
        <v>1</v>
      </c>
      <c r="K3372" s="4">
        <v>1</v>
      </c>
      <c r="L3372" s="4">
        <f>J3372+K3372</f>
        <v>0</v>
      </c>
      <c r="M3372" s="4"/>
      <c r="N3372" s="4"/>
      <c r="O3372" s="4">
        <v>0</v>
      </c>
      <c r="P3372" s="4"/>
      <c r="Q3372" s="4"/>
      <c r="R3372" s="7">
        <v>0</v>
      </c>
      <c r="S3372" s="7">
        <v>0</v>
      </c>
      <c r="T3372" s="7">
        <f>R3372-S3372</f>
        <v>0</v>
      </c>
      <c r="U3372" s="7">
        <f>T3372*O3372</f>
        <v>0</v>
      </c>
    </row>
    <row r="3373" spans="1:21">
      <c r="A3373" s="4" t="s">
        <v>4482</v>
      </c>
      <c r="B3373" s="4" t="s">
        <v>48</v>
      </c>
      <c r="C3373" s="5">
        <v>45965.71359953703</v>
      </c>
      <c r="D3373" s="5">
        <v>45967</v>
      </c>
      <c r="E3373" s="6">
        <f>IF(AND(C3373&lt;&gt;"",D3373&lt;&gt;""),D3373-C3373,"")</f>
        <v>0</v>
      </c>
      <c r="F3373" s="4" t="s">
        <v>64</v>
      </c>
      <c r="G3373" s="4" t="s">
        <v>4412</v>
      </c>
      <c r="H3373" s="4" t="s">
        <v>32</v>
      </c>
      <c r="I3373" s="4" t="s">
        <v>33</v>
      </c>
      <c r="J3373" s="4">
        <v>1</v>
      </c>
      <c r="K3373" s="4">
        <v>0</v>
      </c>
      <c r="L3373" s="4">
        <f>J3373+K3373</f>
        <v>0</v>
      </c>
      <c r="M3373" s="4"/>
      <c r="N3373" s="4"/>
      <c r="O3373" s="4">
        <v>0</v>
      </c>
      <c r="P3373" s="4"/>
      <c r="Q3373" s="4"/>
      <c r="R3373" s="7">
        <v>0</v>
      </c>
      <c r="S3373" s="7">
        <v>0</v>
      </c>
      <c r="T3373" s="7">
        <f>R3373-S3373</f>
        <v>0</v>
      </c>
      <c r="U3373" s="7">
        <f>T3373*O3373</f>
        <v>0</v>
      </c>
    </row>
    <row r="3374" spans="1:21">
      <c r="A3374" s="4" t="s">
        <v>4483</v>
      </c>
      <c r="B3374" s="4" t="s">
        <v>48</v>
      </c>
      <c r="C3374" s="5">
        <v>45965.73894675926</v>
      </c>
      <c r="D3374" s="5">
        <v>45966</v>
      </c>
      <c r="E3374" s="6">
        <f>IF(AND(C3374&lt;&gt;"",D3374&lt;&gt;""),D3374-C3374,"")</f>
        <v>0</v>
      </c>
      <c r="F3374" s="4" t="s">
        <v>162</v>
      </c>
      <c r="G3374" s="4" t="s">
        <v>163</v>
      </c>
      <c r="H3374" s="4" t="s">
        <v>32</v>
      </c>
      <c r="I3374" s="4" t="s">
        <v>33</v>
      </c>
      <c r="J3374" s="4">
        <v>3</v>
      </c>
      <c r="K3374" s="4">
        <v>0</v>
      </c>
      <c r="L3374" s="4">
        <f>J3374+K3374</f>
        <v>0</v>
      </c>
      <c r="M3374" s="4"/>
      <c r="N3374" s="4"/>
      <c r="O3374" s="4">
        <v>0</v>
      </c>
      <c r="P3374" s="4"/>
      <c r="Q3374" s="4"/>
      <c r="R3374" s="7">
        <v>0</v>
      </c>
      <c r="S3374" s="7">
        <v>0</v>
      </c>
      <c r="T3374" s="7">
        <f>R3374-S3374</f>
        <v>0</v>
      </c>
      <c r="U3374" s="7">
        <f>T3374*O3374</f>
        <v>0</v>
      </c>
    </row>
    <row r="3375" spans="1:21">
      <c r="A3375" s="4" t="s">
        <v>4484</v>
      </c>
      <c r="B3375" s="4" t="s">
        <v>48</v>
      </c>
      <c r="C3375" s="5">
        <v>45965.76238425926</v>
      </c>
      <c r="D3375" s="5">
        <v>45966</v>
      </c>
      <c r="E3375" s="6">
        <f>IF(AND(C3375&lt;&gt;"",D3375&lt;&gt;""),D3375-C3375,"")</f>
        <v>0</v>
      </c>
      <c r="F3375" s="4" t="s">
        <v>64</v>
      </c>
      <c r="G3375" s="4" t="s">
        <v>4412</v>
      </c>
      <c r="H3375" s="4" t="s">
        <v>32</v>
      </c>
      <c r="I3375" s="4" t="s">
        <v>33</v>
      </c>
      <c r="J3375" s="4">
        <v>3</v>
      </c>
      <c r="K3375" s="4">
        <v>0</v>
      </c>
      <c r="L3375" s="4">
        <f>J3375+K3375</f>
        <v>0</v>
      </c>
      <c r="M3375" s="4"/>
      <c r="N3375" s="4"/>
      <c r="O3375" s="4">
        <v>0</v>
      </c>
      <c r="P3375" s="4"/>
      <c r="Q3375" s="4"/>
      <c r="R3375" s="7">
        <v>0</v>
      </c>
      <c r="S3375" s="7">
        <v>0</v>
      </c>
      <c r="T3375" s="7">
        <f>R3375-S3375</f>
        <v>0</v>
      </c>
      <c r="U3375" s="7">
        <f>T3375*O3375</f>
        <v>0</v>
      </c>
    </row>
    <row r="3376" spans="1:21">
      <c r="A3376" s="4" t="s">
        <v>4485</v>
      </c>
      <c r="B3376" s="4" t="s">
        <v>48</v>
      </c>
      <c r="C3376" s="5">
        <v>45966.08614583333</v>
      </c>
      <c r="D3376" s="5">
        <v>45967</v>
      </c>
      <c r="E3376" s="6">
        <f>IF(AND(C3376&lt;&gt;"",D3376&lt;&gt;""),D3376-C3376,"")</f>
        <v>0</v>
      </c>
      <c r="F3376" s="4" t="s">
        <v>64</v>
      </c>
      <c r="G3376" s="4" t="s">
        <v>4412</v>
      </c>
      <c r="H3376" s="4" t="s">
        <v>32</v>
      </c>
      <c r="I3376" s="4" t="s">
        <v>33</v>
      </c>
      <c r="J3376" s="4">
        <v>1</v>
      </c>
      <c r="K3376" s="4">
        <v>0</v>
      </c>
      <c r="L3376" s="4">
        <f>J3376+K3376</f>
        <v>0</v>
      </c>
      <c r="M3376" s="4"/>
      <c r="N3376" s="4"/>
      <c r="O3376" s="4">
        <v>0</v>
      </c>
      <c r="P3376" s="4"/>
      <c r="Q3376" s="4"/>
      <c r="R3376" s="7">
        <v>0</v>
      </c>
      <c r="S3376" s="7">
        <v>0</v>
      </c>
      <c r="T3376" s="7">
        <f>R3376-S3376</f>
        <v>0</v>
      </c>
      <c r="U3376" s="7">
        <f>T3376*O3376</f>
        <v>0</v>
      </c>
    </row>
    <row r="3377" spans="1:21">
      <c r="A3377" s="4" t="s">
        <v>4486</v>
      </c>
      <c r="B3377" s="4" t="s">
        <v>48</v>
      </c>
      <c r="C3377" s="5">
        <v>45966.10966435185</v>
      </c>
      <c r="D3377" s="5">
        <v>45967</v>
      </c>
      <c r="E3377" s="6">
        <f>IF(AND(C3377&lt;&gt;"",D3377&lt;&gt;""),D3377-C3377,"")</f>
        <v>0</v>
      </c>
      <c r="F3377" s="4" t="s">
        <v>64</v>
      </c>
      <c r="G3377" s="4" t="s">
        <v>4412</v>
      </c>
      <c r="H3377" s="4" t="s">
        <v>32</v>
      </c>
      <c r="I3377" s="4" t="s">
        <v>33</v>
      </c>
      <c r="J3377" s="4">
        <v>3</v>
      </c>
      <c r="K3377" s="4">
        <v>0</v>
      </c>
      <c r="L3377" s="4">
        <f>J3377+K3377</f>
        <v>0</v>
      </c>
      <c r="M3377" s="4"/>
      <c r="N3377" s="4"/>
      <c r="O3377" s="4">
        <v>0</v>
      </c>
      <c r="P3377" s="4"/>
      <c r="Q3377" s="4"/>
      <c r="R3377" s="7">
        <v>0</v>
      </c>
      <c r="S3377" s="7">
        <v>0</v>
      </c>
      <c r="T3377" s="7">
        <f>R3377-S3377</f>
        <v>0</v>
      </c>
      <c r="U3377" s="7">
        <f>T3377*O3377</f>
        <v>0</v>
      </c>
    </row>
    <row r="3378" spans="1:21">
      <c r="A3378" s="4" t="s">
        <v>4487</v>
      </c>
      <c r="B3378" s="4" t="s">
        <v>48</v>
      </c>
      <c r="C3378" s="5">
        <v>45966.12525462963</v>
      </c>
      <c r="D3378" s="5">
        <v>45967</v>
      </c>
      <c r="E3378" s="6">
        <f>IF(AND(C3378&lt;&gt;"",D3378&lt;&gt;""),D3378-C3378,"")</f>
        <v>0</v>
      </c>
      <c r="F3378" s="4" t="s">
        <v>64</v>
      </c>
      <c r="G3378" s="4" t="s">
        <v>4412</v>
      </c>
      <c r="H3378" s="4" t="s">
        <v>32</v>
      </c>
      <c r="I3378" s="4" t="s">
        <v>33</v>
      </c>
      <c r="J3378" s="4">
        <v>4</v>
      </c>
      <c r="K3378" s="4">
        <v>0</v>
      </c>
      <c r="L3378" s="4">
        <f>J3378+K3378</f>
        <v>0</v>
      </c>
      <c r="M3378" s="4"/>
      <c r="N3378" s="4"/>
      <c r="O3378" s="4">
        <v>0</v>
      </c>
      <c r="P3378" s="4"/>
      <c r="Q3378" s="4"/>
      <c r="R3378" s="7">
        <v>0</v>
      </c>
      <c r="S3378" s="7">
        <v>0</v>
      </c>
      <c r="T3378" s="7">
        <f>R3378-S3378</f>
        <v>0</v>
      </c>
      <c r="U3378" s="7">
        <f>T3378*O3378</f>
        <v>0</v>
      </c>
    </row>
    <row r="3379" spans="1:21">
      <c r="A3379" s="4" t="s">
        <v>4488</v>
      </c>
      <c r="B3379" s="4" t="s">
        <v>48</v>
      </c>
      <c r="C3379" s="5">
        <v>45966.14436342593</v>
      </c>
      <c r="D3379" s="5">
        <v>45966</v>
      </c>
      <c r="E3379" s="6">
        <f>IF(AND(C3379&lt;&gt;"",D3379&lt;&gt;""),D3379-C3379,"")</f>
        <v>0</v>
      </c>
      <c r="F3379" s="4" t="s">
        <v>64</v>
      </c>
      <c r="G3379" s="4" t="s">
        <v>4489</v>
      </c>
      <c r="H3379" s="4" t="s">
        <v>32</v>
      </c>
      <c r="I3379" s="4" t="s">
        <v>33</v>
      </c>
      <c r="J3379" s="4">
        <v>3</v>
      </c>
      <c r="K3379" s="4">
        <v>0</v>
      </c>
      <c r="L3379" s="4">
        <f>J3379+K3379</f>
        <v>0</v>
      </c>
      <c r="M3379" s="4"/>
      <c r="N3379" s="4"/>
      <c r="O3379" s="4">
        <v>0</v>
      </c>
      <c r="P3379" s="4"/>
      <c r="Q3379" s="4"/>
      <c r="R3379" s="7">
        <v>0</v>
      </c>
      <c r="S3379" s="7">
        <v>0</v>
      </c>
      <c r="T3379" s="7">
        <f>R3379-S3379</f>
        <v>0</v>
      </c>
      <c r="U3379" s="7">
        <f>T3379*O3379</f>
        <v>0</v>
      </c>
    </row>
    <row r="3380" spans="1:21">
      <c r="A3380" s="4" t="s">
        <v>4490</v>
      </c>
      <c r="B3380" s="4" t="s">
        <v>48</v>
      </c>
      <c r="C3380" s="5">
        <v>45966.14949074074</v>
      </c>
      <c r="D3380" s="5">
        <v>45967</v>
      </c>
      <c r="E3380" s="6">
        <f>IF(AND(C3380&lt;&gt;"",D3380&lt;&gt;""),D3380-C3380,"")</f>
        <v>0</v>
      </c>
      <c r="F3380" s="4" t="s">
        <v>64</v>
      </c>
      <c r="G3380" s="4" t="s">
        <v>4412</v>
      </c>
      <c r="H3380" s="4" t="s">
        <v>32</v>
      </c>
      <c r="I3380" s="4" t="s">
        <v>33</v>
      </c>
      <c r="J3380" s="4">
        <v>3</v>
      </c>
      <c r="K3380" s="4">
        <v>0</v>
      </c>
      <c r="L3380" s="4">
        <f>J3380+K3380</f>
        <v>0</v>
      </c>
      <c r="M3380" s="4"/>
      <c r="N3380" s="4"/>
      <c r="O3380" s="4">
        <v>0</v>
      </c>
      <c r="P3380" s="4"/>
      <c r="Q3380" s="4"/>
      <c r="R3380" s="7">
        <v>0</v>
      </c>
      <c r="S3380" s="7">
        <v>0</v>
      </c>
      <c r="T3380" s="7">
        <f>R3380-S3380</f>
        <v>0</v>
      </c>
      <c r="U3380" s="7">
        <f>T3380*O3380</f>
        <v>0</v>
      </c>
    </row>
    <row r="3381" spans="1:21">
      <c r="A3381" s="4" t="s">
        <v>4491</v>
      </c>
      <c r="B3381" s="4" t="s">
        <v>48</v>
      </c>
      <c r="C3381" s="5">
        <v>45966.15311342593</v>
      </c>
      <c r="D3381" s="5">
        <v>45966</v>
      </c>
      <c r="E3381" s="6">
        <f>IF(AND(C3381&lt;&gt;"",D3381&lt;&gt;""),D3381-C3381,"")</f>
        <v>0</v>
      </c>
      <c r="F3381" s="4" t="s">
        <v>64</v>
      </c>
      <c r="G3381" s="4" t="s">
        <v>4412</v>
      </c>
      <c r="H3381" s="4" t="s">
        <v>32</v>
      </c>
      <c r="I3381" s="4" t="s">
        <v>33</v>
      </c>
      <c r="J3381" s="4">
        <v>3</v>
      </c>
      <c r="K3381" s="4">
        <v>0</v>
      </c>
      <c r="L3381" s="4">
        <f>J3381+K3381</f>
        <v>0</v>
      </c>
      <c r="M3381" s="4"/>
      <c r="N3381" s="4"/>
      <c r="O3381" s="4">
        <v>0</v>
      </c>
      <c r="P3381" s="4"/>
      <c r="Q3381" s="4"/>
      <c r="R3381" s="7">
        <v>0</v>
      </c>
      <c r="S3381" s="7">
        <v>0</v>
      </c>
      <c r="T3381" s="7">
        <f>R3381-S3381</f>
        <v>0</v>
      </c>
      <c r="U3381" s="7">
        <f>T3381*O3381</f>
        <v>0</v>
      </c>
    </row>
    <row r="3382" spans="1:21">
      <c r="A3382" s="4" t="s">
        <v>4492</v>
      </c>
      <c r="B3382" s="4" t="s">
        <v>48</v>
      </c>
      <c r="C3382" s="5">
        <v>45966.15436342593</v>
      </c>
      <c r="D3382" s="5">
        <v>45966</v>
      </c>
      <c r="E3382" s="6">
        <f>IF(AND(C3382&lt;&gt;"",D3382&lt;&gt;""),D3382-C3382,"")</f>
        <v>0</v>
      </c>
      <c r="F3382" s="4" t="s">
        <v>4493</v>
      </c>
      <c r="G3382" s="4" t="s">
        <v>4494</v>
      </c>
      <c r="H3382" s="4" t="s">
        <v>319</v>
      </c>
      <c r="I3382" s="4" t="s">
        <v>56</v>
      </c>
      <c r="J3382" s="4">
        <v>3</v>
      </c>
      <c r="K3382" s="4">
        <v>0</v>
      </c>
      <c r="L3382" s="4">
        <f>J3382+K3382</f>
        <v>0</v>
      </c>
      <c r="M3382" s="4"/>
      <c r="N3382" s="4"/>
      <c r="O3382" s="4">
        <v>0</v>
      </c>
      <c r="P3382" s="4"/>
      <c r="Q3382" s="4"/>
      <c r="R3382" s="7">
        <v>0</v>
      </c>
      <c r="S3382" s="7">
        <v>0</v>
      </c>
      <c r="T3382" s="7">
        <f>R3382-S3382</f>
        <v>0</v>
      </c>
      <c r="U3382" s="7">
        <f>T3382*O3382</f>
        <v>0</v>
      </c>
    </row>
    <row r="3383" spans="1:21">
      <c r="A3383" s="4" t="s">
        <v>4495</v>
      </c>
      <c r="B3383" s="4" t="s">
        <v>48</v>
      </c>
      <c r="C3383" s="5">
        <v>45966.19415509259</v>
      </c>
      <c r="D3383" s="5">
        <v>45967</v>
      </c>
      <c r="E3383" s="6">
        <f>IF(AND(C3383&lt;&gt;"",D3383&lt;&gt;""),D3383-C3383,"")</f>
        <v>0</v>
      </c>
      <c r="F3383" s="4" t="s">
        <v>64</v>
      </c>
      <c r="G3383" s="4" t="s">
        <v>4412</v>
      </c>
      <c r="H3383" s="4" t="s">
        <v>32</v>
      </c>
      <c r="I3383" s="4" t="s">
        <v>33</v>
      </c>
      <c r="J3383" s="4">
        <v>1</v>
      </c>
      <c r="K3383" s="4">
        <v>1</v>
      </c>
      <c r="L3383" s="4">
        <f>J3383+K3383</f>
        <v>0</v>
      </c>
      <c r="M3383" s="4"/>
      <c r="N3383" s="4"/>
      <c r="O3383" s="4">
        <v>0</v>
      </c>
      <c r="P3383" s="4"/>
      <c r="Q3383" s="4"/>
      <c r="R3383" s="7">
        <v>0</v>
      </c>
      <c r="S3383" s="7">
        <v>0</v>
      </c>
      <c r="T3383" s="7">
        <f>R3383-S3383</f>
        <v>0</v>
      </c>
      <c r="U3383" s="7">
        <f>T3383*O3383</f>
        <v>0</v>
      </c>
    </row>
    <row r="3384" spans="1:21">
      <c r="A3384" s="4" t="s">
        <v>4496</v>
      </c>
      <c r="B3384" s="4" t="s">
        <v>48</v>
      </c>
      <c r="C3384" s="5">
        <v>45966.19561342592</v>
      </c>
      <c r="D3384" s="5">
        <v>45966</v>
      </c>
      <c r="E3384" s="6">
        <f>IF(AND(C3384&lt;&gt;"",D3384&lt;&gt;""),D3384-C3384,"")</f>
        <v>0</v>
      </c>
      <c r="F3384" s="4" t="s">
        <v>162</v>
      </c>
      <c r="G3384" s="4" t="s">
        <v>163</v>
      </c>
      <c r="H3384" s="4" t="s">
        <v>32</v>
      </c>
      <c r="I3384" s="4" t="s">
        <v>33</v>
      </c>
      <c r="J3384" s="4">
        <v>3</v>
      </c>
      <c r="K3384" s="4">
        <v>0</v>
      </c>
      <c r="L3384" s="4">
        <f>J3384+K3384</f>
        <v>0</v>
      </c>
      <c r="M3384" s="4"/>
      <c r="N3384" s="4"/>
      <c r="O3384" s="4">
        <v>0</v>
      </c>
      <c r="P3384" s="4"/>
      <c r="Q3384" s="4"/>
      <c r="R3384" s="7">
        <v>0</v>
      </c>
      <c r="S3384" s="7">
        <v>0</v>
      </c>
      <c r="T3384" s="7">
        <f>R3384-S3384</f>
        <v>0</v>
      </c>
      <c r="U3384" s="7">
        <f>T3384*O3384</f>
        <v>0</v>
      </c>
    </row>
    <row r="3385" spans="1:21">
      <c r="A3385" s="4" t="s">
        <v>4497</v>
      </c>
      <c r="B3385" s="4" t="s">
        <v>122</v>
      </c>
      <c r="C3385" s="5">
        <v>45966.19569444445</v>
      </c>
      <c r="D3385" s="5">
        <v>45967</v>
      </c>
      <c r="E3385" s="6">
        <f>IF(AND(C3385&lt;&gt;"",D3385&lt;&gt;""),D3385-C3385,"")</f>
        <v>0</v>
      </c>
      <c r="F3385" s="4" t="s">
        <v>2646</v>
      </c>
      <c r="G3385" s="4" t="s">
        <v>2647</v>
      </c>
      <c r="H3385" s="4"/>
      <c r="I3385" s="4" t="s">
        <v>56</v>
      </c>
      <c r="J3385" s="4">
        <v>5</v>
      </c>
      <c r="K3385" s="4">
        <v>0</v>
      </c>
      <c r="L3385" s="4">
        <f>J3385+K3385</f>
        <v>0</v>
      </c>
      <c r="M3385" s="4"/>
      <c r="N3385" s="4"/>
      <c r="O3385" s="4">
        <v>0</v>
      </c>
      <c r="P3385" s="4"/>
      <c r="Q3385" s="4"/>
      <c r="R3385" s="7">
        <v>0</v>
      </c>
      <c r="S3385" s="7">
        <v>0</v>
      </c>
      <c r="T3385" s="7">
        <f>R3385-S3385</f>
        <v>0</v>
      </c>
      <c r="U3385" s="7">
        <f>T3385*O3385</f>
        <v>0</v>
      </c>
    </row>
    <row r="3386" spans="1:21">
      <c r="A3386" s="4" t="s">
        <v>4498</v>
      </c>
      <c r="B3386" s="4" t="s">
        <v>122</v>
      </c>
      <c r="C3386" s="5">
        <v>45966.19770833333</v>
      </c>
      <c r="D3386" s="5">
        <v>45967</v>
      </c>
      <c r="E3386" s="6">
        <f>IF(AND(C3386&lt;&gt;"",D3386&lt;&gt;""),D3386-C3386,"")</f>
        <v>0</v>
      </c>
      <c r="F3386" s="4" t="s">
        <v>1853</v>
      </c>
      <c r="G3386" s="4" t="s">
        <v>1854</v>
      </c>
      <c r="H3386" s="4" t="s">
        <v>32</v>
      </c>
      <c r="I3386" s="4" t="s">
        <v>33</v>
      </c>
      <c r="J3386" s="4">
        <v>10</v>
      </c>
      <c r="K3386" s="4">
        <v>0</v>
      </c>
      <c r="L3386" s="4">
        <f>J3386+K3386</f>
        <v>0</v>
      </c>
      <c r="M3386" s="4"/>
      <c r="N3386" s="4"/>
      <c r="O3386" s="4">
        <v>0</v>
      </c>
      <c r="P3386" s="4"/>
      <c r="Q3386" s="4"/>
      <c r="R3386" s="7">
        <v>0</v>
      </c>
      <c r="S3386" s="7">
        <v>0</v>
      </c>
      <c r="T3386" s="7">
        <f>R3386-S3386</f>
        <v>0</v>
      </c>
      <c r="U3386" s="7">
        <f>T3386*O3386</f>
        <v>0</v>
      </c>
    </row>
    <row r="3387" spans="1:21">
      <c r="A3387" s="4" t="s">
        <v>4499</v>
      </c>
      <c r="B3387" s="4" t="s">
        <v>122</v>
      </c>
      <c r="C3387" s="5">
        <v>45966.19851851852</v>
      </c>
      <c r="D3387" s="5">
        <v>45969</v>
      </c>
      <c r="E3387" s="6">
        <f>IF(AND(C3387&lt;&gt;"",D3387&lt;&gt;""),D3387-C3387,"")</f>
        <v>0</v>
      </c>
      <c r="F3387" s="4" t="s">
        <v>201</v>
      </c>
      <c r="G3387" s="4" t="s">
        <v>202</v>
      </c>
      <c r="H3387" s="4" t="s">
        <v>32</v>
      </c>
      <c r="I3387" s="4" t="s">
        <v>33</v>
      </c>
      <c r="J3387" s="4">
        <v>4</v>
      </c>
      <c r="K3387" s="4">
        <v>3</v>
      </c>
      <c r="L3387" s="4">
        <f>J3387+K3387</f>
        <v>0</v>
      </c>
      <c r="M3387" s="4"/>
      <c r="N3387" s="4"/>
      <c r="O3387" s="4">
        <v>0</v>
      </c>
      <c r="P3387" s="4"/>
      <c r="Q3387" s="4"/>
      <c r="R3387" s="7">
        <v>0</v>
      </c>
      <c r="S3387" s="7">
        <v>0</v>
      </c>
      <c r="T3387" s="7">
        <f>R3387-S3387</f>
        <v>0</v>
      </c>
      <c r="U3387" s="7">
        <f>T3387*O3387</f>
        <v>0</v>
      </c>
    </row>
    <row r="3388" spans="1:21">
      <c r="A3388" s="4" t="s">
        <v>4500</v>
      </c>
      <c r="B3388" s="4" t="s">
        <v>48</v>
      </c>
      <c r="C3388" s="5">
        <v>45966.22097222223</v>
      </c>
      <c r="D3388" s="5">
        <v>45967</v>
      </c>
      <c r="E3388" s="6">
        <f>IF(AND(C3388&lt;&gt;"",D3388&lt;&gt;""),D3388-C3388,"")</f>
        <v>0</v>
      </c>
      <c r="F3388" s="4" t="s">
        <v>2408</v>
      </c>
      <c r="G3388" s="4" t="s">
        <v>4402</v>
      </c>
      <c r="H3388" s="4" t="s">
        <v>32</v>
      </c>
      <c r="I3388" s="4" t="s">
        <v>33</v>
      </c>
      <c r="J3388" s="4">
        <v>2</v>
      </c>
      <c r="K3388" s="4">
        <v>2</v>
      </c>
      <c r="L3388" s="4">
        <f>J3388+K3388</f>
        <v>0</v>
      </c>
      <c r="M3388" s="4"/>
      <c r="N3388" s="4"/>
      <c r="O3388" s="4">
        <v>0</v>
      </c>
      <c r="P3388" s="4"/>
      <c r="Q3388" s="4"/>
      <c r="R3388" s="7">
        <v>0</v>
      </c>
      <c r="S3388" s="7">
        <v>0</v>
      </c>
      <c r="T3388" s="7">
        <f>R3388-S3388</f>
        <v>0</v>
      </c>
      <c r="U3388" s="7">
        <f>T3388*O3388</f>
        <v>0</v>
      </c>
    </row>
    <row r="3389" spans="1:21">
      <c r="A3389" s="4" t="s">
        <v>4501</v>
      </c>
      <c r="B3389" s="4" t="s">
        <v>48</v>
      </c>
      <c r="C3389" s="5">
        <v>45966.23778935185</v>
      </c>
      <c r="D3389" s="5">
        <v>45966</v>
      </c>
      <c r="E3389" s="6">
        <f>IF(AND(C3389&lt;&gt;"",D3389&lt;&gt;""),D3389-C3389,"")</f>
        <v>0</v>
      </c>
      <c r="F3389" s="4" t="s">
        <v>4502</v>
      </c>
      <c r="G3389" s="4" t="s">
        <v>4503</v>
      </c>
      <c r="H3389" s="4" t="s">
        <v>32</v>
      </c>
      <c r="I3389" s="4" t="s">
        <v>33</v>
      </c>
      <c r="J3389" s="4">
        <v>3</v>
      </c>
      <c r="K3389" s="4">
        <v>0</v>
      </c>
      <c r="L3389" s="4">
        <f>J3389+K3389</f>
        <v>0</v>
      </c>
      <c r="M3389" s="4"/>
      <c r="N3389" s="4"/>
      <c r="O3389" s="4">
        <v>0</v>
      </c>
      <c r="P3389" s="4"/>
      <c r="Q3389" s="4"/>
      <c r="R3389" s="7">
        <v>0</v>
      </c>
      <c r="S3389" s="7">
        <v>0</v>
      </c>
      <c r="T3389" s="7">
        <f>R3389-S3389</f>
        <v>0</v>
      </c>
      <c r="U3389" s="7">
        <f>T3389*O3389</f>
        <v>0</v>
      </c>
    </row>
    <row r="3390" spans="1:21">
      <c r="A3390" s="4" t="s">
        <v>4504</v>
      </c>
      <c r="B3390" s="4" t="s">
        <v>48</v>
      </c>
      <c r="C3390" s="5">
        <v>45966.23947916667</v>
      </c>
      <c r="D3390" s="5">
        <v>45966</v>
      </c>
      <c r="E3390" s="6">
        <f>IF(AND(C3390&lt;&gt;"",D3390&lt;&gt;""),D3390-C3390,"")</f>
        <v>0</v>
      </c>
      <c r="F3390" s="4" t="s">
        <v>4505</v>
      </c>
      <c r="G3390" s="4" t="s">
        <v>4506</v>
      </c>
      <c r="H3390" s="4" t="s">
        <v>319</v>
      </c>
      <c r="I3390" s="4" t="s">
        <v>56</v>
      </c>
      <c r="J3390" s="4">
        <v>5</v>
      </c>
      <c r="K3390" s="4">
        <v>0</v>
      </c>
      <c r="L3390" s="4">
        <f>J3390+K3390</f>
        <v>0</v>
      </c>
      <c r="M3390" s="4"/>
      <c r="N3390" s="4"/>
      <c r="O3390" s="4">
        <v>0</v>
      </c>
      <c r="P3390" s="4"/>
      <c r="Q3390" s="4"/>
      <c r="R3390" s="7">
        <v>0</v>
      </c>
      <c r="S3390" s="7">
        <v>0</v>
      </c>
      <c r="T3390" s="7">
        <f>R3390-S3390</f>
        <v>0</v>
      </c>
      <c r="U3390" s="7">
        <f>T3390*O3390</f>
        <v>0</v>
      </c>
    </row>
    <row r="3391" spans="1:21">
      <c r="A3391" s="4" t="s">
        <v>4507</v>
      </c>
      <c r="B3391" s="4" t="s">
        <v>48</v>
      </c>
      <c r="C3391" s="5">
        <v>45966.24221064815</v>
      </c>
      <c r="D3391" s="5">
        <v>45966</v>
      </c>
      <c r="E3391" s="6">
        <f>IF(AND(C3391&lt;&gt;"",D3391&lt;&gt;""),D3391-C3391,"")</f>
        <v>0</v>
      </c>
      <c r="F3391" s="4" t="s">
        <v>4508</v>
      </c>
      <c r="G3391" s="4" t="s">
        <v>4509</v>
      </c>
      <c r="H3391" s="4" t="s">
        <v>32</v>
      </c>
      <c r="I3391" s="4" t="s">
        <v>33</v>
      </c>
      <c r="J3391" s="4">
        <v>11</v>
      </c>
      <c r="K3391" s="4">
        <v>0</v>
      </c>
      <c r="L3391" s="4">
        <f>J3391+K3391</f>
        <v>0</v>
      </c>
      <c r="M3391" s="4"/>
      <c r="N3391" s="4"/>
      <c r="O3391" s="4">
        <v>0</v>
      </c>
      <c r="P3391" s="4"/>
      <c r="Q3391" s="4"/>
      <c r="R3391" s="7">
        <v>0</v>
      </c>
      <c r="S3391" s="7">
        <v>0</v>
      </c>
      <c r="T3391" s="7">
        <f>R3391-S3391</f>
        <v>0</v>
      </c>
      <c r="U3391" s="7">
        <f>T3391*O3391</f>
        <v>0</v>
      </c>
    </row>
    <row r="3392" spans="1:21">
      <c r="A3392" s="4" t="s">
        <v>4510</v>
      </c>
      <c r="B3392" s="4" t="s">
        <v>29</v>
      </c>
      <c r="C3392" s="5">
        <v>45966.26831018519</v>
      </c>
      <c r="D3392" s="5">
        <v>45966</v>
      </c>
      <c r="E3392" s="6">
        <f>IF(AND(C3392&lt;&gt;"",D3392&lt;&gt;""),D3392-C3392,"")</f>
        <v>0</v>
      </c>
      <c r="F3392" s="4" t="s">
        <v>4511</v>
      </c>
      <c r="G3392" s="4" t="s">
        <v>4512</v>
      </c>
      <c r="H3392" s="4" t="s">
        <v>32</v>
      </c>
      <c r="I3392" s="4" t="s">
        <v>33</v>
      </c>
      <c r="J3392" s="4">
        <v>2</v>
      </c>
      <c r="K3392" s="4">
        <v>2</v>
      </c>
      <c r="L3392" s="4">
        <f>J3392+K3392</f>
        <v>0</v>
      </c>
      <c r="M3392" s="4"/>
      <c r="N3392" s="4"/>
      <c r="O3392" s="4">
        <v>0</v>
      </c>
      <c r="P3392" s="4"/>
      <c r="Q3392" s="4"/>
      <c r="R3392" s="7">
        <v>0</v>
      </c>
      <c r="S3392" s="7">
        <v>0</v>
      </c>
      <c r="T3392" s="7">
        <f>R3392-S3392</f>
        <v>0</v>
      </c>
      <c r="U3392" s="7">
        <f>T3392*O3392</f>
        <v>0</v>
      </c>
    </row>
    <row r="3393" spans="1:21">
      <c r="A3393" s="4" t="s">
        <v>4513</v>
      </c>
      <c r="B3393" s="4" t="s">
        <v>29</v>
      </c>
      <c r="C3393" s="5">
        <v>45966.27376157408</v>
      </c>
      <c r="D3393" s="5">
        <v>45966</v>
      </c>
      <c r="E3393" s="6">
        <f>IF(AND(C3393&lt;&gt;"",D3393&lt;&gt;""),D3393-C3393,"")</f>
        <v>0</v>
      </c>
      <c r="F3393" s="4" t="s">
        <v>4511</v>
      </c>
      <c r="G3393" s="4" t="s">
        <v>4514</v>
      </c>
      <c r="H3393" s="4" t="s">
        <v>32</v>
      </c>
      <c r="I3393" s="4" t="s">
        <v>33</v>
      </c>
      <c r="J3393" s="4">
        <v>2</v>
      </c>
      <c r="K3393" s="4">
        <v>2</v>
      </c>
      <c r="L3393" s="4">
        <f>J3393+K3393</f>
        <v>0</v>
      </c>
      <c r="M3393" s="4"/>
      <c r="N3393" s="4"/>
      <c r="O3393" s="4">
        <v>0</v>
      </c>
      <c r="P3393" s="4"/>
      <c r="Q3393" s="4"/>
      <c r="R3393" s="7">
        <v>0</v>
      </c>
      <c r="S3393" s="7">
        <v>0</v>
      </c>
      <c r="T3393" s="7">
        <f>R3393-S3393</f>
        <v>0</v>
      </c>
      <c r="U3393" s="7">
        <f>T3393*O3393</f>
        <v>0</v>
      </c>
    </row>
    <row r="3394" spans="1:21">
      <c r="A3394" s="4" t="s">
        <v>4515</v>
      </c>
      <c r="B3394" s="4" t="s">
        <v>48</v>
      </c>
      <c r="C3394" s="5">
        <v>45966.28174768519</v>
      </c>
      <c r="D3394" s="5">
        <v>45967</v>
      </c>
      <c r="E3394" s="6">
        <f>IF(AND(C3394&lt;&gt;"",D3394&lt;&gt;""),D3394-C3394,"")</f>
        <v>0</v>
      </c>
      <c r="F3394" s="4" t="s">
        <v>2408</v>
      </c>
      <c r="G3394" s="4" t="s">
        <v>4402</v>
      </c>
      <c r="H3394" s="4" t="s">
        <v>32</v>
      </c>
      <c r="I3394" s="4" t="s">
        <v>33</v>
      </c>
      <c r="J3394" s="4">
        <v>2</v>
      </c>
      <c r="K3394" s="4">
        <v>2</v>
      </c>
      <c r="L3394" s="4">
        <f>J3394+K3394</f>
        <v>0</v>
      </c>
      <c r="M3394" s="4"/>
      <c r="N3394" s="4"/>
      <c r="O3394" s="4">
        <v>0</v>
      </c>
      <c r="P3394" s="4"/>
      <c r="Q3394" s="4"/>
      <c r="R3394" s="7">
        <v>0</v>
      </c>
      <c r="S3394" s="7">
        <v>0</v>
      </c>
      <c r="T3394" s="7">
        <f>R3394-S3394</f>
        <v>0</v>
      </c>
      <c r="U3394" s="7">
        <f>T3394*O3394</f>
        <v>0</v>
      </c>
    </row>
    <row r="3395" spans="1:21">
      <c r="A3395" s="4" t="s">
        <v>4516</v>
      </c>
      <c r="B3395" s="4" t="s">
        <v>122</v>
      </c>
      <c r="C3395" s="5">
        <v>45966.29109953704</v>
      </c>
      <c r="D3395" s="5">
        <v>45966</v>
      </c>
      <c r="E3395" s="6">
        <f>IF(AND(C3395&lt;&gt;"",D3395&lt;&gt;""),D3395-C3395,"")</f>
        <v>0</v>
      </c>
      <c r="F3395" s="4" t="s">
        <v>4380</v>
      </c>
      <c r="G3395" s="4" t="s">
        <v>4381</v>
      </c>
      <c r="H3395" s="4" t="s">
        <v>32</v>
      </c>
      <c r="I3395" s="4" t="s">
        <v>33</v>
      </c>
      <c r="J3395" s="4">
        <v>8</v>
      </c>
      <c r="K3395" s="4">
        <v>0</v>
      </c>
      <c r="L3395" s="4">
        <f>J3395+K3395</f>
        <v>0</v>
      </c>
      <c r="M3395" s="4"/>
      <c r="N3395" s="4"/>
      <c r="O3395" s="4">
        <v>0</v>
      </c>
      <c r="P3395" s="4"/>
      <c r="Q3395" s="4"/>
      <c r="R3395" s="7">
        <v>0</v>
      </c>
      <c r="S3395" s="7">
        <v>0</v>
      </c>
      <c r="T3395" s="7">
        <f>R3395-S3395</f>
        <v>0</v>
      </c>
      <c r="U3395" s="7">
        <f>T3395*O3395</f>
        <v>0</v>
      </c>
    </row>
    <row r="3396" spans="1:21">
      <c r="A3396" s="4" t="s">
        <v>4517</v>
      </c>
      <c r="B3396" s="4" t="s">
        <v>48</v>
      </c>
      <c r="C3396" s="5">
        <v>45966.3771412037</v>
      </c>
      <c r="D3396" s="5">
        <v>45978</v>
      </c>
      <c r="E3396" s="6">
        <f>IF(AND(C3396&lt;&gt;"",D3396&lt;&gt;""),D3396-C3396,"")</f>
        <v>0</v>
      </c>
      <c r="F3396" s="4" t="s">
        <v>64</v>
      </c>
      <c r="G3396" s="4" t="s">
        <v>4412</v>
      </c>
      <c r="H3396" s="4" t="s">
        <v>32</v>
      </c>
      <c r="I3396" s="4" t="s">
        <v>33</v>
      </c>
      <c r="J3396" s="4">
        <v>2</v>
      </c>
      <c r="K3396" s="4">
        <v>2</v>
      </c>
      <c r="L3396" s="4">
        <f>J3396+K3396</f>
        <v>0</v>
      </c>
      <c r="M3396" s="4"/>
      <c r="N3396" s="4"/>
      <c r="O3396" s="4">
        <v>0</v>
      </c>
      <c r="P3396" s="4"/>
      <c r="Q3396" s="4"/>
      <c r="R3396" s="7">
        <v>0</v>
      </c>
      <c r="S3396" s="7">
        <v>0</v>
      </c>
      <c r="T3396" s="7">
        <f>R3396-S3396</f>
        <v>0</v>
      </c>
      <c r="U3396" s="7">
        <f>T3396*O3396</f>
        <v>0</v>
      </c>
    </row>
    <row r="3397" spans="1:21">
      <c r="A3397" s="4" t="s">
        <v>4518</v>
      </c>
      <c r="B3397" s="4" t="s">
        <v>39</v>
      </c>
      <c r="C3397" s="5">
        <v>45966.3806712963</v>
      </c>
      <c r="D3397" s="5">
        <v>45966</v>
      </c>
      <c r="E3397" s="6">
        <f>IF(AND(C3397&lt;&gt;"",D3397&lt;&gt;""),D3397-C3397,"")</f>
        <v>0</v>
      </c>
      <c r="F3397" s="4" t="s">
        <v>30</v>
      </c>
      <c r="G3397" s="4" t="s">
        <v>31</v>
      </c>
      <c r="H3397" s="4" t="s">
        <v>32</v>
      </c>
      <c r="I3397" s="4" t="s">
        <v>33</v>
      </c>
      <c r="J3397" s="4">
        <v>1</v>
      </c>
      <c r="K3397" s="4">
        <v>0</v>
      </c>
      <c r="L3397" s="4">
        <f>J3397+K3397</f>
        <v>0</v>
      </c>
      <c r="M3397" s="4" t="s">
        <v>80</v>
      </c>
      <c r="N3397" s="4"/>
      <c r="O3397" s="4">
        <v>1</v>
      </c>
      <c r="P3397" s="4" t="s">
        <v>135</v>
      </c>
      <c r="Q3397" s="4" t="s">
        <v>44</v>
      </c>
      <c r="R3397" s="7">
        <v>610000</v>
      </c>
      <c r="S3397" s="7">
        <v>0</v>
      </c>
      <c r="T3397" s="7">
        <f>R3397-S3397</f>
        <v>0</v>
      </c>
      <c r="U3397" s="7">
        <f>T3397*O3397</f>
        <v>0</v>
      </c>
    </row>
    <row r="3398" spans="1:21">
      <c r="A3398" s="4" t="s">
        <v>4518</v>
      </c>
      <c r="B3398" s="4" t="s">
        <v>39</v>
      </c>
      <c r="C3398" s="5">
        <v>45966.3806712963</v>
      </c>
      <c r="D3398" s="5">
        <v>45966</v>
      </c>
      <c r="E3398" s="6">
        <f>IF(AND(C3398&lt;&gt;"",D3398&lt;&gt;""),D3398-C3398,"")</f>
        <v>0</v>
      </c>
      <c r="F3398" s="4" t="s">
        <v>30</v>
      </c>
      <c r="G3398" s="4" t="s">
        <v>31</v>
      </c>
      <c r="H3398" s="4" t="s">
        <v>32</v>
      </c>
      <c r="I3398" s="4" t="s">
        <v>33</v>
      </c>
      <c r="J3398" s="4">
        <v>1</v>
      </c>
      <c r="K3398" s="4">
        <v>0</v>
      </c>
      <c r="L3398" s="4">
        <f>J3398+K3398</f>
        <v>0</v>
      </c>
      <c r="M3398" s="4" t="s">
        <v>80</v>
      </c>
      <c r="N3398" s="4"/>
      <c r="O3398" s="4">
        <v>1</v>
      </c>
      <c r="P3398" s="4" t="s">
        <v>135</v>
      </c>
      <c r="Q3398" s="4" t="s">
        <v>44</v>
      </c>
      <c r="R3398" s="7">
        <v>610000</v>
      </c>
      <c r="S3398" s="7">
        <v>0</v>
      </c>
      <c r="T3398" s="7">
        <f>R3398-S3398</f>
        <v>0</v>
      </c>
      <c r="U3398" s="7">
        <f>T3398*O3398</f>
        <v>0</v>
      </c>
    </row>
    <row r="3399" spans="1:21">
      <c r="A3399" s="4" t="s">
        <v>4519</v>
      </c>
      <c r="B3399" s="4" t="s">
        <v>48</v>
      </c>
      <c r="C3399" s="5">
        <v>45966.38336805555</v>
      </c>
      <c r="D3399" s="5">
        <v>45971</v>
      </c>
      <c r="E3399" s="6">
        <f>IF(AND(C3399&lt;&gt;"",D3399&lt;&gt;""),D3399-C3399,"")</f>
        <v>0</v>
      </c>
      <c r="F3399" s="4" t="s">
        <v>2408</v>
      </c>
      <c r="G3399" s="4" t="s">
        <v>4402</v>
      </c>
      <c r="H3399" s="4" t="s">
        <v>32</v>
      </c>
      <c r="I3399" s="4" t="s">
        <v>33</v>
      </c>
      <c r="J3399" s="4">
        <v>1</v>
      </c>
      <c r="K3399" s="4">
        <v>1</v>
      </c>
      <c r="L3399" s="4">
        <f>J3399+K3399</f>
        <v>0</v>
      </c>
      <c r="M3399" s="4"/>
      <c r="N3399" s="4"/>
      <c r="O3399" s="4">
        <v>0</v>
      </c>
      <c r="P3399" s="4"/>
      <c r="Q3399" s="4"/>
      <c r="R3399" s="7">
        <v>0</v>
      </c>
      <c r="S3399" s="7">
        <v>0</v>
      </c>
      <c r="T3399" s="7">
        <f>R3399-S3399</f>
        <v>0</v>
      </c>
      <c r="U3399" s="7">
        <f>T3399*O3399</f>
        <v>0</v>
      </c>
    </row>
    <row r="3400" spans="1:21">
      <c r="A3400" s="4" t="s">
        <v>4520</v>
      </c>
      <c r="B3400" s="4" t="s">
        <v>39</v>
      </c>
      <c r="C3400" s="5">
        <v>45966.3859837963</v>
      </c>
      <c r="D3400" s="5">
        <v>45966</v>
      </c>
      <c r="E3400" s="6">
        <f>IF(AND(C3400&lt;&gt;"",D3400&lt;&gt;""),D3400-C3400,"")</f>
        <v>0</v>
      </c>
      <c r="F3400" s="4" t="s">
        <v>64</v>
      </c>
      <c r="G3400" s="4" t="s">
        <v>4412</v>
      </c>
      <c r="H3400" s="4" t="s">
        <v>32</v>
      </c>
      <c r="I3400" s="4" t="s">
        <v>33</v>
      </c>
      <c r="J3400" s="4">
        <v>1</v>
      </c>
      <c r="K3400" s="4">
        <v>0</v>
      </c>
      <c r="L3400" s="4">
        <f>J3400+K3400</f>
        <v>0</v>
      </c>
      <c r="M3400" s="4" t="s">
        <v>80</v>
      </c>
      <c r="N3400" s="4"/>
      <c r="O3400" s="4">
        <v>1</v>
      </c>
      <c r="P3400" s="4" t="s">
        <v>135</v>
      </c>
      <c r="Q3400" s="4" t="s">
        <v>44</v>
      </c>
      <c r="R3400" s="7">
        <v>610000</v>
      </c>
      <c r="S3400" s="7">
        <v>0</v>
      </c>
      <c r="T3400" s="7">
        <f>R3400-S3400</f>
        <v>0</v>
      </c>
      <c r="U3400" s="7">
        <f>T3400*O3400</f>
        <v>0</v>
      </c>
    </row>
    <row r="3401" spans="1:21">
      <c r="A3401" s="4" t="s">
        <v>4521</v>
      </c>
      <c r="B3401" s="4" t="s">
        <v>39</v>
      </c>
      <c r="C3401" s="5">
        <v>45966.38777777777</v>
      </c>
      <c r="D3401" s="5">
        <v>45966</v>
      </c>
      <c r="E3401" s="6">
        <f>IF(AND(C3401&lt;&gt;"",D3401&lt;&gt;""),D3401-C3401,"")</f>
        <v>0</v>
      </c>
      <c r="F3401" s="4" t="s">
        <v>64</v>
      </c>
      <c r="G3401" s="4" t="s">
        <v>4412</v>
      </c>
      <c r="H3401" s="4" t="s">
        <v>32</v>
      </c>
      <c r="I3401" s="4" t="s">
        <v>33</v>
      </c>
      <c r="J3401" s="4">
        <v>1</v>
      </c>
      <c r="K3401" s="4">
        <v>0</v>
      </c>
      <c r="L3401" s="4">
        <f>J3401+K3401</f>
        <v>0</v>
      </c>
      <c r="M3401" s="4" t="s">
        <v>80</v>
      </c>
      <c r="N3401" s="4"/>
      <c r="O3401" s="4">
        <v>1</v>
      </c>
      <c r="P3401" s="4" t="s">
        <v>135</v>
      </c>
      <c r="Q3401" s="4" t="s">
        <v>44</v>
      </c>
      <c r="R3401" s="7">
        <v>610000</v>
      </c>
      <c r="S3401" s="7">
        <v>0</v>
      </c>
      <c r="T3401" s="7">
        <f>R3401-S3401</f>
        <v>0</v>
      </c>
      <c r="U3401" s="7">
        <f>T3401*O3401</f>
        <v>0</v>
      </c>
    </row>
    <row r="3402" spans="1:21">
      <c r="A3402" s="4" t="s">
        <v>4522</v>
      </c>
      <c r="B3402" s="4" t="s">
        <v>39</v>
      </c>
      <c r="C3402" s="5">
        <v>45966.38903935185</v>
      </c>
      <c r="D3402" s="5">
        <v>45966</v>
      </c>
      <c r="E3402" s="6">
        <f>IF(AND(C3402&lt;&gt;"",D3402&lt;&gt;""),D3402-C3402,"")</f>
        <v>0</v>
      </c>
      <c r="F3402" s="4" t="s">
        <v>64</v>
      </c>
      <c r="G3402" s="4" t="s">
        <v>4412</v>
      </c>
      <c r="H3402" s="4" t="s">
        <v>32</v>
      </c>
      <c r="I3402" s="4" t="s">
        <v>33</v>
      </c>
      <c r="J3402" s="4">
        <v>1</v>
      </c>
      <c r="K3402" s="4">
        <v>0</v>
      </c>
      <c r="L3402" s="4">
        <f>J3402+K3402</f>
        <v>0</v>
      </c>
      <c r="M3402" s="4" t="s">
        <v>80</v>
      </c>
      <c r="N3402" s="4"/>
      <c r="O3402" s="4">
        <v>1</v>
      </c>
      <c r="P3402" s="4" t="s">
        <v>135</v>
      </c>
      <c r="Q3402" s="4" t="s">
        <v>44</v>
      </c>
      <c r="R3402" s="7">
        <v>610000</v>
      </c>
      <c r="S3402" s="7">
        <v>0</v>
      </c>
      <c r="T3402" s="7">
        <f>R3402-S3402</f>
        <v>0</v>
      </c>
      <c r="U3402" s="7">
        <f>T3402*O3402</f>
        <v>0</v>
      </c>
    </row>
    <row r="3403" spans="1:21">
      <c r="A3403" s="4" t="s">
        <v>4523</v>
      </c>
      <c r="B3403" s="4" t="s">
        <v>39</v>
      </c>
      <c r="C3403" s="5">
        <v>45966.39155092592</v>
      </c>
      <c r="D3403" s="5">
        <v>45966</v>
      </c>
      <c r="E3403" s="6">
        <f>IF(AND(C3403&lt;&gt;"",D3403&lt;&gt;""),D3403-C3403,"")</f>
        <v>0</v>
      </c>
      <c r="F3403" s="4" t="s">
        <v>30</v>
      </c>
      <c r="G3403" s="4" t="s">
        <v>31</v>
      </c>
      <c r="H3403" s="4" t="s">
        <v>32</v>
      </c>
      <c r="I3403" s="4" t="s">
        <v>33</v>
      </c>
      <c r="J3403" s="4">
        <v>1</v>
      </c>
      <c r="K3403" s="4">
        <v>0</v>
      </c>
      <c r="L3403" s="4">
        <f>J3403+K3403</f>
        <v>0</v>
      </c>
      <c r="M3403" s="4" t="s">
        <v>80</v>
      </c>
      <c r="N3403" s="4"/>
      <c r="O3403" s="4">
        <v>1</v>
      </c>
      <c r="P3403" s="4" t="s">
        <v>135</v>
      </c>
      <c r="Q3403" s="4" t="s">
        <v>44</v>
      </c>
      <c r="R3403" s="7">
        <v>610000</v>
      </c>
      <c r="S3403" s="7">
        <v>0</v>
      </c>
      <c r="T3403" s="7">
        <f>R3403-S3403</f>
        <v>0</v>
      </c>
      <c r="U3403" s="7">
        <f>T3403*O3403</f>
        <v>0</v>
      </c>
    </row>
    <row r="3404" spans="1:21">
      <c r="A3404" s="4" t="s">
        <v>4524</v>
      </c>
      <c r="B3404" s="4" t="s">
        <v>39</v>
      </c>
      <c r="C3404" s="5">
        <v>45966.39662037037</v>
      </c>
      <c r="D3404" s="5">
        <v>45966</v>
      </c>
      <c r="E3404" s="6">
        <f>IF(AND(C3404&lt;&gt;"",D3404&lt;&gt;""),D3404-C3404,"")</f>
        <v>0</v>
      </c>
      <c r="F3404" s="4" t="s">
        <v>30</v>
      </c>
      <c r="G3404" s="4" t="s">
        <v>31</v>
      </c>
      <c r="H3404" s="4" t="s">
        <v>32</v>
      </c>
      <c r="I3404" s="4" t="s">
        <v>33</v>
      </c>
      <c r="J3404" s="4">
        <v>1</v>
      </c>
      <c r="K3404" s="4">
        <v>0</v>
      </c>
      <c r="L3404" s="4">
        <f>J3404+K3404</f>
        <v>0</v>
      </c>
      <c r="M3404" s="4" t="s">
        <v>80</v>
      </c>
      <c r="N3404" s="4"/>
      <c r="O3404" s="4">
        <v>1</v>
      </c>
      <c r="P3404" s="4" t="s">
        <v>135</v>
      </c>
      <c r="Q3404" s="4" t="s">
        <v>44</v>
      </c>
      <c r="R3404" s="7">
        <v>610000</v>
      </c>
      <c r="S3404" s="7">
        <v>0</v>
      </c>
      <c r="T3404" s="7">
        <f>R3404-S3404</f>
        <v>0</v>
      </c>
      <c r="U3404" s="7">
        <f>T3404*O3404</f>
        <v>0</v>
      </c>
    </row>
    <row r="3405" spans="1:21">
      <c r="A3405" s="4" t="s">
        <v>4525</v>
      </c>
      <c r="B3405" s="4" t="s">
        <v>48</v>
      </c>
      <c r="C3405" s="5">
        <v>45966.53304398148</v>
      </c>
      <c r="D3405" s="5">
        <v>45967</v>
      </c>
      <c r="E3405" s="6">
        <f>IF(AND(C3405&lt;&gt;"",D3405&lt;&gt;""),D3405-C3405,"")</f>
        <v>0</v>
      </c>
      <c r="F3405" s="4" t="s">
        <v>64</v>
      </c>
      <c r="G3405" s="4" t="s">
        <v>4412</v>
      </c>
      <c r="H3405" s="4" t="s">
        <v>32</v>
      </c>
      <c r="I3405" s="4" t="s">
        <v>33</v>
      </c>
      <c r="J3405" s="4">
        <v>1</v>
      </c>
      <c r="K3405" s="4">
        <v>1</v>
      </c>
      <c r="L3405" s="4">
        <f>J3405+K3405</f>
        <v>0</v>
      </c>
      <c r="M3405" s="4"/>
      <c r="N3405" s="4"/>
      <c r="O3405" s="4">
        <v>0</v>
      </c>
      <c r="P3405" s="4"/>
      <c r="Q3405" s="4"/>
      <c r="R3405" s="7">
        <v>0</v>
      </c>
      <c r="S3405" s="7">
        <v>0</v>
      </c>
      <c r="T3405" s="7">
        <f>R3405-S3405</f>
        <v>0</v>
      </c>
      <c r="U3405" s="7">
        <f>T3405*O3405</f>
        <v>0</v>
      </c>
    </row>
    <row r="3406" spans="1:21">
      <c r="A3406" s="4" t="s">
        <v>4526</v>
      </c>
      <c r="B3406" s="4" t="s">
        <v>48</v>
      </c>
      <c r="C3406" s="5">
        <v>45966.53538194444</v>
      </c>
      <c r="D3406" s="5">
        <v>45967</v>
      </c>
      <c r="E3406" s="6">
        <f>IF(AND(C3406&lt;&gt;"",D3406&lt;&gt;""),D3406-C3406,"")</f>
        <v>0</v>
      </c>
      <c r="F3406" s="4" t="s">
        <v>64</v>
      </c>
      <c r="G3406" s="4" t="s">
        <v>4412</v>
      </c>
      <c r="H3406" s="4" t="s">
        <v>32</v>
      </c>
      <c r="I3406" s="4" t="s">
        <v>33</v>
      </c>
      <c r="J3406" s="4">
        <v>1</v>
      </c>
      <c r="K3406" s="4">
        <v>1</v>
      </c>
      <c r="L3406" s="4">
        <f>J3406+K3406</f>
        <v>0</v>
      </c>
      <c r="M3406" s="4"/>
      <c r="N3406" s="4"/>
      <c r="O3406" s="4">
        <v>0</v>
      </c>
      <c r="P3406" s="4"/>
      <c r="Q3406" s="4"/>
      <c r="R3406" s="7">
        <v>0</v>
      </c>
      <c r="S3406" s="7">
        <v>0</v>
      </c>
      <c r="T3406" s="7">
        <f>R3406-S3406</f>
        <v>0</v>
      </c>
      <c r="U3406" s="7">
        <f>T3406*O3406</f>
        <v>0</v>
      </c>
    </row>
    <row r="3407" spans="1:21">
      <c r="A3407" s="4" t="s">
        <v>4527</v>
      </c>
      <c r="B3407" s="4" t="s">
        <v>48</v>
      </c>
      <c r="C3407" s="5">
        <v>45966.55871527778</v>
      </c>
      <c r="D3407" s="5">
        <v>45967</v>
      </c>
      <c r="E3407" s="6">
        <f>IF(AND(C3407&lt;&gt;"",D3407&lt;&gt;""),D3407-C3407,"")</f>
        <v>0</v>
      </c>
      <c r="F3407" s="4" t="s">
        <v>64</v>
      </c>
      <c r="G3407" s="4" t="s">
        <v>4412</v>
      </c>
      <c r="H3407" s="4" t="s">
        <v>32</v>
      </c>
      <c r="I3407" s="4" t="s">
        <v>33</v>
      </c>
      <c r="J3407" s="4">
        <v>1</v>
      </c>
      <c r="K3407" s="4">
        <v>1</v>
      </c>
      <c r="L3407" s="4">
        <f>J3407+K3407</f>
        <v>0</v>
      </c>
      <c r="M3407" s="4"/>
      <c r="N3407" s="4"/>
      <c r="O3407" s="4">
        <v>0</v>
      </c>
      <c r="P3407" s="4"/>
      <c r="Q3407" s="4"/>
      <c r="R3407" s="7">
        <v>0</v>
      </c>
      <c r="S3407" s="7">
        <v>0</v>
      </c>
      <c r="T3407" s="7">
        <f>R3407-S3407</f>
        <v>0</v>
      </c>
      <c r="U3407" s="7">
        <f>T3407*O3407</f>
        <v>0</v>
      </c>
    </row>
    <row r="3408" spans="1:21">
      <c r="A3408" s="4" t="s">
        <v>4528</v>
      </c>
      <c r="B3408" s="4" t="s">
        <v>48</v>
      </c>
      <c r="C3408" s="5">
        <v>45966.57541666667</v>
      </c>
      <c r="D3408" s="5">
        <v>45967</v>
      </c>
      <c r="E3408" s="6">
        <f>IF(AND(C3408&lt;&gt;"",D3408&lt;&gt;""),D3408-C3408,"")</f>
        <v>0</v>
      </c>
      <c r="F3408" s="4" t="s">
        <v>64</v>
      </c>
      <c r="G3408" s="4" t="s">
        <v>4412</v>
      </c>
      <c r="H3408" s="4" t="s">
        <v>32</v>
      </c>
      <c r="I3408" s="4" t="s">
        <v>33</v>
      </c>
      <c r="J3408" s="4">
        <v>2</v>
      </c>
      <c r="K3408" s="4">
        <v>2</v>
      </c>
      <c r="L3408" s="4">
        <f>J3408+K3408</f>
        <v>0</v>
      </c>
      <c r="M3408" s="4"/>
      <c r="N3408" s="4"/>
      <c r="O3408" s="4">
        <v>0</v>
      </c>
      <c r="P3408" s="4"/>
      <c r="Q3408" s="4"/>
      <c r="R3408" s="7">
        <v>0</v>
      </c>
      <c r="S3408" s="7">
        <v>0</v>
      </c>
      <c r="T3408" s="7">
        <f>R3408-S3408</f>
        <v>0</v>
      </c>
      <c r="U3408" s="7">
        <f>T3408*O3408</f>
        <v>0</v>
      </c>
    </row>
    <row r="3409" spans="1:21">
      <c r="A3409" s="4" t="s">
        <v>4529</v>
      </c>
      <c r="B3409" s="4" t="s">
        <v>48</v>
      </c>
      <c r="C3409" s="5">
        <v>45966.59574074074</v>
      </c>
      <c r="D3409" s="5">
        <v>45971</v>
      </c>
      <c r="E3409" s="6">
        <f>IF(AND(C3409&lt;&gt;"",D3409&lt;&gt;""),D3409-C3409,"")</f>
        <v>0</v>
      </c>
      <c r="F3409" s="4" t="s">
        <v>64</v>
      </c>
      <c r="G3409" s="4" t="s">
        <v>4412</v>
      </c>
      <c r="H3409" s="4" t="s">
        <v>32</v>
      </c>
      <c r="I3409" s="4" t="s">
        <v>33</v>
      </c>
      <c r="J3409" s="4">
        <v>1</v>
      </c>
      <c r="K3409" s="4">
        <v>1</v>
      </c>
      <c r="L3409" s="4">
        <f>J3409+K3409</f>
        <v>0</v>
      </c>
      <c r="M3409" s="4"/>
      <c r="N3409" s="4"/>
      <c r="O3409" s="4">
        <v>0</v>
      </c>
      <c r="P3409" s="4"/>
      <c r="Q3409" s="4"/>
      <c r="R3409" s="7">
        <v>0</v>
      </c>
      <c r="S3409" s="7">
        <v>0</v>
      </c>
      <c r="T3409" s="7">
        <f>R3409-S3409</f>
        <v>0</v>
      </c>
      <c r="U3409" s="7">
        <f>T3409*O3409</f>
        <v>0</v>
      </c>
    </row>
    <row r="3410" spans="1:21">
      <c r="A3410" s="4" t="s">
        <v>4530</v>
      </c>
      <c r="B3410" s="4" t="s">
        <v>48</v>
      </c>
      <c r="C3410" s="5">
        <v>45966.59928240741</v>
      </c>
      <c r="D3410" s="5">
        <v>45978</v>
      </c>
      <c r="E3410" s="6">
        <f>IF(AND(C3410&lt;&gt;"",D3410&lt;&gt;""),D3410-C3410,"")</f>
        <v>0</v>
      </c>
      <c r="F3410" s="4" t="s">
        <v>64</v>
      </c>
      <c r="G3410" s="4" t="s">
        <v>4412</v>
      </c>
      <c r="H3410" s="4" t="s">
        <v>32</v>
      </c>
      <c r="I3410" s="4" t="s">
        <v>33</v>
      </c>
      <c r="J3410" s="4">
        <v>1</v>
      </c>
      <c r="K3410" s="4">
        <v>1</v>
      </c>
      <c r="L3410" s="4">
        <f>J3410+K3410</f>
        <v>0</v>
      </c>
      <c r="M3410" s="4"/>
      <c r="N3410" s="4"/>
      <c r="O3410" s="4">
        <v>0</v>
      </c>
      <c r="P3410" s="4"/>
      <c r="Q3410" s="4"/>
      <c r="R3410" s="7">
        <v>0</v>
      </c>
      <c r="S3410" s="7">
        <v>0</v>
      </c>
      <c r="T3410" s="7">
        <f>R3410-S3410</f>
        <v>0</v>
      </c>
      <c r="U3410" s="7">
        <f>T3410*O3410</f>
        <v>0</v>
      </c>
    </row>
    <row r="3411" spans="1:21">
      <c r="A3411" s="4" t="s">
        <v>4531</v>
      </c>
      <c r="B3411" s="4" t="s">
        <v>48</v>
      </c>
      <c r="C3411" s="5">
        <v>45966.68787037037</v>
      </c>
      <c r="D3411" s="5">
        <v>45971</v>
      </c>
      <c r="E3411" s="6">
        <f>IF(AND(C3411&lt;&gt;"",D3411&lt;&gt;""),D3411-C3411,"")</f>
        <v>0</v>
      </c>
      <c r="F3411" s="4" t="s">
        <v>64</v>
      </c>
      <c r="G3411" s="4" t="s">
        <v>4412</v>
      </c>
      <c r="H3411" s="4" t="s">
        <v>32</v>
      </c>
      <c r="I3411" s="4" t="s">
        <v>33</v>
      </c>
      <c r="J3411" s="4">
        <v>3</v>
      </c>
      <c r="K3411" s="4">
        <v>0</v>
      </c>
      <c r="L3411" s="4">
        <f>J3411+K3411</f>
        <v>0</v>
      </c>
      <c r="M3411" s="4"/>
      <c r="N3411" s="4"/>
      <c r="O3411" s="4">
        <v>0</v>
      </c>
      <c r="P3411" s="4"/>
      <c r="Q3411" s="4"/>
      <c r="R3411" s="7">
        <v>0</v>
      </c>
      <c r="S3411" s="7">
        <v>0</v>
      </c>
      <c r="T3411" s="7">
        <f>R3411-S3411</f>
        <v>0</v>
      </c>
      <c r="U3411" s="7">
        <f>T3411*O3411</f>
        <v>0</v>
      </c>
    </row>
    <row r="3412" spans="1:21">
      <c r="A3412" s="4" t="s">
        <v>4532</v>
      </c>
      <c r="B3412" s="4" t="s">
        <v>48</v>
      </c>
      <c r="C3412" s="5">
        <v>45966.69340277778</v>
      </c>
      <c r="D3412" s="5">
        <v>45967</v>
      </c>
      <c r="E3412" s="6">
        <f>IF(AND(C3412&lt;&gt;"",D3412&lt;&gt;""),D3412-C3412,"")</f>
        <v>0</v>
      </c>
      <c r="F3412" s="4" t="s">
        <v>64</v>
      </c>
      <c r="G3412" s="4" t="s">
        <v>4412</v>
      </c>
      <c r="H3412" s="4" t="s">
        <v>32</v>
      </c>
      <c r="I3412" s="4" t="s">
        <v>33</v>
      </c>
      <c r="J3412" s="4">
        <v>1</v>
      </c>
      <c r="K3412" s="4">
        <v>0</v>
      </c>
      <c r="L3412" s="4">
        <f>J3412+K3412</f>
        <v>0</v>
      </c>
      <c r="M3412" s="4"/>
      <c r="N3412" s="4"/>
      <c r="O3412" s="4">
        <v>0</v>
      </c>
      <c r="P3412" s="4"/>
      <c r="Q3412" s="4"/>
      <c r="R3412" s="7">
        <v>0</v>
      </c>
      <c r="S3412" s="7">
        <v>0</v>
      </c>
      <c r="T3412" s="7">
        <f>R3412-S3412</f>
        <v>0</v>
      </c>
      <c r="U3412" s="7">
        <f>T3412*O3412</f>
        <v>0</v>
      </c>
    </row>
    <row r="3413" spans="1:21">
      <c r="A3413" s="4" t="s">
        <v>4533</v>
      </c>
      <c r="B3413" s="4" t="s">
        <v>48</v>
      </c>
      <c r="C3413" s="5">
        <v>45966.75071759259</v>
      </c>
      <c r="D3413" s="5">
        <v>45977</v>
      </c>
      <c r="E3413" s="6">
        <f>IF(AND(C3413&lt;&gt;"",D3413&lt;&gt;""),D3413-C3413,"")</f>
        <v>0</v>
      </c>
      <c r="F3413" s="4" t="s">
        <v>30</v>
      </c>
      <c r="G3413" s="4" t="s">
        <v>31</v>
      </c>
      <c r="H3413" s="4" t="s">
        <v>32</v>
      </c>
      <c r="I3413" s="4" t="s">
        <v>33</v>
      </c>
      <c r="J3413" s="4">
        <v>1</v>
      </c>
      <c r="K3413" s="4">
        <v>1</v>
      </c>
      <c r="L3413" s="4">
        <f>J3413+K3413</f>
        <v>0</v>
      </c>
      <c r="M3413" s="4"/>
      <c r="N3413" s="4"/>
      <c r="O3413" s="4">
        <v>0</v>
      </c>
      <c r="P3413" s="4"/>
      <c r="Q3413" s="4"/>
      <c r="R3413" s="7">
        <v>0</v>
      </c>
      <c r="S3413" s="7">
        <v>0</v>
      </c>
      <c r="T3413" s="7">
        <f>R3413-S3413</f>
        <v>0</v>
      </c>
      <c r="U3413" s="7">
        <f>T3413*O3413</f>
        <v>0</v>
      </c>
    </row>
    <row r="3414" spans="1:21">
      <c r="A3414" s="4" t="s">
        <v>4534</v>
      </c>
      <c r="B3414" s="4" t="s">
        <v>48</v>
      </c>
      <c r="C3414" s="5">
        <v>45966.77951388889</v>
      </c>
      <c r="D3414" s="5">
        <v>45981</v>
      </c>
      <c r="E3414" s="6">
        <f>IF(AND(C3414&lt;&gt;"",D3414&lt;&gt;""),D3414-C3414,"")</f>
        <v>0</v>
      </c>
      <c r="F3414" s="4" t="s">
        <v>64</v>
      </c>
      <c r="G3414" s="4" t="s">
        <v>4412</v>
      </c>
      <c r="H3414" s="4" t="s">
        <v>32</v>
      </c>
      <c r="I3414" s="4" t="s">
        <v>33</v>
      </c>
      <c r="J3414" s="4">
        <v>1</v>
      </c>
      <c r="K3414" s="4">
        <v>0</v>
      </c>
      <c r="L3414" s="4">
        <f>J3414+K3414</f>
        <v>0</v>
      </c>
      <c r="M3414" s="4"/>
      <c r="N3414" s="4"/>
      <c r="O3414" s="4">
        <v>0</v>
      </c>
      <c r="P3414" s="4"/>
      <c r="Q3414" s="4"/>
      <c r="R3414" s="7">
        <v>0</v>
      </c>
      <c r="S3414" s="7">
        <v>0</v>
      </c>
      <c r="T3414" s="7">
        <f>R3414-S3414</f>
        <v>0</v>
      </c>
      <c r="U3414" s="7">
        <f>T3414*O3414</f>
        <v>0</v>
      </c>
    </row>
    <row r="3415" spans="1:21">
      <c r="A3415" s="4" t="s">
        <v>4535</v>
      </c>
      <c r="B3415" s="4" t="s">
        <v>48</v>
      </c>
      <c r="C3415" s="5">
        <v>45967.14143518519</v>
      </c>
      <c r="D3415" s="5">
        <v>45971</v>
      </c>
      <c r="E3415" s="6">
        <f>IF(AND(C3415&lt;&gt;"",D3415&lt;&gt;""),D3415-C3415,"")</f>
        <v>0</v>
      </c>
      <c r="F3415" s="4" t="s">
        <v>30</v>
      </c>
      <c r="G3415" s="4" t="s">
        <v>31</v>
      </c>
      <c r="H3415" s="4" t="s">
        <v>32</v>
      </c>
      <c r="I3415" s="4" t="s">
        <v>33</v>
      </c>
      <c r="J3415" s="4">
        <v>1</v>
      </c>
      <c r="K3415" s="4">
        <v>1</v>
      </c>
      <c r="L3415" s="4">
        <f>J3415+K3415</f>
        <v>0</v>
      </c>
      <c r="M3415" s="4"/>
      <c r="N3415" s="4"/>
      <c r="O3415" s="4">
        <v>0</v>
      </c>
      <c r="P3415" s="4"/>
      <c r="Q3415" s="4"/>
      <c r="R3415" s="7">
        <v>0</v>
      </c>
      <c r="S3415" s="7">
        <v>0</v>
      </c>
      <c r="T3415" s="7">
        <f>R3415-S3415</f>
        <v>0</v>
      </c>
      <c r="U3415" s="7">
        <f>T3415*O3415</f>
        <v>0</v>
      </c>
    </row>
    <row r="3416" spans="1:21">
      <c r="A3416" s="4" t="s">
        <v>4536</v>
      </c>
      <c r="B3416" s="4" t="s">
        <v>48</v>
      </c>
      <c r="C3416" s="5">
        <v>45967.17709490741</v>
      </c>
      <c r="D3416" s="5">
        <v>45971</v>
      </c>
      <c r="E3416" s="6">
        <f>IF(AND(C3416&lt;&gt;"",D3416&lt;&gt;""),D3416-C3416,"")</f>
        <v>0</v>
      </c>
      <c r="F3416" s="4" t="s">
        <v>64</v>
      </c>
      <c r="G3416" s="4" t="s">
        <v>4412</v>
      </c>
      <c r="H3416" s="4" t="s">
        <v>32</v>
      </c>
      <c r="I3416" s="4" t="s">
        <v>33</v>
      </c>
      <c r="J3416" s="4">
        <v>2</v>
      </c>
      <c r="K3416" s="4">
        <v>2</v>
      </c>
      <c r="L3416" s="4">
        <f>J3416+K3416</f>
        <v>0</v>
      </c>
      <c r="M3416" s="4"/>
      <c r="N3416" s="4"/>
      <c r="O3416" s="4">
        <v>0</v>
      </c>
      <c r="P3416" s="4"/>
      <c r="Q3416" s="4"/>
      <c r="R3416" s="7">
        <v>0</v>
      </c>
      <c r="S3416" s="7">
        <v>0</v>
      </c>
      <c r="T3416" s="7">
        <f>R3416-S3416</f>
        <v>0</v>
      </c>
      <c r="U3416" s="7">
        <f>T3416*O3416</f>
        <v>0</v>
      </c>
    </row>
    <row r="3417" spans="1:21">
      <c r="A3417" s="4" t="s">
        <v>4537</v>
      </c>
      <c r="B3417" s="4" t="s">
        <v>39</v>
      </c>
      <c r="C3417" s="5">
        <v>45967.2983912037</v>
      </c>
      <c r="D3417" s="5">
        <v>45967</v>
      </c>
      <c r="E3417" s="6">
        <f>IF(AND(C3417&lt;&gt;"",D3417&lt;&gt;""),D3417-C3417,"")</f>
        <v>0</v>
      </c>
      <c r="F3417" s="4" t="s">
        <v>4538</v>
      </c>
      <c r="G3417" s="4" t="s">
        <v>4539</v>
      </c>
      <c r="H3417" s="4" t="s">
        <v>32</v>
      </c>
      <c r="I3417" s="4" t="s">
        <v>33</v>
      </c>
      <c r="J3417" s="4">
        <v>0</v>
      </c>
      <c r="K3417" s="4">
        <v>0</v>
      </c>
      <c r="L3417" s="4">
        <f>J3417+K3417</f>
        <v>0</v>
      </c>
      <c r="M3417" s="4" t="s">
        <v>4540</v>
      </c>
      <c r="N3417" s="4"/>
      <c r="O3417" s="4">
        <v>1</v>
      </c>
      <c r="P3417" s="4" t="s">
        <v>135</v>
      </c>
      <c r="Q3417" s="4"/>
      <c r="R3417" s="7">
        <v>58000</v>
      </c>
      <c r="S3417" s="7">
        <v>0</v>
      </c>
      <c r="T3417" s="7">
        <f>R3417-S3417</f>
        <v>0</v>
      </c>
      <c r="U3417" s="7">
        <f>T3417*O3417</f>
        <v>0</v>
      </c>
    </row>
    <row r="3418" spans="1:21">
      <c r="A3418" s="4" t="s">
        <v>4537</v>
      </c>
      <c r="B3418" s="4" t="s">
        <v>39</v>
      </c>
      <c r="C3418" s="5">
        <v>45967.2983912037</v>
      </c>
      <c r="D3418" s="5">
        <v>45967</v>
      </c>
      <c r="E3418" s="6">
        <f>IF(AND(C3418&lt;&gt;"",D3418&lt;&gt;""),D3418-C3418,"")</f>
        <v>0</v>
      </c>
      <c r="F3418" s="4" t="s">
        <v>4538</v>
      </c>
      <c r="G3418" s="4" t="s">
        <v>4539</v>
      </c>
      <c r="H3418" s="4" t="s">
        <v>32</v>
      </c>
      <c r="I3418" s="4" t="s">
        <v>33</v>
      </c>
      <c r="J3418" s="4">
        <v>0</v>
      </c>
      <c r="K3418" s="4">
        <v>0</v>
      </c>
      <c r="L3418" s="4">
        <f>J3418+K3418</f>
        <v>0</v>
      </c>
      <c r="M3418" s="4" t="s">
        <v>4541</v>
      </c>
      <c r="N3418" s="4"/>
      <c r="O3418" s="4">
        <v>1</v>
      </c>
      <c r="P3418" s="4" t="s">
        <v>135</v>
      </c>
      <c r="Q3418" s="4"/>
      <c r="R3418" s="7">
        <v>40000</v>
      </c>
      <c r="S3418" s="7">
        <v>0</v>
      </c>
      <c r="T3418" s="7">
        <f>R3418-S3418</f>
        <v>0</v>
      </c>
      <c r="U3418" s="7">
        <f>T3418*O3418</f>
        <v>0</v>
      </c>
    </row>
    <row r="3419" spans="1:21">
      <c r="A3419" s="4" t="s">
        <v>4542</v>
      </c>
      <c r="B3419" s="4" t="s">
        <v>48</v>
      </c>
      <c r="C3419" s="5">
        <v>45967.30508101852</v>
      </c>
      <c r="D3419" s="5">
        <v>45971</v>
      </c>
      <c r="E3419" s="6">
        <f>IF(AND(C3419&lt;&gt;"",D3419&lt;&gt;""),D3419-C3419,"")</f>
        <v>0</v>
      </c>
      <c r="F3419" s="4" t="s">
        <v>64</v>
      </c>
      <c r="G3419" s="4" t="s">
        <v>4412</v>
      </c>
      <c r="H3419" s="4" t="s">
        <v>32</v>
      </c>
      <c r="I3419" s="4" t="s">
        <v>33</v>
      </c>
      <c r="J3419" s="4">
        <v>1</v>
      </c>
      <c r="K3419" s="4">
        <v>1</v>
      </c>
      <c r="L3419" s="4">
        <f>J3419+K3419</f>
        <v>0</v>
      </c>
      <c r="M3419" s="4"/>
      <c r="N3419" s="4"/>
      <c r="O3419" s="4">
        <v>0</v>
      </c>
      <c r="P3419" s="4"/>
      <c r="Q3419" s="4"/>
      <c r="R3419" s="7">
        <v>0</v>
      </c>
      <c r="S3419" s="7">
        <v>0</v>
      </c>
      <c r="T3419" s="7">
        <f>R3419-S3419</f>
        <v>0</v>
      </c>
      <c r="U3419" s="7">
        <f>T3419*O3419</f>
        <v>0</v>
      </c>
    </row>
    <row r="3420" spans="1:21">
      <c r="A3420" s="4" t="s">
        <v>4543</v>
      </c>
      <c r="B3420" s="4" t="s">
        <v>48</v>
      </c>
      <c r="C3420" s="5">
        <v>45967.42168981482</v>
      </c>
      <c r="D3420" s="5">
        <v>45971</v>
      </c>
      <c r="E3420" s="6">
        <f>IF(AND(C3420&lt;&gt;"",D3420&lt;&gt;""),D3420-C3420,"")</f>
        <v>0</v>
      </c>
      <c r="F3420" s="4" t="s">
        <v>64</v>
      </c>
      <c r="G3420" s="4" t="s">
        <v>4412</v>
      </c>
      <c r="H3420" s="4" t="s">
        <v>32</v>
      </c>
      <c r="I3420" s="4" t="s">
        <v>33</v>
      </c>
      <c r="J3420" s="4">
        <v>1</v>
      </c>
      <c r="K3420" s="4">
        <v>1</v>
      </c>
      <c r="L3420" s="4">
        <f>J3420+K3420</f>
        <v>0</v>
      </c>
      <c r="M3420" s="4"/>
      <c r="N3420" s="4"/>
      <c r="O3420" s="4">
        <v>0</v>
      </c>
      <c r="P3420" s="4"/>
      <c r="Q3420" s="4"/>
      <c r="R3420" s="7">
        <v>0</v>
      </c>
      <c r="S3420" s="7">
        <v>0</v>
      </c>
      <c r="T3420" s="7">
        <f>R3420-S3420</f>
        <v>0</v>
      </c>
      <c r="U3420" s="7">
        <f>T3420*O3420</f>
        <v>0</v>
      </c>
    </row>
    <row r="3421" spans="1:21">
      <c r="A3421" s="4" t="s">
        <v>4544</v>
      </c>
      <c r="B3421" s="4" t="s">
        <v>48</v>
      </c>
      <c r="C3421" s="5">
        <v>45967.42304398148</v>
      </c>
      <c r="D3421" s="5">
        <v>45979</v>
      </c>
      <c r="E3421" s="6">
        <f>IF(AND(C3421&lt;&gt;"",D3421&lt;&gt;""),D3421-C3421,"")</f>
        <v>0</v>
      </c>
      <c r="F3421" s="4" t="s">
        <v>64</v>
      </c>
      <c r="G3421" s="4" t="s">
        <v>4412</v>
      </c>
      <c r="H3421" s="4" t="s">
        <v>32</v>
      </c>
      <c r="I3421" s="4" t="s">
        <v>33</v>
      </c>
      <c r="J3421" s="4">
        <v>1</v>
      </c>
      <c r="K3421" s="4">
        <v>1</v>
      </c>
      <c r="L3421" s="4">
        <f>J3421+K3421</f>
        <v>0</v>
      </c>
      <c r="M3421" s="4"/>
      <c r="N3421" s="4"/>
      <c r="O3421" s="4">
        <v>0</v>
      </c>
      <c r="P3421" s="4"/>
      <c r="Q3421" s="4"/>
      <c r="R3421" s="7">
        <v>0</v>
      </c>
      <c r="S3421" s="7">
        <v>0</v>
      </c>
      <c r="T3421" s="7">
        <f>R3421-S3421</f>
        <v>0</v>
      </c>
      <c r="U3421" s="7">
        <f>T3421*O3421</f>
        <v>0</v>
      </c>
    </row>
    <row r="3422" spans="1:21">
      <c r="A3422" s="4" t="s">
        <v>4545</v>
      </c>
      <c r="B3422" s="4" t="s">
        <v>39</v>
      </c>
      <c r="C3422" s="5">
        <v>45967.59133101852</v>
      </c>
      <c r="D3422" s="5">
        <v>45967</v>
      </c>
      <c r="E3422" s="6">
        <f>IF(AND(C3422&lt;&gt;"",D3422&lt;&gt;""),D3422-C3422,"")</f>
        <v>0</v>
      </c>
      <c r="F3422" s="4" t="s">
        <v>114</v>
      </c>
      <c r="G3422" s="4"/>
      <c r="H3422" s="4"/>
      <c r="I3422" s="4" t="s">
        <v>56</v>
      </c>
      <c r="J3422" s="4">
        <v>1</v>
      </c>
      <c r="K3422" s="4">
        <v>0</v>
      </c>
      <c r="L3422" s="4">
        <f>J3422+K3422</f>
        <v>0</v>
      </c>
      <c r="M3422" s="4" t="s">
        <v>80</v>
      </c>
      <c r="N3422" s="4"/>
      <c r="O3422" s="4">
        <v>1</v>
      </c>
      <c r="P3422" s="4" t="s">
        <v>135</v>
      </c>
      <c r="Q3422" s="4" t="s">
        <v>44</v>
      </c>
      <c r="R3422" s="7">
        <v>610000</v>
      </c>
      <c r="S3422" s="7">
        <v>0</v>
      </c>
      <c r="T3422" s="7">
        <f>R3422-S3422</f>
        <v>0</v>
      </c>
      <c r="U3422" s="7">
        <f>T3422*O3422</f>
        <v>0</v>
      </c>
    </row>
    <row r="3423" spans="1:21">
      <c r="A3423" s="4" t="s">
        <v>4545</v>
      </c>
      <c r="B3423" s="4" t="s">
        <v>39</v>
      </c>
      <c r="C3423" s="5">
        <v>45967.59133101852</v>
      </c>
      <c r="D3423" s="5">
        <v>45967</v>
      </c>
      <c r="E3423" s="6">
        <f>IF(AND(C3423&lt;&gt;"",D3423&lt;&gt;""),D3423-C3423,"")</f>
        <v>0</v>
      </c>
      <c r="F3423" s="4" t="s">
        <v>114</v>
      </c>
      <c r="G3423" s="4"/>
      <c r="H3423" s="4"/>
      <c r="I3423" s="4" t="s">
        <v>56</v>
      </c>
      <c r="J3423" s="4">
        <v>1</v>
      </c>
      <c r="K3423" s="4">
        <v>0</v>
      </c>
      <c r="L3423" s="4">
        <f>J3423+K3423</f>
        <v>0</v>
      </c>
      <c r="M3423" s="4" t="s">
        <v>80</v>
      </c>
      <c r="N3423" s="4"/>
      <c r="O3423" s="4">
        <v>1</v>
      </c>
      <c r="P3423" s="4" t="s">
        <v>135</v>
      </c>
      <c r="Q3423" s="4" t="s">
        <v>44</v>
      </c>
      <c r="R3423" s="7">
        <v>610000</v>
      </c>
      <c r="S3423" s="7">
        <v>0</v>
      </c>
      <c r="T3423" s="7">
        <f>R3423-S3423</f>
        <v>0</v>
      </c>
      <c r="U3423" s="7">
        <f>T3423*O3423</f>
        <v>0</v>
      </c>
    </row>
    <row r="3424" spans="1:21">
      <c r="A3424" s="4" t="s">
        <v>4545</v>
      </c>
      <c r="B3424" s="4" t="s">
        <v>39</v>
      </c>
      <c r="C3424" s="5">
        <v>45967.59133101852</v>
      </c>
      <c r="D3424" s="5">
        <v>45967</v>
      </c>
      <c r="E3424" s="6">
        <f>IF(AND(C3424&lt;&gt;"",D3424&lt;&gt;""),D3424-C3424,"")</f>
        <v>0</v>
      </c>
      <c r="F3424" s="4" t="s">
        <v>114</v>
      </c>
      <c r="G3424" s="4"/>
      <c r="H3424" s="4"/>
      <c r="I3424" s="4" t="s">
        <v>56</v>
      </c>
      <c r="J3424" s="4">
        <v>1</v>
      </c>
      <c r="K3424" s="4">
        <v>0</v>
      </c>
      <c r="L3424" s="4">
        <f>J3424+K3424</f>
        <v>0</v>
      </c>
      <c r="M3424" s="4" t="s">
        <v>80</v>
      </c>
      <c r="N3424" s="4"/>
      <c r="O3424" s="4">
        <v>1</v>
      </c>
      <c r="P3424" s="4" t="s">
        <v>135</v>
      </c>
      <c r="Q3424" s="4" t="s">
        <v>44</v>
      </c>
      <c r="R3424" s="7">
        <v>610000</v>
      </c>
      <c r="S3424" s="7">
        <v>0</v>
      </c>
      <c r="T3424" s="7">
        <f>R3424-S3424</f>
        <v>0</v>
      </c>
      <c r="U3424" s="7">
        <f>T3424*O3424</f>
        <v>0</v>
      </c>
    </row>
    <row r="3425" spans="1:21">
      <c r="A3425" s="4" t="s">
        <v>4546</v>
      </c>
      <c r="B3425" s="4" t="s">
        <v>48</v>
      </c>
      <c r="C3425" s="5">
        <v>45967.61084490741</v>
      </c>
      <c r="D3425" s="5">
        <v>45971</v>
      </c>
      <c r="E3425" s="6">
        <f>IF(AND(C3425&lt;&gt;"",D3425&lt;&gt;""),D3425-C3425,"")</f>
        <v>0</v>
      </c>
      <c r="F3425" s="4" t="s">
        <v>64</v>
      </c>
      <c r="G3425" s="4" t="s">
        <v>4412</v>
      </c>
      <c r="H3425" s="4" t="s">
        <v>32</v>
      </c>
      <c r="I3425" s="4" t="s">
        <v>33</v>
      </c>
      <c r="J3425" s="4">
        <v>1</v>
      </c>
      <c r="K3425" s="4">
        <v>1</v>
      </c>
      <c r="L3425" s="4">
        <f>J3425+K3425</f>
        <v>0</v>
      </c>
      <c r="M3425" s="4"/>
      <c r="N3425" s="4"/>
      <c r="O3425" s="4">
        <v>0</v>
      </c>
      <c r="P3425" s="4"/>
      <c r="Q3425" s="4"/>
      <c r="R3425" s="7">
        <v>0</v>
      </c>
      <c r="S3425" s="7">
        <v>0</v>
      </c>
      <c r="T3425" s="7">
        <f>R3425-S3425</f>
        <v>0</v>
      </c>
      <c r="U3425" s="7">
        <f>T3425*O3425</f>
        <v>0</v>
      </c>
    </row>
    <row r="3426" spans="1:21">
      <c r="A3426" s="4" t="s">
        <v>4547</v>
      </c>
      <c r="B3426" s="4" t="s">
        <v>39</v>
      </c>
      <c r="C3426" s="5">
        <v>45967.63893518518</v>
      </c>
      <c r="D3426" s="5">
        <v>45967</v>
      </c>
      <c r="E3426" s="6">
        <f>IF(AND(C3426&lt;&gt;"",D3426&lt;&gt;""),D3426-C3426,"")</f>
        <v>0</v>
      </c>
      <c r="F3426" s="4" t="s">
        <v>3081</v>
      </c>
      <c r="G3426" s="4" t="s">
        <v>3082</v>
      </c>
      <c r="H3426" s="4" t="s">
        <v>32</v>
      </c>
      <c r="I3426" s="4" t="s">
        <v>33</v>
      </c>
      <c r="J3426" s="4">
        <v>1</v>
      </c>
      <c r="K3426" s="4">
        <v>0</v>
      </c>
      <c r="L3426" s="4">
        <f>J3426+K3426</f>
        <v>0</v>
      </c>
      <c r="M3426" s="4" t="s">
        <v>80</v>
      </c>
      <c r="N3426" s="4"/>
      <c r="O3426" s="4">
        <v>1</v>
      </c>
      <c r="P3426" s="4" t="s">
        <v>135</v>
      </c>
      <c r="Q3426" s="4" t="s">
        <v>44</v>
      </c>
      <c r="R3426" s="7">
        <v>610000</v>
      </c>
      <c r="S3426" s="7">
        <v>0</v>
      </c>
      <c r="T3426" s="7">
        <f>R3426-S3426</f>
        <v>0</v>
      </c>
      <c r="U3426" s="7">
        <f>T3426*O3426</f>
        <v>0</v>
      </c>
    </row>
    <row r="3427" spans="1:21">
      <c r="A3427" s="4" t="s">
        <v>4547</v>
      </c>
      <c r="B3427" s="4" t="s">
        <v>39</v>
      </c>
      <c r="C3427" s="5">
        <v>45967.63893518518</v>
      </c>
      <c r="D3427" s="5">
        <v>45967</v>
      </c>
      <c r="E3427" s="6">
        <f>IF(AND(C3427&lt;&gt;"",D3427&lt;&gt;""),D3427-C3427,"")</f>
        <v>0</v>
      </c>
      <c r="F3427" s="4" t="s">
        <v>3081</v>
      </c>
      <c r="G3427" s="4" t="s">
        <v>3082</v>
      </c>
      <c r="H3427" s="4" t="s">
        <v>32</v>
      </c>
      <c r="I3427" s="4" t="s">
        <v>33</v>
      </c>
      <c r="J3427" s="4">
        <v>0</v>
      </c>
      <c r="K3427" s="4">
        <v>1</v>
      </c>
      <c r="L3427" s="4">
        <f>J3427+K3427</f>
        <v>0</v>
      </c>
      <c r="M3427" s="4" t="s">
        <v>46</v>
      </c>
      <c r="N3427" s="4"/>
      <c r="O3427" s="4">
        <v>1</v>
      </c>
      <c r="P3427" s="4" t="s">
        <v>135</v>
      </c>
      <c r="Q3427" s="4" t="s">
        <v>44</v>
      </c>
      <c r="R3427" s="7">
        <v>325000</v>
      </c>
      <c r="S3427" s="7">
        <v>0</v>
      </c>
      <c r="T3427" s="7">
        <f>R3427-S3427</f>
        <v>0</v>
      </c>
      <c r="U3427" s="7">
        <f>T3427*O3427</f>
        <v>0</v>
      </c>
    </row>
    <row r="3428" spans="1:21">
      <c r="A3428" s="4" t="s">
        <v>4548</v>
      </c>
      <c r="B3428" s="4" t="s">
        <v>48</v>
      </c>
      <c r="C3428" s="5">
        <v>45968.16855324074</v>
      </c>
      <c r="D3428" s="5">
        <v>45971</v>
      </c>
      <c r="E3428" s="6">
        <f>IF(AND(C3428&lt;&gt;"",D3428&lt;&gt;""),D3428-C3428,"")</f>
        <v>0</v>
      </c>
      <c r="F3428" s="4" t="s">
        <v>64</v>
      </c>
      <c r="G3428" s="4" t="s">
        <v>4412</v>
      </c>
      <c r="H3428" s="4" t="s">
        <v>32</v>
      </c>
      <c r="I3428" s="4" t="s">
        <v>33</v>
      </c>
      <c r="J3428" s="4">
        <v>8</v>
      </c>
      <c r="K3428" s="4">
        <v>6</v>
      </c>
      <c r="L3428" s="4">
        <f>J3428+K3428</f>
        <v>0</v>
      </c>
      <c r="M3428" s="4"/>
      <c r="N3428" s="4"/>
      <c r="O3428" s="4">
        <v>0</v>
      </c>
      <c r="P3428" s="4"/>
      <c r="Q3428" s="4"/>
      <c r="R3428" s="7">
        <v>0</v>
      </c>
      <c r="S3428" s="7">
        <v>0</v>
      </c>
      <c r="T3428" s="7">
        <f>R3428-S3428</f>
        <v>0</v>
      </c>
      <c r="U3428" s="7">
        <f>T3428*O3428</f>
        <v>0</v>
      </c>
    </row>
    <row r="3429" spans="1:21">
      <c r="A3429" s="4" t="s">
        <v>4549</v>
      </c>
      <c r="B3429" s="4" t="s">
        <v>48</v>
      </c>
      <c r="C3429" s="5">
        <v>45968.17079861111</v>
      </c>
      <c r="D3429" s="5">
        <v>45971</v>
      </c>
      <c r="E3429" s="6">
        <f>IF(AND(C3429&lt;&gt;"",D3429&lt;&gt;""),D3429-C3429,"")</f>
        <v>0</v>
      </c>
      <c r="F3429" s="4" t="s">
        <v>64</v>
      </c>
      <c r="G3429" s="4" t="s">
        <v>4412</v>
      </c>
      <c r="H3429" s="4" t="s">
        <v>32</v>
      </c>
      <c r="I3429" s="4" t="s">
        <v>33</v>
      </c>
      <c r="J3429" s="4">
        <v>1</v>
      </c>
      <c r="K3429" s="4">
        <v>1</v>
      </c>
      <c r="L3429" s="4">
        <f>J3429+K3429</f>
        <v>0</v>
      </c>
      <c r="M3429" s="4"/>
      <c r="N3429" s="4"/>
      <c r="O3429" s="4">
        <v>0</v>
      </c>
      <c r="P3429" s="4"/>
      <c r="Q3429" s="4"/>
      <c r="R3429" s="7">
        <v>0</v>
      </c>
      <c r="S3429" s="7">
        <v>0</v>
      </c>
      <c r="T3429" s="7">
        <f>R3429-S3429</f>
        <v>0</v>
      </c>
      <c r="U3429" s="7">
        <f>T3429*O3429</f>
        <v>0</v>
      </c>
    </row>
    <row r="3430" spans="1:21">
      <c r="A3430" s="4" t="s">
        <v>4550</v>
      </c>
      <c r="B3430" s="4" t="s">
        <v>29</v>
      </c>
      <c r="C3430" s="5">
        <v>45968.36918981482</v>
      </c>
      <c r="D3430" s="5">
        <v>45968</v>
      </c>
      <c r="E3430" s="6">
        <f>IF(AND(C3430&lt;&gt;"",D3430&lt;&gt;""),D3430-C3430,"")</f>
        <v>0</v>
      </c>
      <c r="F3430" s="4" t="s">
        <v>672</v>
      </c>
      <c r="G3430" s="4" t="s">
        <v>673</v>
      </c>
      <c r="H3430" s="4"/>
      <c r="I3430" s="4" t="s">
        <v>56</v>
      </c>
      <c r="J3430" s="4">
        <v>2</v>
      </c>
      <c r="K3430" s="4">
        <v>1</v>
      </c>
      <c r="L3430" s="4">
        <f>J3430+K3430</f>
        <v>0</v>
      </c>
      <c r="M3430" s="4"/>
      <c r="N3430" s="4"/>
      <c r="O3430" s="4">
        <v>0</v>
      </c>
      <c r="P3430" s="4"/>
      <c r="Q3430" s="4"/>
      <c r="R3430" s="7">
        <v>0</v>
      </c>
      <c r="S3430" s="7">
        <v>0</v>
      </c>
      <c r="T3430" s="7">
        <f>R3430-S3430</f>
        <v>0</v>
      </c>
      <c r="U3430" s="7">
        <f>T3430*O3430</f>
        <v>0</v>
      </c>
    </row>
    <row r="3431" spans="1:21">
      <c r="A3431" s="4" t="s">
        <v>4551</v>
      </c>
      <c r="B3431" s="4" t="s">
        <v>39</v>
      </c>
      <c r="C3431" s="5">
        <v>45968.62427083333</v>
      </c>
      <c r="D3431" s="5">
        <v>45968</v>
      </c>
      <c r="E3431" s="6">
        <f>IF(AND(C3431&lt;&gt;"",D3431&lt;&gt;""),D3431-C3431,"")</f>
        <v>0</v>
      </c>
      <c r="F3431" s="4" t="s">
        <v>4552</v>
      </c>
      <c r="G3431" s="4" t="s">
        <v>4553</v>
      </c>
      <c r="H3431" s="4" t="s">
        <v>32</v>
      </c>
      <c r="I3431" s="4" t="s">
        <v>33</v>
      </c>
      <c r="J3431" s="4">
        <v>1</v>
      </c>
      <c r="K3431" s="4">
        <v>0</v>
      </c>
      <c r="L3431" s="4">
        <f>J3431+K3431</f>
        <v>0</v>
      </c>
      <c r="M3431" s="4" t="s">
        <v>80</v>
      </c>
      <c r="N3431" s="4"/>
      <c r="O3431" s="4">
        <v>1</v>
      </c>
      <c r="P3431" s="4" t="s">
        <v>135</v>
      </c>
      <c r="Q3431" s="4" t="s">
        <v>44</v>
      </c>
      <c r="R3431" s="7">
        <v>610000</v>
      </c>
      <c r="S3431" s="7">
        <v>0</v>
      </c>
      <c r="T3431" s="7">
        <f>R3431-S3431</f>
        <v>0</v>
      </c>
      <c r="U3431" s="7">
        <f>T3431*O3431</f>
        <v>0</v>
      </c>
    </row>
    <row r="3432" spans="1:21">
      <c r="A3432" s="4" t="s">
        <v>4554</v>
      </c>
      <c r="B3432" s="4" t="s">
        <v>39</v>
      </c>
      <c r="C3432" s="5">
        <v>45970.02457175926</v>
      </c>
      <c r="D3432" s="5">
        <v>45970</v>
      </c>
      <c r="E3432" s="6">
        <f>IF(AND(C3432&lt;&gt;"",D3432&lt;&gt;""),D3432-C3432,"")</f>
        <v>0</v>
      </c>
      <c r="F3432" s="4" t="s">
        <v>2163</v>
      </c>
      <c r="G3432" s="4" t="s">
        <v>4555</v>
      </c>
      <c r="H3432" s="4" t="s">
        <v>32</v>
      </c>
      <c r="I3432" s="4" t="s">
        <v>33</v>
      </c>
      <c r="J3432" s="4">
        <v>0</v>
      </c>
      <c r="K3432" s="4">
        <v>0</v>
      </c>
      <c r="L3432" s="4">
        <f>J3432+K3432</f>
        <v>0</v>
      </c>
      <c r="M3432" s="4" t="s">
        <v>370</v>
      </c>
      <c r="N3432" s="4"/>
      <c r="O3432" s="4">
        <v>1</v>
      </c>
      <c r="P3432" s="4" t="s">
        <v>135</v>
      </c>
      <c r="Q3432" s="4"/>
      <c r="R3432" s="7">
        <v>10000000</v>
      </c>
      <c r="S3432" s="7">
        <v>0</v>
      </c>
      <c r="T3432" s="7">
        <f>R3432-S3432</f>
        <v>0</v>
      </c>
      <c r="U3432" s="7">
        <f>T3432*O3432</f>
        <v>0</v>
      </c>
    </row>
    <row r="3433" spans="1:21">
      <c r="A3433" s="4" t="s">
        <v>4556</v>
      </c>
      <c r="B3433" s="4" t="s">
        <v>39</v>
      </c>
      <c r="C3433" s="5">
        <v>45970.02587962963</v>
      </c>
      <c r="D3433" s="5">
        <v>45970</v>
      </c>
      <c r="E3433" s="6">
        <f>IF(AND(C3433&lt;&gt;"",D3433&lt;&gt;""),D3433-C3433,"")</f>
        <v>0</v>
      </c>
      <c r="F3433" s="4" t="s">
        <v>2163</v>
      </c>
      <c r="G3433" s="4" t="s">
        <v>4557</v>
      </c>
      <c r="H3433" s="4" t="s">
        <v>32</v>
      </c>
      <c r="I3433" s="4" t="s">
        <v>33</v>
      </c>
      <c r="J3433" s="4">
        <v>0</v>
      </c>
      <c r="K3433" s="4">
        <v>0</v>
      </c>
      <c r="L3433" s="4">
        <f>J3433+K3433</f>
        <v>0</v>
      </c>
      <c r="M3433" s="4" t="s">
        <v>370</v>
      </c>
      <c r="N3433" s="4"/>
      <c r="O3433" s="4">
        <v>1</v>
      </c>
      <c r="P3433" s="4" t="s">
        <v>135</v>
      </c>
      <c r="Q3433" s="4"/>
      <c r="R3433" s="7">
        <v>10000000</v>
      </c>
      <c r="S3433" s="7">
        <v>0</v>
      </c>
      <c r="T3433" s="7">
        <f>R3433-S3433</f>
        <v>0</v>
      </c>
      <c r="U3433" s="7">
        <f>T3433*O3433</f>
        <v>0</v>
      </c>
    </row>
    <row r="3434" spans="1:21">
      <c r="A3434" s="4" t="s">
        <v>4558</v>
      </c>
      <c r="B3434" s="4" t="s">
        <v>39</v>
      </c>
      <c r="C3434" s="5">
        <v>45970.02797453704</v>
      </c>
      <c r="D3434" s="5">
        <v>45970</v>
      </c>
      <c r="E3434" s="6">
        <f>IF(AND(C3434&lt;&gt;"",D3434&lt;&gt;""),D3434-C3434,"")</f>
        <v>0</v>
      </c>
      <c r="F3434" s="4" t="s">
        <v>2163</v>
      </c>
      <c r="G3434" s="4" t="s">
        <v>4559</v>
      </c>
      <c r="H3434" s="4" t="s">
        <v>32</v>
      </c>
      <c r="I3434" s="4" t="s">
        <v>33</v>
      </c>
      <c r="J3434" s="4">
        <v>0</v>
      </c>
      <c r="K3434" s="4">
        <v>0</v>
      </c>
      <c r="L3434" s="4">
        <f>J3434+K3434</f>
        <v>0</v>
      </c>
      <c r="M3434" s="4" t="s">
        <v>370</v>
      </c>
      <c r="N3434" s="4"/>
      <c r="O3434" s="4">
        <v>1</v>
      </c>
      <c r="P3434" s="4" t="s">
        <v>135</v>
      </c>
      <c r="Q3434" s="4"/>
      <c r="R3434" s="7">
        <v>10000000</v>
      </c>
      <c r="S3434" s="7">
        <v>0</v>
      </c>
      <c r="T3434" s="7">
        <f>R3434-S3434</f>
        <v>0</v>
      </c>
      <c r="U3434" s="7">
        <f>T3434*O3434</f>
        <v>0</v>
      </c>
    </row>
    <row r="3435" spans="1:21">
      <c r="A3435" s="4" t="s">
        <v>4560</v>
      </c>
      <c r="B3435" s="4" t="s">
        <v>39</v>
      </c>
      <c r="C3435" s="5">
        <v>45970.03244212963</v>
      </c>
      <c r="D3435" s="5">
        <v>45970</v>
      </c>
      <c r="E3435" s="6">
        <f>IF(AND(C3435&lt;&gt;"",D3435&lt;&gt;""),D3435-C3435,"")</f>
        <v>0</v>
      </c>
      <c r="F3435" s="4" t="s">
        <v>4561</v>
      </c>
      <c r="G3435" s="4" t="s">
        <v>4562</v>
      </c>
      <c r="H3435" s="4" t="s">
        <v>32</v>
      </c>
      <c r="I3435" s="4" t="s">
        <v>33</v>
      </c>
      <c r="J3435" s="4">
        <v>0</v>
      </c>
      <c r="K3435" s="4">
        <v>0</v>
      </c>
      <c r="L3435" s="4">
        <f>J3435+K3435</f>
        <v>0</v>
      </c>
      <c r="M3435" s="4" t="s">
        <v>370</v>
      </c>
      <c r="N3435" s="4"/>
      <c r="O3435" s="4">
        <v>1</v>
      </c>
      <c r="P3435" s="4" t="s">
        <v>135</v>
      </c>
      <c r="Q3435" s="4" t="s">
        <v>44</v>
      </c>
      <c r="R3435" s="7">
        <v>10000000</v>
      </c>
      <c r="S3435" s="7">
        <v>0</v>
      </c>
      <c r="T3435" s="7">
        <f>R3435-S3435</f>
        <v>0</v>
      </c>
      <c r="U3435" s="7">
        <f>T3435*O3435</f>
        <v>0</v>
      </c>
    </row>
    <row r="3436" spans="1:21">
      <c r="A3436" s="4" t="s">
        <v>4563</v>
      </c>
      <c r="B3436" s="4" t="s">
        <v>39</v>
      </c>
      <c r="C3436" s="5">
        <v>45970.03302083333</v>
      </c>
      <c r="D3436" s="5">
        <v>45970</v>
      </c>
      <c r="E3436" s="6">
        <f>IF(AND(C3436&lt;&gt;"",D3436&lt;&gt;""),D3436-C3436,"")</f>
        <v>0</v>
      </c>
      <c r="F3436" s="4" t="s">
        <v>4561</v>
      </c>
      <c r="G3436" s="4" t="s">
        <v>4564</v>
      </c>
      <c r="H3436" s="4" t="s">
        <v>32</v>
      </c>
      <c r="I3436" s="4" t="s">
        <v>33</v>
      </c>
      <c r="J3436" s="4">
        <v>0</v>
      </c>
      <c r="K3436" s="4">
        <v>0</v>
      </c>
      <c r="L3436" s="4">
        <f>J3436+K3436</f>
        <v>0</v>
      </c>
      <c r="M3436" s="4" t="s">
        <v>370</v>
      </c>
      <c r="N3436" s="4"/>
      <c r="O3436" s="4">
        <v>1</v>
      </c>
      <c r="P3436" s="4" t="s">
        <v>135</v>
      </c>
      <c r="Q3436" s="4" t="s">
        <v>44</v>
      </c>
      <c r="R3436" s="7">
        <v>10000000</v>
      </c>
      <c r="S3436" s="7">
        <v>0</v>
      </c>
      <c r="T3436" s="7">
        <f>R3436-S3436</f>
        <v>0</v>
      </c>
      <c r="U3436" s="7">
        <f>T3436*O3436</f>
        <v>0</v>
      </c>
    </row>
    <row r="3437" spans="1:21">
      <c r="A3437" s="4" t="s">
        <v>4565</v>
      </c>
      <c r="B3437" s="4" t="s">
        <v>48</v>
      </c>
      <c r="C3437" s="5">
        <v>45970.80201388889</v>
      </c>
      <c r="D3437" s="5">
        <v>45973</v>
      </c>
      <c r="E3437" s="6">
        <f>IF(AND(C3437&lt;&gt;"",D3437&lt;&gt;""),D3437-C3437,"")</f>
        <v>0</v>
      </c>
      <c r="F3437" s="4" t="s">
        <v>64</v>
      </c>
      <c r="G3437" s="4" t="s">
        <v>4412</v>
      </c>
      <c r="H3437" s="4" t="s">
        <v>32</v>
      </c>
      <c r="I3437" s="4" t="s">
        <v>33</v>
      </c>
      <c r="J3437" s="4">
        <v>2</v>
      </c>
      <c r="K3437" s="4">
        <v>0</v>
      </c>
      <c r="L3437" s="4">
        <f>J3437+K3437</f>
        <v>0</v>
      </c>
      <c r="M3437" s="4"/>
      <c r="N3437" s="4"/>
      <c r="O3437" s="4">
        <v>0</v>
      </c>
      <c r="P3437" s="4"/>
      <c r="Q3437" s="4"/>
      <c r="R3437" s="7">
        <v>0</v>
      </c>
      <c r="S3437" s="7">
        <v>0</v>
      </c>
      <c r="T3437" s="7">
        <f>R3437-S3437</f>
        <v>0</v>
      </c>
      <c r="U3437" s="7">
        <f>T3437*O3437</f>
        <v>0</v>
      </c>
    </row>
    <row r="3438" spans="1:21">
      <c r="A3438" s="4" t="s">
        <v>4566</v>
      </c>
      <c r="B3438" s="4" t="s">
        <v>48</v>
      </c>
      <c r="C3438" s="5">
        <v>45971.09008101852</v>
      </c>
      <c r="D3438" s="5">
        <v>45971</v>
      </c>
      <c r="E3438" s="6">
        <f>IF(AND(C3438&lt;&gt;"",D3438&lt;&gt;""),D3438-C3438,"")</f>
        <v>0</v>
      </c>
      <c r="F3438" s="4" t="s">
        <v>64</v>
      </c>
      <c r="G3438" s="4" t="s">
        <v>4412</v>
      </c>
      <c r="H3438" s="4" t="s">
        <v>32</v>
      </c>
      <c r="I3438" s="4" t="s">
        <v>33</v>
      </c>
      <c r="J3438" s="4">
        <v>1</v>
      </c>
      <c r="K3438" s="4">
        <v>0</v>
      </c>
      <c r="L3438" s="4">
        <f>J3438+K3438</f>
        <v>0</v>
      </c>
      <c r="M3438" s="4"/>
      <c r="N3438" s="4"/>
      <c r="O3438" s="4">
        <v>0</v>
      </c>
      <c r="P3438" s="4"/>
      <c r="Q3438" s="4"/>
      <c r="R3438" s="7">
        <v>0</v>
      </c>
      <c r="S3438" s="7">
        <v>0</v>
      </c>
      <c r="T3438" s="7">
        <f>R3438-S3438</f>
        <v>0</v>
      </c>
      <c r="U3438" s="7">
        <f>T3438*O3438</f>
        <v>0</v>
      </c>
    </row>
    <row r="3439" spans="1:21">
      <c r="A3439" s="4" t="s">
        <v>4567</v>
      </c>
      <c r="B3439" s="4" t="s">
        <v>48</v>
      </c>
      <c r="C3439" s="5">
        <v>45971.22487268518</v>
      </c>
      <c r="D3439" s="5">
        <v>45973</v>
      </c>
      <c r="E3439" s="6">
        <f>IF(AND(C3439&lt;&gt;"",D3439&lt;&gt;""),D3439-C3439,"")</f>
        <v>0</v>
      </c>
      <c r="F3439" s="4" t="s">
        <v>64</v>
      </c>
      <c r="G3439" s="4" t="s">
        <v>4412</v>
      </c>
      <c r="H3439" s="4" t="s">
        <v>32</v>
      </c>
      <c r="I3439" s="4" t="s">
        <v>33</v>
      </c>
      <c r="J3439" s="4">
        <v>2</v>
      </c>
      <c r="K3439" s="4">
        <v>0</v>
      </c>
      <c r="L3439" s="4">
        <f>J3439+K3439</f>
        <v>0</v>
      </c>
      <c r="M3439" s="4"/>
      <c r="N3439" s="4"/>
      <c r="O3439" s="4">
        <v>0</v>
      </c>
      <c r="P3439" s="4"/>
      <c r="Q3439" s="4"/>
      <c r="R3439" s="7">
        <v>0</v>
      </c>
      <c r="S3439" s="7">
        <v>0</v>
      </c>
      <c r="T3439" s="7">
        <f>R3439-S3439</f>
        <v>0</v>
      </c>
      <c r="U3439" s="7">
        <f>T3439*O3439</f>
        <v>0</v>
      </c>
    </row>
    <row r="3440" spans="1:21">
      <c r="A3440" s="4" t="s">
        <v>4568</v>
      </c>
      <c r="B3440" s="4" t="s">
        <v>48</v>
      </c>
      <c r="C3440" s="5">
        <v>45971.2306712963</v>
      </c>
      <c r="D3440" s="5">
        <v>45973</v>
      </c>
      <c r="E3440" s="6">
        <f>IF(AND(C3440&lt;&gt;"",D3440&lt;&gt;""),D3440-C3440,"")</f>
        <v>0</v>
      </c>
      <c r="F3440" s="4" t="s">
        <v>64</v>
      </c>
      <c r="G3440" s="4" t="s">
        <v>4412</v>
      </c>
      <c r="H3440" s="4" t="s">
        <v>32</v>
      </c>
      <c r="I3440" s="4" t="s">
        <v>33</v>
      </c>
      <c r="J3440" s="4">
        <v>1</v>
      </c>
      <c r="K3440" s="4">
        <v>1</v>
      </c>
      <c r="L3440" s="4">
        <f>J3440+K3440</f>
        <v>0</v>
      </c>
      <c r="M3440" s="4"/>
      <c r="N3440" s="4"/>
      <c r="O3440" s="4">
        <v>0</v>
      </c>
      <c r="P3440" s="4"/>
      <c r="Q3440" s="4"/>
      <c r="R3440" s="7">
        <v>0</v>
      </c>
      <c r="S3440" s="7">
        <v>0</v>
      </c>
      <c r="T3440" s="7">
        <f>R3440-S3440</f>
        <v>0</v>
      </c>
      <c r="U3440" s="7">
        <f>T3440*O3440</f>
        <v>0</v>
      </c>
    </row>
    <row r="3441" spans="1:21">
      <c r="A3441" s="4" t="s">
        <v>4569</v>
      </c>
      <c r="B3441" s="4" t="s">
        <v>48</v>
      </c>
      <c r="C3441" s="5">
        <v>45971.23251157408</v>
      </c>
      <c r="D3441" s="5">
        <v>45974</v>
      </c>
      <c r="E3441" s="6">
        <f>IF(AND(C3441&lt;&gt;"",D3441&lt;&gt;""),D3441-C3441,"")</f>
        <v>0</v>
      </c>
      <c r="F3441" s="4" t="s">
        <v>64</v>
      </c>
      <c r="G3441" s="4" t="s">
        <v>4412</v>
      </c>
      <c r="H3441" s="4" t="s">
        <v>32</v>
      </c>
      <c r="I3441" s="4" t="s">
        <v>33</v>
      </c>
      <c r="J3441" s="4">
        <v>4</v>
      </c>
      <c r="K3441" s="4">
        <v>3</v>
      </c>
      <c r="L3441" s="4">
        <f>J3441+K3441</f>
        <v>0</v>
      </c>
      <c r="M3441" s="4"/>
      <c r="N3441" s="4"/>
      <c r="O3441" s="4">
        <v>0</v>
      </c>
      <c r="P3441" s="4"/>
      <c r="Q3441" s="4"/>
      <c r="R3441" s="7">
        <v>0</v>
      </c>
      <c r="S3441" s="7">
        <v>0</v>
      </c>
      <c r="T3441" s="7">
        <f>R3441-S3441</f>
        <v>0</v>
      </c>
      <c r="U3441" s="7">
        <f>T3441*O3441</f>
        <v>0</v>
      </c>
    </row>
    <row r="3442" spans="1:21">
      <c r="A3442" s="4" t="s">
        <v>4570</v>
      </c>
      <c r="B3442" s="4" t="s">
        <v>48</v>
      </c>
      <c r="C3442" s="5">
        <v>45971.23393518518</v>
      </c>
      <c r="D3442" s="5">
        <v>45974</v>
      </c>
      <c r="E3442" s="6">
        <f>IF(AND(C3442&lt;&gt;"",D3442&lt;&gt;""),D3442-C3442,"")</f>
        <v>0</v>
      </c>
      <c r="F3442" s="4" t="s">
        <v>64</v>
      </c>
      <c r="G3442" s="4" t="s">
        <v>4412</v>
      </c>
      <c r="H3442" s="4" t="s">
        <v>32</v>
      </c>
      <c r="I3442" s="4" t="s">
        <v>33</v>
      </c>
      <c r="J3442" s="4">
        <v>2</v>
      </c>
      <c r="K3442" s="4">
        <v>1</v>
      </c>
      <c r="L3442" s="4">
        <f>J3442+K3442</f>
        <v>0</v>
      </c>
      <c r="M3442" s="4"/>
      <c r="N3442" s="4"/>
      <c r="O3442" s="4">
        <v>0</v>
      </c>
      <c r="P3442" s="4"/>
      <c r="Q3442" s="4"/>
      <c r="R3442" s="7">
        <v>0</v>
      </c>
      <c r="S3442" s="7">
        <v>0</v>
      </c>
      <c r="T3442" s="7">
        <f>R3442-S3442</f>
        <v>0</v>
      </c>
      <c r="U3442" s="7">
        <f>T3442*O3442</f>
        <v>0</v>
      </c>
    </row>
    <row r="3443" spans="1:21">
      <c r="A3443" s="4" t="s">
        <v>4571</v>
      </c>
      <c r="B3443" s="4" t="s">
        <v>48</v>
      </c>
      <c r="C3443" s="5">
        <v>45971.23474537037</v>
      </c>
      <c r="D3443" s="5">
        <v>45981</v>
      </c>
      <c r="E3443" s="6">
        <f>IF(AND(C3443&lt;&gt;"",D3443&lt;&gt;""),D3443-C3443,"")</f>
        <v>0</v>
      </c>
      <c r="F3443" s="4" t="s">
        <v>30</v>
      </c>
      <c r="G3443" s="4" t="s">
        <v>31</v>
      </c>
      <c r="H3443" s="4" t="s">
        <v>32</v>
      </c>
      <c r="I3443" s="4" t="s">
        <v>33</v>
      </c>
      <c r="J3443" s="4">
        <v>3</v>
      </c>
      <c r="K3443" s="4">
        <v>2</v>
      </c>
      <c r="L3443" s="4">
        <f>J3443+K3443</f>
        <v>0</v>
      </c>
      <c r="M3443" s="4"/>
      <c r="N3443" s="4"/>
      <c r="O3443" s="4">
        <v>0</v>
      </c>
      <c r="P3443" s="4"/>
      <c r="Q3443" s="4"/>
      <c r="R3443" s="7">
        <v>0</v>
      </c>
      <c r="S3443" s="7">
        <v>0</v>
      </c>
      <c r="T3443" s="7">
        <f>R3443-S3443</f>
        <v>0</v>
      </c>
      <c r="U3443" s="7">
        <f>T3443*O3443</f>
        <v>0</v>
      </c>
    </row>
    <row r="3444" spans="1:21">
      <c r="A3444" s="4" t="s">
        <v>4572</v>
      </c>
      <c r="B3444" s="4" t="s">
        <v>48</v>
      </c>
      <c r="C3444" s="5">
        <v>45971.23666666666</v>
      </c>
      <c r="D3444" s="5">
        <v>45979</v>
      </c>
      <c r="E3444" s="6">
        <f>IF(AND(C3444&lt;&gt;"",D3444&lt;&gt;""),D3444-C3444,"")</f>
        <v>0</v>
      </c>
      <c r="F3444" s="4" t="s">
        <v>30</v>
      </c>
      <c r="G3444" s="4" t="s">
        <v>31</v>
      </c>
      <c r="H3444" s="4" t="s">
        <v>32</v>
      </c>
      <c r="I3444" s="4" t="s">
        <v>33</v>
      </c>
      <c r="J3444" s="4">
        <v>2</v>
      </c>
      <c r="K3444" s="4">
        <v>2</v>
      </c>
      <c r="L3444" s="4">
        <f>J3444+K3444</f>
        <v>0</v>
      </c>
      <c r="M3444" s="4"/>
      <c r="N3444" s="4"/>
      <c r="O3444" s="4">
        <v>0</v>
      </c>
      <c r="P3444" s="4"/>
      <c r="Q3444" s="4"/>
      <c r="R3444" s="7">
        <v>0</v>
      </c>
      <c r="S3444" s="7">
        <v>0</v>
      </c>
      <c r="T3444" s="7">
        <f>R3444-S3444</f>
        <v>0</v>
      </c>
      <c r="U3444" s="7">
        <f>T3444*O3444</f>
        <v>0</v>
      </c>
    </row>
    <row r="3445" spans="1:21">
      <c r="A3445" s="4" t="s">
        <v>4573</v>
      </c>
      <c r="B3445" s="4" t="s">
        <v>39</v>
      </c>
      <c r="C3445" s="5">
        <v>45971.24583333333</v>
      </c>
      <c r="D3445" s="5">
        <v>45971</v>
      </c>
      <c r="E3445" s="6">
        <f>IF(AND(C3445&lt;&gt;"",D3445&lt;&gt;""),D3445-C3445,"")</f>
        <v>0</v>
      </c>
      <c r="F3445" s="4" t="s">
        <v>1853</v>
      </c>
      <c r="G3445" s="4" t="s">
        <v>1854</v>
      </c>
      <c r="H3445" s="4" t="s">
        <v>32</v>
      </c>
      <c r="I3445" s="4" t="s">
        <v>33</v>
      </c>
      <c r="J3445" s="4">
        <v>1</v>
      </c>
      <c r="K3445" s="4">
        <v>0</v>
      </c>
      <c r="L3445" s="4">
        <f>J3445+K3445</f>
        <v>0</v>
      </c>
      <c r="M3445" s="4" t="s">
        <v>80</v>
      </c>
      <c r="N3445" s="4"/>
      <c r="O3445" s="4">
        <v>1</v>
      </c>
      <c r="P3445" s="4" t="s">
        <v>135</v>
      </c>
      <c r="Q3445" s="4" t="s">
        <v>44</v>
      </c>
      <c r="R3445" s="7">
        <v>610000</v>
      </c>
      <c r="S3445" s="7">
        <v>0</v>
      </c>
      <c r="T3445" s="7">
        <f>R3445-S3445</f>
        <v>0</v>
      </c>
      <c r="U3445" s="7">
        <f>T3445*O3445</f>
        <v>0</v>
      </c>
    </row>
    <row r="3446" spans="1:21">
      <c r="A3446" s="4" t="s">
        <v>4573</v>
      </c>
      <c r="B3446" s="4" t="s">
        <v>39</v>
      </c>
      <c r="C3446" s="5">
        <v>45971.24583333333</v>
      </c>
      <c r="D3446" s="5">
        <v>45971</v>
      </c>
      <c r="E3446" s="6">
        <f>IF(AND(C3446&lt;&gt;"",D3446&lt;&gt;""),D3446-C3446,"")</f>
        <v>0</v>
      </c>
      <c r="F3446" s="4" t="s">
        <v>1853</v>
      </c>
      <c r="G3446" s="4" t="s">
        <v>1854</v>
      </c>
      <c r="H3446" s="4" t="s">
        <v>32</v>
      </c>
      <c r="I3446" s="4" t="s">
        <v>33</v>
      </c>
      <c r="J3446" s="4">
        <v>0</v>
      </c>
      <c r="K3446" s="4">
        <v>0</v>
      </c>
      <c r="L3446" s="4">
        <f>J3446+K3446</f>
        <v>0</v>
      </c>
      <c r="M3446" s="4" t="s">
        <v>370</v>
      </c>
      <c r="N3446" s="4"/>
      <c r="O3446" s="4">
        <v>1</v>
      </c>
      <c r="P3446" s="4" t="s">
        <v>135</v>
      </c>
      <c r="Q3446" s="4" t="s">
        <v>44</v>
      </c>
      <c r="R3446" s="7">
        <v>1000000</v>
      </c>
      <c r="S3446" s="7">
        <v>0</v>
      </c>
      <c r="T3446" s="7">
        <f>R3446-S3446</f>
        <v>0</v>
      </c>
      <c r="U3446" s="7">
        <f>T3446*O3446</f>
        <v>0</v>
      </c>
    </row>
    <row r="3447" spans="1:21">
      <c r="A3447" s="4" t="s">
        <v>4573</v>
      </c>
      <c r="B3447" s="4" t="s">
        <v>39</v>
      </c>
      <c r="C3447" s="5">
        <v>45971.24583333333</v>
      </c>
      <c r="D3447" s="5">
        <v>45971</v>
      </c>
      <c r="E3447" s="6">
        <f>IF(AND(C3447&lt;&gt;"",D3447&lt;&gt;""),D3447-C3447,"")</f>
        <v>0</v>
      </c>
      <c r="F3447" s="4" t="s">
        <v>1853</v>
      </c>
      <c r="G3447" s="4" t="s">
        <v>1854</v>
      </c>
      <c r="H3447" s="4" t="s">
        <v>32</v>
      </c>
      <c r="I3447" s="4" t="s">
        <v>33</v>
      </c>
      <c r="J3447" s="4">
        <v>0</v>
      </c>
      <c r="K3447" s="4">
        <v>1</v>
      </c>
      <c r="L3447" s="4">
        <f>J3447+K3447</f>
        <v>0</v>
      </c>
      <c r="M3447" s="4" t="s">
        <v>46</v>
      </c>
      <c r="N3447" s="4"/>
      <c r="O3447" s="4">
        <v>1</v>
      </c>
      <c r="P3447" s="4" t="s">
        <v>135</v>
      </c>
      <c r="Q3447" s="4" t="s">
        <v>44</v>
      </c>
      <c r="R3447" s="7">
        <v>325000</v>
      </c>
      <c r="S3447" s="7">
        <v>0</v>
      </c>
      <c r="T3447" s="7">
        <f>R3447-S3447</f>
        <v>0</v>
      </c>
      <c r="U3447" s="7">
        <f>T3447*O3447</f>
        <v>0</v>
      </c>
    </row>
    <row r="3448" spans="1:21">
      <c r="A3448" s="4" t="s">
        <v>4574</v>
      </c>
      <c r="B3448" s="4" t="s">
        <v>39</v>
      </c>
      <c r="C3448" s="5">
        <v>45971.25417824074</v>
      </c>
      <c r="D3448" s="5">
        <v>45971</v>
      </c>
      <c r="E3448" s="6">
        <f>IF(AND(C3448&lt;&gt;"",D3448&lt;&gt;""),D3448-C3448,"")</f>
        <v>0</v>
      </c>
      <c r="F3448" s="4" t="s">
        <v>1343</v>
      </c>
      <c r="G3448" s="4" t="s">
        <v>4575</v>
      </c>
      <c r="H3448" s="4" t="s">
        <v>32</v>
      </c>
      <c r="I3448" s="4" t="s">
        <v>33</v>
      </c>
      <c r="J3448" s="4">
        <v>0</v>
      </c>
      <c r="K3448" s="4">
        <v>0</v>
      </c>
      <c r="L3448" s="4">
        <f>J3448+K3448</f>
        <v>0</v>
      </c>
      <c r="M3448" s="4" t="s">
        <v>370</v>
      </c>
      <c r="N3448" s="4"/>
      <c r="O3448" s="4">
        <v>1</v>
      </c>
      <c r="P3448" s="4" t="s">
        <v>135</v>
      </c>
      <c r="Q3448" s="4" t="s">
        <v>44</v>
      </c>
      <c r="R3448" s="7">
        <v>100000</v>
      </c>
      <c r="S3448" s="7">
        <v>0</v>
      </c>
      <c r="T3448" s="7">
        <f>R3448-S3448</f>
        <v>0</v>
      </c>
      <c r="U3448" s="7">
        <f>T3448*O3448</f>
        <v>0</v>
      </c>
    </row>
    <row r="3449" spans="1:21">
      <c r="A3449" s="4" t="s">
        <v>4576</v>
      </c>
      <c r="B3449" s="4" t="s">
        <v>48</v>
      </c>
      <c r="C3449" s="5">
        <v>45971.28284722222</v>
      </c>
      <c r="D3449" s="5">
        <v>45979</v>
      </c>
      <c r="E3449" s="6">
        <f>IF(AND(C3449&lt;&gt;"",D3449&lt;&gt;""),D3449-C3449,"")</f>
        <v>0</v>
      </c>
      <c r="F3449" s="4" t="s">
        <v>64</v>
      </c>
      <c r="G3449" s="4" t="s">
        <v>4412</v>
      </c>
      <c r="H3449" s="4" t="s">
        <v>32</v>
      </c>
      <c r="I3449" s="4" t="s">
        <v>33</v>
      </c>
      <c r="J3449" s="4">
        <v>1</v>
      </c>
      <c r="K3449" s="4">
        <v>1</v>
      </c>
      <c r="L3449" s="4">
        <f>J3449+K3449</f>
        <v>0</v>
      </c>
      <c r="M3449" s="4"/>
      <c r="N3449" s="4"/>
      <c r="O3449" s="4">
        <v>0</v>
      </c>
      <c r="P3449" s="4"/>
      <c r="Q3449" s="4"/>
      <c r="R3449" s="7">
        <v>0</v>
      </c>
      <c r="S3449" s="7">
        <v>0</v>
      </c>
      <c r="T3449" s="7">
        <f>R3449-S3449</f>
        <v>0</v>
      </c>
      <c r="U3449" s="7">
        <f>T3449*O3449</f>
        <v>0</v>
      </c>
    </row>
    <row r="3450" spans="1:21">
      <c r="A3450" s="4" t="s">
        <v>4577</v>
      </c>
      <c r="B3450" s="4" t="s">
        <v>48</v>
      </c>
      <c r="C3450" s="5">
        <v>45971.29386574074</v>
      </c>
      <c r="D3450" s="5">
        <v>45973</v>
      </c>
      <c r="E3450" s="6">
        <f>IF(AND(C3450&lt;&gt;"",D3450&lt;&gt;""),D3450-C3450,"")</f>
        <v>0</v>
      </c>
      <c r="F3450" s="4" t="s">
        <v>64</v>
      </c>
      <c r="G3450" s="4" t="s">
        <v>4412</v>
      </c>
      <c r="H3450" s="4" t="s">
        <v>32</v>
      </c>
      <c r="I3450" s="4" t="s">
        <v>33</v>
      </c>
      <c r="J3450" s="4">
        <v>2</v>
      </c>
      <c r="K3450" s="4">
        <v>2</v>
      </c>
      <c r="L3450" s="4">
        <f>J3450+K3450</f>
        <v>0</v>
      </c>
      <c r="M3450" s="4"/>
      <c r="N3450" s="4"/>
      <c r="O3450" s="4">
        <v>0</v>
      </c>
      <c r="P3450" s="4"/>
      <c r="Q3450" s="4"/>
      <c r="R3450" s="7">
        <v>0</v>
      </c>
      <c r="S3450" s="7">
        <v>0</v>
      </c>
      <c r="T3450" s="7">
        <f>R3450-S3450</f>
        <v>0</v>
      </c>
      <c r="U3450" s="7">
        <f>T3450*O3450</f>
        <v>0</v>
      </c>
    </row>
    <row r="3451" spans="1:21">
      <c r="A3451" s="4" t="s">
        <v>4578</v>
      </c>
      <c r="B3451" s="4" t="s">
        <v>39</v>
      </c>
      <c r="C3451" s="5">
        <v>45971.30851851852</v>
      </c>
      <c r="D3451" s="5">
        <v>45971</v>
      </c>
      <c r="E3451" s="6">
        <f>IF(AND(C3451&lt;&gt;"",D3451&lt;&gt;""),D3451-C3451,"")</f>
        <v>0</v>
      </c>
      <c r="F3451" s="4" t="s">
        <v>1176</v>
      </c>
      <c r="G3451" s="4" t="s">
        <v>4579</v>
      </c>
      <c r="H3451" s="4" t="s">
        <v>190</v>
      </c>
      <c r="I3451" s="4" t="s">
        <v>56</v>
      </c>
      <c r="J3451" s="4">
        <v>0</v>
      </c>
      <c r="K3451" s="4">
        <v>0</v>
      </c>
      <c r="L3451" s="4">
        <f>J3451+K3451</f>
        <v>0</v>
      </c>
      <c r="M3451" s="4" t="s">
        <v>370</v>
      </c>
      <c r="N3451" s="4"/>
      <c r="O3451" s="4">
        <v>1</v>
      </c>
      <c r="P3451" s="4" t="s">
        <v>135</v>
      </c>
      <c r="Q3451" s="4" t="s">
        <v>44</v>
      </c>
      <c r="R3451" s="7">
        <v>1000000</v>
      </c>
      <c r="S3451" s="7">
        <v>0</v>
      </c>
      <c r="T3451" s="7">
        <f>R3451-S3451</f>
        <v>0</v>
      </c>
      <c r="U3451" s="7">
        <f>T3451*O3451</f>
        <v>0</v>
      </c>
    </row>
    <row r="3452" spans="1:21">
      <c r="A3452" s="4" t="s">
        <v>4580</v>
      </c>
      <c r="B3452" s="4" t="s">
        <v>39</v>
      </c>
      <c r="C3452" s="5">
        <v>45971.31356481482</v>
      </c>
      <c r="D3452" s="5">
        <v>45971</v>
      </c>
      <c r="E3452" s="6">
        <f>IF(AND(C3452&lt;&gt;"",D3452&lt;&gt;""),D3452-C3452,"")</f>
        <v>0</v>
      </c>
      <c r="F3452" s="4" t="s">
        <v>4581</v>
      </c>
      <c r="G3452" s="4" t="s">
        <v>4582</v>
      </c>
      <c r="H3452" s="4" t="s">
        <v>32</v>
      </c>
      <c r="I3452" s="4" t="s">
        <v>33</v>
      </c>
      <c r="J3452" s="4">
        <v>0</v>
      </c>
      <c r="K3452" s="4">
        <v>0</v>
      </c>
      <c r="L3452" s="4">
        <f>J3452+K3452</f>
        <v>0</v>
      </c>
      <c r="M3452" s="4" t="s">
        <v>370</v>
      </c>
      <c r="N3452" s="4"/>
      <c r="O3452" s="4">
        <v>1</v>
      </c>
      <c r="P3452" s="4" t="s">
        <v>135</v>
      </c>
      <c r="Q3452" s="4" t="s">
        <v>44</v>
      </c>
      <c r="R3452" s="7">
        <v>2000000</v>
      </c>
      <c r="S3452" s="7">
        <v>0</v>
      </c>
      <c r="T3452" s="7">
        <f>R3452-S3452</f>
        <v>0</v>
      </c>
      <c r="U3452" s="7">
        <f>T3452*O3452</f>
        <v>0</v>
      </c>
    </row>
    <row r="3453" spans="1:21">
      <c r="A3453" s="4" t="s">
        <v>4583</v>
      </c>
      <c r="B3453" s="4" t="s">
        <v>48</v>
      </c>
      <c r="C3453" s="5">
        <v>45971.31490740741</v>
      </c>
      <c r="D3453" s="5">
        <v>45974</v>
      </c>
      <c r="E3453" s="6">
        <f>IF(AND(C3453&lt;&gt;"",D3453&lt;&gt;""),D3453-C3453,"")</f>
        <v>0</v>
      </c>
      <c r="F3453" s="4" t="s">
        <v>64</v>
      </c>
      <c r="G3453" s="4" t="s">
        <v>4412</v>
      </c>
      <c r="H3453" s="4" t="s">
        <v>32</v>
      </c>
      <c r="I3453" s="4" t="s">
        <v>33</v>
      </c>
      <c r="J3453" s="4">
        <v>2</v>
      </c>
      <c r="K3453" s="4">
        <v>2</v>
      </c>
      <c r="L3453" s="4">
        <f>J3453+K3453</f>
        <v>0</v>
      </c>
      <c r="M3453" s="4"/>
      <c r="N3453" s="4"/>
      <c r="O3453" s="4">
        <v>0</v>
      </c>
      <c r="P3453" s="4"/>
      <c r="Q3453" s="4"/>
      <c r="R3453" s="7">
        <v>0</v>
      </c>
      <c r="S3453" s="7">
        <v>0</v>
      </c>
      <c r="T3453" s="7">
        <f>R3453-S3453</f>
        <v>0</v>
      </c>
      <c r="U3453" s="7">
        <f>T3453*O3453</f>
        <v>0</v>
      </c>
    </row>
    <row r="3454" spans="1:21">
      <c r="A3454" s="4" t="s">
        <v>4584</v>
      </c>
      <c r="B3454" s="4" t="s">
        <v>48</v>
      </c>
      <c r="C3454" s="5">
        <v>45971.32607638889</v>
      </c>
      <c r="D3454" s="5">
        <v>45976</v>
      </c>
      <c r="E3454" s="6">
        <f>IF(AND(C3454&lt;&gt;"",D3454&lt;&gt;""),D3454-C3454,"")</f>
        <v>0</v>
      </c>
      <c r="F3454" s="4" t="s">
        <v>30</v>
      </c>
      <c r="G3454" s="4" t="s">
        <v>31</v>
      </c>
      <c r="H3454" s="4" t="s">
        <v>32</v>
      </c>
      <c r="I3454" s="4" t="s">
        <v>33</v>
      </c>
      <c r="J3454" s="4">
        <v>2</v>
      </c>
      <c r="K3454" s="4">
        <v>0</v>
      </c>
      <c r="L3454" s="4">
        <f>J3454+K3454</f>
        <v>0</v>
      </c>
      <c r="M3454" s="4"/>
      <c r="N3454" s="4"/>
      <c r="O3454" s="4">
        <v>0</v>
      </c>
      <c r="P3454" s="4"/>
      <c r="Q3454" s="4"/>
      <c r="R3454" s="7">
        <v>0</v>
      </c>
      <c r="S3454" s="7">
        <v>0</v>
      </c>
      <c r="T3454" s="7">
        <f>R3454-S3454</f>
        <v>0</v>
      </c>
      <c r="U3454" s="7">
        <f>T3454*O3454</f>
        <v>0</v>
      </c>
    </row>
    <row r="3455" spans="1:21">
      <c r="A3455" s="4" t="s">
        <v>4585</v>
      </c>
      <c r="B3455" s="4" t="s">
        <v>48</v>
      </c>
      <c r="C3455" s="5">
        <v>45971.32796296296</v>
      </c>
      <c r="D3455" s="5">
        <v>45973</v>
      </c>
      <c r="E3455" s="6">
        <f>IF(AND(C3455&lt;&gt;"",D3455&lt;&gt;""),D3455-C3455,"")</f>
        <v>0</v>
      </c>
      <c r="F3455" s="4" t="s">
        <v>30</v>
      </c>
      <c r="G3455" s="4" t="s">
        <v>31</v>
      </c>
      <c r="H3455" s="4" t="s">
        <v>32</v>
      </c>
      <c r="I3455" s="4" t="s">
        <v>33</v>
      </c>
      <c r="J3455" s="4">
        <v>2</v>
      </c>
      <c r="K3455" s="4">
        <v>0</v>
      </c>
      <c r="L3455" s="4">
        <f>J3455+K3455</f>
        <v>0</v>
      </c>
      <c r="M3455" s="4"/>
      <c r="N3455" s="4"/>
      <c r="O3455" s="4">
        <v>0</v>
      </c>
      <c r="P3455" s="4"/>
      <c r="Q3455" s="4"/>
      <c r="R3455" s="7">
        <v>0</v>
      </c>
      <c r="S3455" s="7">
        <v>0</v>
      </c>
      <c r="T3455" s="7">
        <f>R3455-S3455</f>
        <v>0</v>
      </c>
      <c r="U3455" s="7">
        <f>T3455*O3455</f>
        <v>0</v>
      </c>
    </row>
    <row r="3456" spans="1:21">
      <c r="A3456" s="4" t="s">
        <v>4586</v>
      </c>
      <c r="B3456" s="4" t="s">
        <v>39</v>
      </c>
      <c r="C3456" s="5">
        <v>45971.32922453704</v>
      </c>
      <c r="D3456" s="5">
        <v>45971</v>
      </c>
      <c r="E3456" s="6">
        <f>IF(AND(C3456&lt;&gt;"",D3456&lt;&gt;""),D3456-C3456,"")</f>
        <v>0</v>
      </c>
      <c r="F3456" s="4" t="s">
        <v>30</v>
      </c>
      <c r="G3456" s="4" t="s">
        <v>31</v>
      </c>
      <c r="H3456" s="4" t="s">
        <v>32</v>
      </c>
      <c r="I3456" s="4" t="s">
        <v>33</v>
      </c>
      <c r="J3456" s="4">
        <v>1</v>
      </c>
      <c r="K3456" s="4">
        <v>0</v>
      </c>
      <c r="L3456" s="4">
        <f>J3456+K3456</f>
        <v>0</v>
      </c>
      <c r="M3456" s="4" t="s">
        <v>80</v>
      </c>
      <c r="N3456" s="4"/>
      <c r="O3456" s="4">
        <v>1</v>
      </c>
      <c r="P3456" s="4" t="s">
        <v>135</v>
      </c>
      <c r="Q3456" s="4" t="s">
        <v>44</v>
      </c>
      <c r="R3456" s="7">
        <v>610000</v>
      </c>
      <c r="S3456" s="7">
        <v>0</v>
      </c>
      <c r="T3456" s="7">
        <f>R3456-S3456</f>
        <v>0</v>
      </c>
      <c r="U3456" s="7">
        <f>T3456*O3456</f>
        <v>0</v>
      </c>
    </row>
    <row r="3457" spans="1:21">
      <c r="A3457" s="4" t="s">
        <v>4586</v>
      </c>
      <c r="B3457" s="4" t="s">
        <v>39</v>
      </c>
      <c r="C3457" s="5">
        <v>45971.32922453704</v>
      </c>
      <c r="D3457" s="5">
        <v>45971</v>
      </c>
      <c r="E3457" s="6">
        <f>IF(AND(C3457&lt;&gt;"",D3457&lt;&gt;""),D3457-C3457,"")</f>
        <v>0</v>
      </c>
      <c r="F3457" s="4" t="s">
        <v>30</v>
      </c>
      <c r="G3457" s="4" t="s">
        <v>31</v>
      </c>
      <c r="H3457" s="4" t="s">
        <v>32</v>
      </c>
      <c r="I3457" s="4" t="s">
        <v>33</v>
      </c>
      <c r="J3457" s="4">
        <v>1</v>
      </c>
      <c r="K3457" s="4">
        <v>0</v>
      </c>
      <c r="L3457" s="4">
        <f>J3457+K3457</f>
        <v>0</v>
      </c>
      <c r="M3457" s="4" t="s">
        <v>42</v>
      </c>
      <c r="N3457" s="4"/>
      <c r="O3457" s="4">
        <v>1</v>
      </c>
      <c r="P3457" s="4" t="s">
        <v>135</v>
      </c>
      <c r="Q3457" s="4" t="s">
        <v>44</v>
      </c>
      <c r="R3457" s="7">
        <v>370000</v>
      </c>
      <c r="S3457" s="7">
        <v>0</v>
      </c>
      <c r="T3457" s="7">
        <f>R3457-S3457</f>
        <v>0</v>
      </c>
      <c r="U3457" s="7">
        <f>T3457*O3457</f>
        <v>0</v>
      </c>
    </row>
    <row r="3458" spans="1:21">
      <c r="A3458" s="4" t="s">
        <v>4587</v>
      </c>
      <c r="B3458" s="4" t="s">
        <v>39</v>
      </c>
      <c r="C3458" s="5">
        <v>45971.36194444444</v>
      </c>
      <c r="D3458" s="5">
        <v>45971</v>
      </c>
      <c r="E3458" s="6">
        <f>IF(AND(C3458&lt;&gt;"",D3458&lt;&gt;""),D3458-C3458,"")</f>
        <v>0</v>
      </c>
      <c r="F3458" s="4" t="s">
        <v>4040</v>
      </c>
      <c r="G3458" s="4" t="s">
        <v>4588</v>
      </c>
      <c r="H3458" s="4" t="s">
        <v>32</v>
      </c>
      <c r="I3458" s="4" t="s">
        <v>33</v>
      </c>
      <c r="J3458" s="4">
        <v>1</v>
      </c>
      <c r="K3458" s="4">
        <v>0</v>
      </c>
      <c r="L3458" s="4">
        <f>J3458+K3458</f>
        <v>0</v>
      </c>
      <c r="M3458" s="4" t="s">
        <v>80</v>
      </c>
      <c r="N3458" s="4"/>
      <c r="O3458" s="4">
        <v>1</v>
      </c>
      <c r="P3458" s="4" t="s">
        <v>135</v>
      </c>
      <c r="Q3458" s="4" t="s">
        <v>44</v>
      </c>
      <c r="R3458" s="7">
        <v>610000</v>
      </c>
      <c r="S3458" s="7">
        <v>0</v>
      </c>
      <c r="T3458" s="7">
        <f>R3458-S3458</f>
        <v>0</v>
      </c>
      <c r="U3458" s="7">
        <f>T3458*O3458</f>
        <v>0</v>
      </c>
    </row>
    <row r="3459" spans="1:21">
      <c r="A3459" s="4" t="s">
        <v>4587</v>
      </c>
      <c r="B3459" s="4" t="s">
        <v>39</v>
      </c>
      <c r="C3459" s="5">
        <v>45971.36194444444</v>
      </c>
      <c r="D3459" s="5">
        <v>45971</v>
      </c>
      <c r="E3459" s="6">
        <f>IF(AND(C3459&lt;&gt;"",D3459&lt;&gt;""),D3459-C3459,"")</f>
        <v>0</v>
      </c>
      <c r="F3459" s="4" t="s">
        <v>4040</v>
      </c>
      <c r="G3459" s="4" t="s">
        <v>4588</v>
      </c>
      <c r="H3459" s="4" t="s">
        <v>32</v>
      </c>
      <c r="I3459" s="4" t="s">
        <v>33</v>
      </c>
      <c r="J3459" s="4">
        <v>0</v>
      </c>
      <c r="K3459" s="4">
        <v>1</v>
      </c>
      <c r="L3459" s="4">
        <f>J3459+K3459</f>
        <v>0</v>
      </c>
      <c r="M3459" s="4" t="s">
        <v>46</v>
      </c>
      <c r="N3459" s="4"/>
      <c r="O3459" s="4">
        <v>1</v>
      </c>
      <c r="P3459" s="4" t="s">
        <v>135</v>
      </c>
      <c r="Q3459" s="4" t="s">
        <v>44</v>
      </c>
      <c r="R3459" s="7">
        <v>325000</v>
      </c>
      <c r="S3459" s="7">
        <v>0</v>
      </c>
      <c r="T3459" s="7">
        <f>R3459-S3459</f>
        <v>0</v>
      </c>
      <c r="U3459" s="7">
        <f>T3459*O3459</f>
        <v>0</v>
      </c>
    </row>
    <row r="3460" spans="1:21">
      <c r="A3460" s="4" t="s">
        <v>4587</v>
      </c>
      <c r="B3460" s="4" t="s">
        <v>39</v>
      </c>
      <c r="C3460" s="5">
        <v>45971.36194444444</v>
      </c>
      <c r="D3460" s="5">
        <v>45971</v>
      </c>
      <c r="E3460" s="6">
        <f>IF(AND(C3460&lt;&gt;"",D3460&lt;&gt;""),D3460-C3460,"")</f>
        <v>0</v>
      </c>
      <c r="F3460" s="4" t="s">
        <v>4040</v>
      </c>
      <c r="G3460" s="4" t="s">
        <v>4588</v>
      </c>
      <c r="H3460" s="4" t="s">
        <v>32</v>
      </c>
      <c r="I3460" s="4" t="s">
        <v>33</v>
      </c>
      <c r="J3460" s="4">
        <v>1</v>
      </c>
      <c r="K3460" s="4">
        <v>0</v>
      </c>
      <c r="L3460" s="4">
        <f>J3460+K3460</f>
        <v>0</v>
      </c>
      <c r="M3460" s="4" t="s">
        <v>80</v>
      </c>
      <c r="N3460" s="4"/>
      <c r="O3460" s="4">
        <v>1</v>
      </c>
      <c r="P3460" s="4" t="s">
        <v>135</v>
      </c>
      <c r="Q3460" s="4" t="s">
        <v>44</v>
      </c>
      <c r="R3460" s="7">
        <v>610000</v>
      </c>
      <c r="S3460" s="7">
        <v>0</v>
      </c>
      <c r="T3460" s="7">
        <f>R3460-S3460</f>
        <v>0</v>
      </c>
      <c r="U3460" s="7">
        <f>T3460*O3460</f>
        <v>0</v>
      </c>
    </row>
    <row r="3461" spans="1:21">
      <c r="A3461" s="4" t="s">
        <v>4589</v>
      </c>
      <c r="B3461" s="4" t="s">
        <v>39</v>
      </c>
      <c r="C3461" s="5">
        <v>45971.36232638889</v>
      </c>
      <c r="D3461" s="5">
        <v>45971</v>
      </c>
      <c r="E3461" s="6">
        <f>IF(AND(C3461&lt;&gt;"",D3461&lt;&gt;""),D3461-C3461,"")</f>
        <v>0</v>
      </c>
      <c r="F3461" s="4" t="s">
        <v>30</v>
      </c>
      <c r="G3461" s="4" t="s">
        <v>31</v>
      </c>
      <c r="H3461" s="4" t="s">
        <v>32</v>
      </c>
      <c r="I3461" s="4" t="s">
        <v>33</v>
      </c>
      <c r="J3461" s="4">
        <v>1</v>
      </c>
      <c r="K3461" s="4">
        <v>0</v>
      </c>
      <c r="L3461" s="4">
        <f>J3461+K3461</f>
        <v>0</v>
      </c>
      <c r="M3461" s="4" t="s">
        <v>80</v>
      </c>
      <c r="N3461" s="4"/>
      <c r="O3461" s="4">
        <v>1</v>
      </c>
      <c r="P3461" s="4" t="s">
        <v>135</v>
      </c>
      <c r="Q3461" s="4" t="s">
        <v>44</v>
      </c>
      <c r="R3461" s="7">
        <v>610000</v>
      </c>
      <c r="S3461" s="7">
        <v>0</v>
      </c>
      <c r="T3461" s="7">
        <f>R3461-S3461</f>
        <v>0</v>
      </c>
      <c r="U3461" s="7">
        <f>T3461*O3461</f>
        <v>0</v>
      </c>
    </row>
    <row r="3462" spans="1:21">
      <c r="A3462" s="4" t="s">
        <v>4589</v>
      </c>
      <c r="B3462" s="4" t="s">
        <v>39</v>
      </c>
      <c r="C3462" s="5">
        <v>45971.36232638889</v>
      </c>
      <c r="D3462" s="5">
        <v>45971</v>
      </c>
      <c r="E3462" s="6">
        <f>IF(AND(C3462&lt;&gt;"",D3462&lt;&gt;""),D3462-C3462,"")</f>
        <v>0</v>
      </c>
      <c r="F3462" s="4" t="s">
        <v>30</v>
      </c>
      <c r="G3462" s="4" t="s">
        <v>31</v>
      </c>
      <c r="H3462" s="4" t="s">
        <v>32</v>
      </c>
      <c r="I3462" s="4" t="s">
        <v>33</v>
      </c>
      <c r="J3462" s="4">
        <v>1</v>
      </c>
      <c r="K3462" s="4">
        <v>0</v>
      </c>
      <c r="L3462" s="4">
        <f>J3462+K3462</f>
        <v>0</v>
      </c>
      <c r="M3462" s="4" t="s">
        <v>80</v>
      </c>
      <c r="N3462" s="4"/>
      <c r="O3462" s="4">
        <v>1</v>
      </c>
      <c r="P3462" s="4" t="s">
        <v>135</v>
      </c>
      <c r="Q3462" s="4" t="s">
        <v>44</v>
      </c>
      <c r="R3462" s="7">
        <v>610000</v>
      </c>
      <c r="S3462" s="7">
        <v>0</v>
      </c>
      <c r="T3462" s="7">
        <f>R3462-S3462</f>
        <v>0</v>
      </c>
      <c r="U3462" s="7">
        <f>T3462*O3462</f>
        <v>0</v>
      </c>
    </row>
    <row r="3463" spans="1:21">
      <c r="A3463" s="4" t="s">
        <v>4590</v>
      </c>
      <c r="B3463" s="4" t="s">
        <v>48</v>
      </c>
      <c r="C3463" s="5">
        <v>45971.3666087963</v>
      </c>
      <c r="D3463" s="5">
        <v>45973</v>
      </c>
      <c r="E3463" s="6">
        <f>IF(AND(C3463&lt;&gt;"",D3463&lt;&gt;""),D3463-C3463,"")</f>
        <v>0</v>
      </c>
      <c r="F3463" s="4" t="s">
        <v>64</v>
      </c>
      <c r="G3463" s="4" t="s">
        <v>4412</v>
      </c>
      <c r="H3463" s="4" t="s">
        <v>32</v>
      </c>
      <c r="I3463" s="4" t="s">
        <v>33</v>
      </c>
      <c r="J3463" s="4">
        <v>2</v>
      </c>
      <c r="K3463" s="4">
        <v>0</v>
      </c>
      <c r="L3463" s="4">
        <f>J3463+K3463</f>
        <v>0</v>
      </c>
      <c r="M3463" s="4"/>
      <c r="N3463" s="4"/>
      <c r="O3463" s="4">
        <v>0</v>
      </c>
      <c r="P3463" s="4"/>
      <c r="Q3463" s="4"/>
      <c r="R3463" s="7">
        <v>0</v>
      </c>
      <c r="S3463" s="7">
        <v>0</v>
      </c>
      <c r="T3463" s="7">
        <f>R3463-S3463</f>
        <v>0</v>
      </c>
      <c r="U3463" s="7">
        <f>T3463*O3463</f>
        <v>0</v>
      </c>
    </row>
    <row r="3464" spans="1:21">
      <c r="A3464" s="4" t="s">
        <v>4591</v>
      </c>
      <c r="B3464" s="4" t="s">
        <v>48</v>
      </c>
      <c r="C3464" s="5">
        <v>45971.36739583333</v>
      </c>
      <c r="D3464" s="5">
        <v>45975</v>
      </c>
      <c r="E3464" s="6">
        <f>IF(AND(C3464&lt;&gt;"",D3464&lt;&gt;""),D3464-C3464,"")</f>
        <v>0</v>
      </c>
      <c r="F3464" s="4" t="s">
        <v>30</v>
      </c>
      <c r="G3464" s="4" t="s">
        <v>31</v>
      </c>
      <c r="H3464" s="4" t="s">
        <v>32</v>
      </c>
      <c r="I3464" s="4" t="s">
        <v>33</v>
      </c>
      <c r="J3464" s="4">
        <v>2</v>
      </c>
      <c r="K3464" s="4">
        <v>0</v>
      </c>
      <c r="L3464" s="4">
        <f>J3464+K3464</f>
        <v>0</v>
      </c>
      <c r="M3464" s="4"/>
      <c r="N3464" s="4"/>
      <c r="O3464" s="4">
        <v>0</v>
      </c>
      <c r="P3464" s="4"/>
      <c r="Q3464" s="4"/>
      <c r="R3464" s="7">
        <v>0</v>
      </c>
      <c r="S3464" s="7">
        <v>0</v>
      </c>
      <c r="T3464" s="7">
        <f>R3464-S3464</f>
        <v>0</v>
      </c>
      <c r="U3464" s="7">
        <f>T3464*O3464</f>
        <v>0</v>
      </c>
    </row>
    <row r="3465" spans="1:21">
      <c r="A3465" s="4" t="s">
        <v>4592</v>
      </c>
      <c r="B3465" s="4" t="s">
        <v>39</v>
      </c>
      <c r="C3465" s="5">
        <v>45971.36777777778</v>
      </c>
      <c r="D3465" s="5">
        <v>45971</v>
      </c>
      <c r="E3465" s="6">
        <f>IF(AND(C3465&lt;&gt;"",D3465&lt;&gt;""),D3465-C3465,"")</f>
        <v>0</v>
      </c>
      <c r="F3465" s="4" t="s">
        <v>64</v>
      </c>
      <c r="G3465" s="4" t="s">
        <v>4412</v>
      </c>
      <c r="H3465" s="4" t="s">
        <v>32</v>
      </c>
      <c r="I3465" s="4" t="s">
        <v>33</v>
      </c>
      <c r="J3465" s="4">
        <v>1</v>
      </c>
      <c r="K3465" s="4">
        <v>0</v>
      </c>
      <c r="L3465" s="4">
        <f>J3465+K3465</f>
        <v>0</v>
      </c>
      <c r="M3465" s="4" t="s">
        <v>80</v>
      </c>
      <c r="N3465" s="4"/>
      <c r="O3465" s="4">
        <v>1</v>
      </c>
      <c r="P3465" s="4" t="s">
        <v>135</v>
      </c>
      <c r="Q3465" s="4" t="s">
        <v>44</v>
      </c>
      <c r="R3465" s="7">
        <v>610000</v>
      </c>
      <c r="S3465" s="7">
        <v>0</v>
      </c>
      <c r="T3465" s="7">
        <f>R3465-S3465</f>
        <v>0</v>
      </c>
      <c r="U3465" s="7">
        <f>T3465*O3465</f>
        <v>0</v>
      </c>
    </row>
    <row r="3466" spans="1:21">
      <c r="A3466" s="4" t="s">
        <v>4592</v>
      </c>
      <c r="B3466" s="4" t="s">
        <v>39</v>
      </c>
      <c r="C3466" s="5">
        <v>45971.36777777778</v>
      </c>
      <c r="D3466" s="5">
        <v>45971</v>
      </c>
      <c r="E3466" s="6">
        <f>IF(AND(C3466&lt;&gt;"",D3466&lt;&gt;""),D3466-C3466,"")</f>
        <v>0</v>
      </c>
      <c r="F3466" s="4" t="s">
        <v>64</v>
      </c>
      <c r="G3466" s="4" t="s">
        <v>4412</v>
      </c>
      <c r="H3466" s="4" t="s">
        <v>32</v>
      </c>
      <c r="I3466" s="4" t="s">
        <v>33</v>
      </c>
      <c r="J3466" s="4">
        <v>1</v>
      </c>
      <c r="K3466" s="4">
        <v>0</v>
      </c>
      <c r="L3466" s="4">
        <f>J3466+K3466</f>
        <v>0</v>
      </c>
      <c r="M3466" s="4" t="s">
        <v>80</v>
      </c>
      <c r="N3466" s="4"/>
      <c r="O3466" s="4">
        <v>1</v>
      </c>
      <c r="P3466" s="4" t="s">
        <v>135</v>
      </c>
      <c r="Q3466" s="4" t="s">
        <v>44</v>
      </c>
      <c r="R3466" s="7">
        <v>610000</v>
      </c>
      <c r="S3466" s="7">
        <v>0</v>
      </c>
      <c r="T3466" s="7">
        <f>R3466-S3466</f>
        <v>0</v>
      </c>
      <c r="U3466" s="7">
        <f>T3466*O3466</f>
        <v>0</v>
      </c>
    </row>
    <row r="3467" spans="1:21">
      <c r="A3467" s="4" t="s">
        <v>4593</v>
      </c>
      <c r="B3467" s="4" t="s">
        <v>39</v>
      </c>
      <c r="C3467" s="5">
        <v>45971.37164351852</v>
      </c>
      <c r="D3467" s="5">
        <v>45971</v>
      </c>
      <c r="E3467" s="6">
        <f>IF(AND(C3467&lt;&gt;"",D3467&lt;&gt;""),D3467-C3467,"")</f>
        <v>0</v>
      </c>
      <c r="F3467" s="4" t="s">
        <v>64</v>
      </c>
      <c r="G3467" s="4" t="s">
        <v>4412</v>
      </c>
      <c r="H3467" s="4" t="s">
        <v>32</v>
      </c>
      <c r="I3467" s="4" t="s">
        <v>33</v>
      </c>
      <c r="J3467" s="4">
        <v>1</v>
      </c>
      <c r="K3467" s="4">
        <v>0</v>
      </c>
      <c r="L3467" s="4">
        <f>J3467+K3467</f>
        <v>0</v>
      </c>
      <c r="M3467" s="4" t="s">
        <v>80</v>
      </c>
      <c r="N3467" s="4"/>
      <c r="O3467" s="4">
        <v>1</v>
      </c>
      <c r="P3467" s="4" t="s">
        <v>135</v>
      </c>
      <c r="Q3467" s="4" t="s">
        <v>44</v>
      </c>
      <c r="R3467" s="7">
        <v>610000</v>
      </c>
      <c r="S3467" s="7">
        <v>0</v>
      </c>
      <c r="T3467" s="7">
        <f>R3467-S3467</f>
        <v>0</v>
      </c>
      <c r="U3467" s="7">
        <f>T3467*O3467</f>
        <v>0</v>
      </c>
    </row>
    <row r="3468" spans="1:21">
      <c r="A3468" s="4" t="s">
        <v>4593</v>
      </c>
      <c r="B3468" s="4" t="s">
        <v>39</v>
      </c>
      <c r="C3468" s="5">
        <v>45971.37164351852</v>
      </c>
      <c r="D3468" s="5">
        <v>45971</v>
      </c>
      <c r="E3468" s="6">
        <f>IF(AND(C3468&lt;&gt;"",D3468&lt;&gt;""),D3468-C3468,"")</f>
        <v>0</v>
      </c>
      <c r="F3468" s="4" t="s">
        <v>64</v>
      </c>
      <c r="G3468" s="4" t="s">
        <v>4412</v>
      </c>
      <c r="H3468" s="4" t="s">
        <v>32</v>
      </c>
      <c r="I3468" s="4" t="s">
        <v>33</v>
      </c>
      <c r="J3468" s="4">
        <v>1</v>
      </c>
      <c r="K3468" s="4">
        <v>0</v>
      </c>
      <c r="L3468" s="4">
        <f>J3468+K3468</f>
        <v>0</v>
      </c>
      <c r="M3468" s="4" t="s">
        <v>80</v>
      </c>
      <c r="N3468" s="4"/>
      <c r="O3468" s="4">
        <v>1</v>
      </c>
      <c r="P3468" s="4" t="s">
        <v>135</v>
      </c>
      <c r="Q3468" s="4" t="s">
        <v>44</v>
      </c>
      <c r="R3468" s="7">
        <v>610000</v>
      </c>
      <c r="S3468" s="7">
        <v>0</v>
      </c>
      <c r="T3468" s="7">
        <f>R3468-S3468</f>
        <v>0</v>
      </c>
      <c r="U3468" s="7">
        <f>T3468*O3468</f>
        <v>0</v>
      </c>
    </row>
    <row r="3469" spans="1:21">
      <c r="A3469" s="4" t="s">
        <v>4594</v>
      </c>
      <c r="B3469" s="4" t="s">
        <v>39</v>
      </c>
      <c r="C3469" s="5">
        <v>45971.38535879629</v>
      </c>
      <c r="D3469" s="5">
        <v>45971</v>
      </c>
      <c r="E3469" s="6">
        <f>IF(AND(C3469&lt;&gt;"",D3469&lt;&gt;""),D3469-C3469,"")</f>
        <v>0</v>
      </c>
      <c r="F3469" s="4" t="s">
        <v>64</v>
      </c>
      <c r="G3469" s="4" t="s">
        <v>4412</v>
      </c>
      <c r="H3469" s="4" t="s">
        <v>32</v>
      </c>
      <c r="I3469" s="4" t="s">
        <v>33</v>
      </c>
      <c r="J3469" s="4">
        <v>1</v>
      </c>
      <c r="K3469" s="4">
        <v>0</v>
      </c>
      <c r="L3469" s="4">
        <f>J3469+K3469</f>
        <v>0</v>
      </c>
      <c r="M3469" s="4" t="s">
        <v>80</v>
      </c>
      <c r="N3469" s="4"/>
      <c r="O3469" s="4">
        <v>1</v>
      </c>
      <c r="P3469" s="4" t="s">
        <v>135</v>
      </c>
      <c r="Q3469" s="4" t="s">
        <v>44</v>
      </c>
      <c r="R3469" s="7">
        <v>610000</v>
      </c>
      <c r="S3469" s="7">
        <v>0</v>
      </c>
      <c r="T3469" s="7">
        <f>R3469-S3469</f>
        <v>0</v>
      </c>
      <c r="U3469" s="7">
        <f>T3469*O3469</f>
        <v>0</v>
      </c>
    </row>
    <row r="3470" spans="1:21">
      <c r="A3470" s="4" t="s">
        <v>4594</v>
      </c>
      <c r="B3470" s="4" t="s">
        <v>39</v>
      </c>
      <c r="C3470" s="5">
        <v>45971.38535879629</v>
      </c>
      <c r="D3470" s="5">
        <v>45971</v>
      </c>
      <c r="E3470" s="6">
        <f>IF(AND(C3470&lt;&gt;"",D3470&lt;&gt;""),D3470-C3470,"")</f>
        <v>0</v>
      </c>
      <c r="F3470" s="4" t="s">
        <v>64</v>
      </c>
      <c r="G3470" s="4" t="s">
        <v>4412</v>
      </c>
      <c r="H3470" s="4" t="s">
        <v>32</v>
      </c>
      <c r="I3470" s="4" t="s">
        <v>33</v>
      </c>
      <c r="J3470" s="4">
        <v>1</v>
      </c>
      <c r="K3470" s="4">
        <v>0</v>
      </c>
      <c r="L3470" s="4">
        <f>J3470+K3470</f>
        <v>0</v>
      </c>
      <c r="M3470" s="4" t="s">
        <v>80</v>
      </c>
      <c r="N3470" s="4"/>
      <c r="O3470" s="4">
        <v>1</v>
      </c>
      <c r="P3470" s="4" t="s">
        <v>135</v>
      </c>
      <c r="Q3470" s="4" t="s">
        <v>44</v>
      </c>
      <c r="R3470" s="7">
        <v>610000</v>
      </c>
      <c r="S3470" s="7">
        <v>0</v>
      </c>
      <c r="T3470" s="7">
        <f>R3470-S3470</f>
        <v>0</v>
      </c>
      <c r="U3470" s="7">
        <f>T3470*O3470</f>
        <v>0</v>
      </c>
    </row>
    <row r="3471" spans="1:21">
      <c r="A3471" s="4" t="s">
        <v>4595</v>
      </c>
      <c r="B3471" s="4" t="s">
        <v>48</v>
      </c>
      <c r="C3471" s="5">
        <v>45971.38974537037</v>
      </c>
      <c r="D3471" s="5">
        <v>45976</v>
      </c>
      <c r="E3471" s="6">
        <f>IF(AND(C3471&lt;&gt;"",D3471&lt;&gt;""),D3471-C3471,"")</f>
        <v>0</v>
      </c>
      <c r="F3471" s="4" t="s">
        <v>64</v>
      </c>
      <c r="G3471" s="4" t="s">
        <v>4412</v>
      </c>
      <c r="H3471" s="4" t="s">
        <v>32</v>
      </c>
      <c r="I3471" s="4" t="s">
        <v>33</v>
      </c>
      <c r="J3471" s="4">
        <v>2</v>
      </c>
      <c r="K3471" s="4">
        <v>0</v>
      </c>
      <c r="L3471" s="4">
        <f>J3471+K3471</f>
        <v>0</v>
      </c>
      <c r="M3471" s="4"/>
      <c r="N3471" s="4"/>
      <c r="O3471" s="4">
        <v>0</v>
      </c>
      <c r="P3471" s="4"/>
      <c r="Q3471" s="4"/>
      <c r="R3471" s="7">
        <v>0</v>
      </c>
      <c r="S3471" s="7">
        <v>0</v>
      </c>
      <c r="T3471" s="7">
        <f>R3471-S3471</f>
        <v>0</v>
      </c>
      <c r="U3471" s="7">
        <f>T3471*O3471</f>
        <v>0</v>
      </c>
    </row>
    <row r="3472" spans="1:21">
      <c r="A3472" s="4" t="s">
        <v>4596</v>
      </c>
      <c r="B3472" s="4" t="s">
        <v>39</v>
      </c>
      <c r="C3472" s="5">
        <v>45971.39054398148</v>
      </c>
      <c r="D3472" s="5">
        <v>45971</v>
      </c>
      <c r="E3472" s="6">
        <f>IF(AND(C3472&lt;&gt;"",D3472&lt;&gt;""),D3472-C3472,"")</f>
        <v>0</v>
      </c>
      <c r="F3472" s="4" t="s">
        <v>30</v>
      </c>
      <c r="G3472" s="4" t="s">
        <v>31</v>
      </c>
      <c r="H3472" s="4" t="s">
        <v>32</v>
      </c>
      <c r="I3472" s="4" t="s">
        <v>33</v>
      </c>
      <c r="J3472" s="4">
        <v>1</v>
      </c>
      <c r="K3472" s="4">
        <v>0</v>
      </c>
      <c r="L3472" s="4">
        <f>J3472+K3472</f>
        <v>0</v>
      </c>
      <c r="M3472" s="4" t="s">
        <v>42</v>
      </c>
      <c r="N3472" s="4"/>
      <c r="O3472" s="4">
        <v>1</v>
      </c>
      <c r="P3472" s="4" t="s">
        <v>135</v>
      </c>
      <c r="Q3472" s="4" t="s">
        <v>44</v>
      </c>
      <c r="R3472" s="7">
        <v>370000</v>
      </c>
      <c r="S3472" s="7">
        <v>0</v>
      </c>
      <c r="T3472" s="7">
        <f>R3472-S3472</f>
        <v>0</v>
      </c>
      <c r="U3472" s="7">
        <f>T3472*O3472</f>
        <v>0</v>
      </c>
    </row>
    <row r="3473" spans="1:21">
      <c r="A3473" s="4" t="s">
        <v>4596</v>
      </c>
      <c r="B3473" s="4" t="s">
        <v>39</v>
      </c>
      <c r="C3473" s="5">
        <v>45971.39054398148</v>
      </c>
      <c r="D3473" s="5">
        <v>45971</v>
      </c>
      <c r="E3473" s="6">
        <f>IF(AND(C3473&lt;&gt;"",D3473&lt;&gt;""),D3473-C3473,"")</f>
        <v>0</v>
      </c>
      <c r="F3473" s="4" t="s">
        <v>30</v>
      </c>
      <c r="G3473" s="4" t="s">
        <v>31</v>
      </c>
      <c r="H3473" s="4" t="s">
        <v>32</v>
      </c>
      <c r="I3473" s="4" t="s">
        <v>33</v>
      </c>
      <c r="J3473" s="4">
        <v>1</v>
      </c>
      <c r="K3473" s="4">
        <v>0</v>
      </c>
      <c r="L3473" s="4">
        <f>J3473+K3473</f>
        <v>0</v>
      </c>
      <c r="M3473" s="4" t="s">
        <v>42</v>
      </c>
      <c r="N3473" s="4"/>
      <c r="O3473" s="4">
        <v>1</v>
      </c>
      <c r="P3473" s="4" t="s">
        <v>135</v>
      </c>
      <c r="Q3473" s="4" t="s">
        <v>44</v>
      </c>
      <c r="R3473" s="7">
        <v>370000</v>
      </c>
      <c r="S3473" s="7">
        <v>0</v>
      </c>
      <c r="T3473" s="7">
        <f>R3473-S3473</f>
        <v>0</v>
      </c>
      <c r="U3473" s="7">
        <f>T3473*O3473</f>
        <v>0</v>
      </c>
    </row>
    <row r="3474" spans="1:21">
      <c r="A3474" s="4" t="s">
        <v>4596</v>
      </c>
      <c r="B3474" s="4" t="s">
        <v>39</v>
      </c>
      <c r="C3474" s="5">
        <v>45971.39054398148</v>
      </c>
      <c r="D3474" s="5">
        <v>45971</v>
      </c>
      <c r="E3474" s="6">
        <f>IF(AND(C3474&lt;&gt;"",D3474&lt;&gt;""),D3474-C3474,"")</f>
        <v>0</v>
      </c>
      <c r="F3474" s="4" t="s">
        <v>30</v>
      </c>
      <c r="G3474" s="4" t="s">
        <v>31</v>
      </c>
      <c r="H3474" s="4" t="s">
        <v>32</v>
      </c>
      <c r="I3474" s="4" t="s">
        <v>33</v>
      </c>
      <c r="J3474" s="4">
        <v>1</v>
      </c>
      <c r="K3474" s="4">
        <v>0</v>
      </c>
      <c r="L3474" s="4">
        <f>J3474+K3474</f>
        <v>0</v>
      </c>
      <c r="M3474" s="4" t="s">
        <v>80</v>
      </c>
      <c r="N3474" s="4"/>
      <c r="O3474" s="4">
        <v>1</v>
      </c>
      <c r="P3474" s="4" t="s">
        <v>135</v>
      </c>
      <c r="Q3474" s="4" t="s">
        <v>44</v>
      </c>
      <c r="R3474" s="7">
        <v>610000</v>
      </c>
      <c r="S3474" s="7">
        <v>0</v>
      </c>
      <c r="T3474" s="7">
        <f>R3474-S3474</f>
        <v>0</v>
      </c>
      <c r="U3474" s="7">
        <f>T3474*O3474</f>
        <v>0</v>
      </c>
    </row>
    <row r="3475" spans="1:21">
      <c r="A3475" s="4" t="s">
        <v>4596</v>
      </c>
      <c r="B3475" s="4" t="s">
        <v>39</v>
      </c>
      <c r="C3475" s="5">
        <v>45971.39054398148</v>
      </c>
      <c r="D3475" s="5">
        <v>45971</v>
      </c>
      <c r="E3475" s="6">
        <f>IF(AND(C3475&lt;&gt;"",D3475&lt;&gt;""),D3475-C3475,"")</f>
        <v>0</v>
      </c>
      <c r="F3475" s="4" t="s">
        <v>30</v>
      </c>
      <c r="G3475" s="4" t="s">
        <v>31</v>
      </c>
      <c r="H3475" s="4" t="s">
        <v>32</v>
      </c>
      <c r="I3475" s="4" t="s">
        <v>33</v>
      </c>
      <c r="J3475" s="4">
        <v>1</v>
      </c>
      <c r="K3475" s="4">
        <v>0</v>
      </c>
      <c r="L3475" s="4">
        <f>J3475+K3475</f>
        <v>0</v>
      </c>
      <c r="M3475" s="4" t="s">
        <v>80</v>
      </c>
      <c r="N3475" s="4"/>
      <c r="O3475" s="4">
        <v>1</v>
      </c>
      <c r="P3475" s="4" t="s">
        <v>135</v>
      </c>
      <c r="Q3475" s="4" t="s">
        <v>44</v>
      </c>
      <c r="R3475" s="7">
        <v>610000</v>
      </c>
      <c r="S3475" s="7">
        <v>0</v>
      </c>
      <c r="T3475" s="7">
        <f>R3475-S3475</f>
        <v>0</v>
      </c>
      <c r="U3475" s="7">
        <f>T3475*O3475</f>
        <v>0</v>
      </c>
    </row>
    <row r="3476" spans="1:21">
      <c r="A3476" s="4" t="s">
        <v>4597</v>
      </c>
      <c r="B3476" s="4" t="s">
        <v>48</v>
      </c>
      <c r="C3476" s="5">
        <v>45971.40318287037</v>
      </c>
      <c r="D3476" s="5">
        <v>45975</v>
      </c>
      <c r="E3476" s="6">
        <f>IF(AND(C3476&lt;&gt;"",D3476&lt;&gt;""),D3476-C3476,"")</f>
        <v>0</v>
      </c>
      <c r="F3476" s="4" t="s">
        <v>64</v>
      </c>
      <c r="G3476" s="4" t="s">
        <v>4412</v>
      </c>
      <c r="H3476" s="4" t="s">
        <v>32</v>
      </c>
      <c r="I3476" s="4" t="s">
        <v>33</v>
      </c>
      <c r="J3476" s="4">
        <v>2</v>
      </c>
      <c r="K3476" s="4">
        <v>0</v>
      </c>
      <c r="L3476" s="4">
        <f>J3476+K3476</f>
        <v>0</v>
      </c>
      <c r="M3476" s="4"/>
      <c r="N3476" s="4"/>
      <c r="O3476" s="4">
        <v>0</v>
      </c>
      <c r="P3476" s="4"/>
      <c r="Q3476" s="4"/>
      <c r="R3476" s="7">
        <v>0</v>
      </c>
      <c r="S3476" s="7">
        <v>0</v>
      </c>
      <c r="T3476" s="7">
        <f>R3476-S3476</f>
        <v>0</v>
      </c>
      <c r="U3476" s="7">
        <f>T3476*O3476</f>
        <v>0</v>
      </c>
    </row>
    <row r="3477" spans="1:21">
      <c r="A3477" s="4" t="s">
        <v>4598</v>
      </c>
      <c r="B3477" s="4" t="s">
        <v>48</v>
      </c>
      <c r="C3477" s="5">
        <v>45971.40527777778</v>
      </c>
      <c r="D3477" s="5">
        <v>45975</v>
      </c>
      <c r="E3477" s="6">
        <f>IF(AND(C3477&lt;&gt;"",D3477&lt;&gt;""),D3477-C3477,"")</f>
        <v>0</v>
      </c>
      <c r="F3477" s="4" t="s">
        <v>30</v>
      </c>
      <c r="G3477" s="4" t="s">
        <v>31</v>
      </c>
      <c r="H3477" s="4" t="s">
        <v>32</v>
      </c>
      <c r="I3477" s="4" t="s">
        <v>33</v>
      </c>
      <c r="J3477" s="4">
        <v>1</v>
      </c>
      <c r="K3477" s="4">
        <v>0</v>
      </c>
      <c r="L3477" s="4">
        <f>J3477+K3477</f>
        <v>0</v>
      </c>
      <c r="M3477" s="4"/>
      <c r="N3477" s="4"/>
      <c r="O3477" s="4">
        <v>0</v>
      </c>
      <c r="P3477" s="4"/>
      <c r="Q3477" s="4"/>
      <c r="R3477" s="7">
        <v>0</v>
      </c>
      <c r="S3477" s="7">
        <v>0</v>
      </c>
      <c r="T3477" s="7">
        <f>R3477-S3477</f>
        <v>0</v>
      </c>
      <c r="U3477" s="7">
        <f>T3477*O3477</f>
        <v>0</v>
      </c>
    </row>
    <row r="3478" spans="1:21">
      <c r="A3478" s="4" t="s">
        <v>4599</v>
      </c>
      <c r="B3478" s="4" t="s">
        <v>48</v>
      </c>
      <c r="C3478" s="5">
        <v>45971.43524305556</v>
      </c>
      <c r="D3478" s="5">
        <v>45975</v>
      </c>
      <c r="E3478" s="6">
        <f>IF(AND(C3478&lt;&gt;"",D3478&lt;&gt;""),D3478-C3478,"")</f>
        <v>0</v>
      </c>
      <c r="F3478" s="4" t="s">
        <v>30</v>
      </c>
      <c r="G3478" s="4" t="s">
        <v>31</v>
      </c>
      <c r="H3478" s="4" t="s">
        <v>32</v>
      </c>
      <c r="I3478" s="4" t="s">
        <v>33</v>
      </c>
      <c r="J3478" s="4">
        <v>2</v>
      </c>
      <c r="K3478" s="4">
        <v>0</v>
      </c>
      <c r="L3478" s="4">
        <f>J3478+K3478</f>
        <v>0</v>
      </c>
      <c r="M3478" s="4"/>
      <c r="N3478" s="4"/>
      <c r="O3478" s="4">
        <v>0</v>
      </c>
      <c r="P3478" s="4"/>
      <c r="Q3478" s="4"/>
      <c r="R3478" s="7">
        <v>0</v>
      </c>
      <c r="S3478" s="7">
        <v>0</v>
      </c>
      <c r="T3478" s="7">
        <f>R3478-S3478</f>
        <v>0</v>
      </c>
      <c r="U3478" s="7">
        <f>T3478*O3478</f>
        <v>0</v>
      </c>
    </row>
    <row r="3479" spans="1:21">
      <c r="A3479" s="4" t="s">
        <v>4600</v>
      </c>
      <c r="B3479" s="4" t="s">
        <v>48</v>
      </c>
      <c r="C3479" s="5">
        <v>45971.43734953704</v>
      </c>
      <c r="D3479" s="5">
        <v>45973</v>
      </c>
      <c r="E3479" s="6">
        <f>IF(AND(C3479&lt;&gt;"",D3479&lt;&gt;""),D3479-C3479,"")</f>
        <v>0</v>
      </c>
      <c r="F3479" s="4" t="s">
        <v>64</v>
      </c>
      <c r="G3479" s="4" t="s">
        <v>4412</v>
      </c>
      <c r="H3479" s="4" t="s">
        <v>32</v>
      </c>
      <c r="I3479" s="4" t="s">
        <v>33</v>
      </c>
      <c r="J3479" s="4">
        <v>2</v>
      </c>
      <c r="K3479" s="4">
        <v>0</v>
      </c>
      <c r="L3479" s="4">
        <f>J3479+K3479</f>
        <v>0</v>
      </c>
      <c r="M3479" s="4"/>
      <c r="N3479" s="4"/>
      <c r="O3479" s="4">
        <v>0</v>
      </c>
      <c r="P3479" s="4"/>
      <c r="Q3479" s="4"/>
      <c r="R3479" s="7">
        <v>0</v>
      </c>
      <c r="S3479" s="7">
        <v>0</v>
      </c>
      <c r="T3479" s="7">
        <f>R3479-S3479</f>
        <v>0</v>
      </c>
      <c r="U3479" s="7">
        <f>T3479*O3479</f>
        <v>0</v>
      </c>
    </row>
    <row r="3480" spans="1:21">
      <c r="A3480" s="4" t="s">
        <v>4601</v>
      </c>
      <c r="B3480" s="4" t="s">
        <v>48</v>
      </c>
      <c r="C3480" s="5">
        <v>45971.60493055556</v>
      </c>
      <c r="D3480" s="5">
        <v>45973</v>
      </c>
      <c r="E3480" s="6">
        <f>IF(AND(C3480&lt;&gt;"",D3480&lt;&gt;""),D3480-C3480,"")</f>
        <v>0</v>
      </c>
      <c r="F3480" s="4" t="s">
        <v>64</v>
      </c>
      <c r="G3480" s="4" t="s">
        <v>4412</v>
      </c>
      <c r="H3480" s="4" t="s">
        <v>32</v>
      </c>
      <c r="I3480" s="4" t="s">
        <v>33</v>
      </c>
      <c r="J3480" s="4">
        <v>2</v>
      </c>
      <c r="K3480" s="4">
        <v>0</v>
      </c>
      <c r="L3480" s="4">
        <f>J3480+K3480</f>
        <v>0</v>
      </c>
      <c r="M3480" s="4"/>
      <c r="N3480" s="4"/>
      <c r="O3480" s="4">
        <v>0</v>
      </c>
      <c r="P3480" s="4"/>
      <c r="Q3480" s="4"/>
      <c r="R3480" s="7">
        <v>0</v>
      </c>
      <c r="S3480" s="7">
        <v>0</v>
      </c>
      <c r="T3480" s="7">
        <f>R3480-S3480</f>
        <v>0</v>
      </c>
      <c r="U3480" s="7">
        <f>T3480*O3480</f>
        <v>0</v>
      </c>
    </row>
    <row r="3481" spans="1:21">
      <c r="A3481" s="4" t="s">
        <v>4602</v>
      </c>
      <c r="B3481" s="4" t="s">
        <v>39</v>
      </c>
      <c r="C3481" s="5">
        <v>45971.61319444444</v>
      </c>
      <c r="D3481" s="5">
        <v>45971</v>
      </c>
      <c r="E3481" s="6">
        <f>IF(AND(C3481&lt;&gt;"",D3481&lt;&gt;""),D3481-C3481,"")</f>
        <v>0</v>
      </c>
      <c r="F3481" s="4" t="s">
        <v>4603</v>
      </c>
      <c r="G3481" s="4" t="s">
        <v>4604</v>
      </c>
      <c r="H3481" s="4" t="s">
        <v>32</v>
      </c>
      <c r="I3481" s="4" t="s">
        <v>33</v>
      </c>
      <c r="J3481" s="4">
        <v>2</v>
      </c>
      <c r="K3481" s="4">
        <v>0</v>
      </c>
      <c r="L3481" s="4">
        <f>J3481+K3481</f>
        <v>0</v>
      </c>
      <c r="M3481" s="4" t="s">
        <v>80</v>
      </c>
      <c r="N3481" s="4"/>
      <c r="O3481" s="4">
        <v>2</v>
      </c>
      <c r="P3481" s="4" t="s">
        <v>135</v>
      </c>
      <c r="Q3481" s="4" t="s">
        <v>3213</v>
      </c>
      <c r="R3481" s="7">
        <v>549000</v>
      </c>
      <c r="S3481" s="7">
        <v>54900</v>
      </c>
      <c r="T3481" s="7">
        <f>R3481-S3481</f>
        <v>0</v>
      </c>
      <c r="U3481" s="7">
        <f>T3481*O3481</f>
        <v>0</v>
      </c>
    </row>
    <row r="3482" spans="1:21">
      <c r="A3482" s="4" t="s">
        <v>4605</v>
      </c>
      <c r="B3482" s="4" t="s">
        <v>39</v>
      </c>
      <c r="C3482" s="5">
        <v>45971.62479166667</v>
      </c>
      <c r="D3482" s="5">
        <v>45971</v>
      </c>
      <c r="E3482" s="6">
        <f>IF(AND(C3482&lt;&gt;"",D3482&lt;&gt;""),D3482-C3482,"")</f>
        <v>0</v>
      </c>
      <c r="F3482" s="4" t="s">
        <v>188</v>
      </c>
      <c r="G3482" s="4" t="s">
        <v>4606</v>
      </c>
      <c r="H3482" s="4" t="s">
        <v>32</v>
      </c>
      <c r="I3482" s="4" t="s">
        <v>33</v>
      </c>
      <c r="J3482" s="4">
        <v>0</v>
      </c>
      <c r="K3482" s="4">
        <v>0</v>
      </c>
      <c r="L3482" s="4">
        <f>J3482+K3482</f>
        <v>0</v>
      </c>
      <c r="M3482" s="4" t="s">
        <v>370</v>
      </c>
      <c r="N3482" s="4"/>
      <c r="O3482" s="4">
        <v>1</v>
      </c>
      <c r="P3482" s="4" t="s">
        <v>135</v>
      </c>
      <c r="Q3482" s="4" t="s">
        <v>44</v>
      </c>
      <c r="R3482" s="7">
        <v>1000000</v>
      </c>
      <c r="S3482" s="7">
        <v>0</v>
      </c>
      <c r="T3482" s="7">
        <f>R3482-S3482</f>
        <v>0</v>
      </c>
      <c r="U3482" s="7">
        <f>T3482*O3482</f>
        <v>0</v>
      </c>
    </row>
    <row r="3483" spans="1:21">
      <c r="A3483" s="4" t="s">
        <v>4607</v>
      </c>
      <c r="B3483" s="4" t="s">
        <v>48</v>
      </c>
      <c r="C3483" s="5">
        <v>45971.64354166666</v>
      </c>
      <c r="D3483" s="5">
        <v>45973</v>
      </c>
      <c r="E3483" s="6">
        <f>IF(AND(C3483&lt;&gt;"",D3483&lt;&gt;""),D3483-C3483,"")</f>
        <v>0</v>
      </c>
      <c r="F3483" s="4" t="s">
        <v>64</v>
      </c>
      <c r="G3483" s="4" t="s">
        <v>4412</v>
      </c>
      <c r="H3483" s="4" t="s">
        <v>32</v>
      </c>
      <c r="I3483" s="4" t="s">
        <v>33</v>
      </c>
      <c r="J3483" s="4">
        <v>3</v>
      </c>
      <c r="K3483" s="4">
        <v>0</v>
      </c>
      <c r="L3483" s="4">
        <f>J3483+K3483</f>
        <v>0</v>
      </c>
      <c r="M3483" s="4"/>
      <c r="N3483" s="4"/>
      <c r="O3483" s="4">
        <v>0</v>
      </c>
      <c r="P3483" s="4"/>
      <c r="Q3483" s="4"/>
      <c r="R3483" s="7">
        <v>0</v>
      </c>
      <c r="S3483" s="7">
        <v>0</v>
      </c>
      <c r="T3483" s="7">
        <f>R3483-S3483</f>
        <v>0</v>
      </c>
      <c r="U3483" s="7">
        <f>T3483*O3483</f>
        <v>0</v>
      </c>
    </row>
    <row r="3484" spans="1:21">
      <c r="A3484" s="4" t="s">
        <v>4608</v>
      </c>
      <c r="B3484" s="4" t="s">
        <v>39</v>
      </c>
      <c r="C3484" s="5">
        <v>45971.65166666666</v>
      </c>
      <c r="D3484" s="5">
        <v>45971</v>
      </c>
      <c r="E3484" s="6">
        <f>IF(AND(C3484&lt;&gt;"",D3484&lt;&gt;""),D3484-C3484,"")</f>
        <v>0</v>
      </c>
      <c r="F3484" s="4" t="s">
        <v>4609</v>
      </c>
      <c r="G3484" s="4" t="s">
        <v>4610</v>
      </c>
      <c r="H3484" s="4" t="s">
        <v>32</v>
      </c>
      <c r="I3484" s="4" t="s">
        <v>33</v>
      </c>
      <c r="J3484" s="4">
        <v>0</v>
      </c>
      <c r="K3484" s="4">
        <v>0</v>
      </c>
      <c r="L3484" s="4">
        <f>J3484+K3484</f>
        <v>0</v>
      </c>
      <c r="M3484" s="4" t="s">
        <v>370</v>
      </c>
      <c r="N3484" s="4"/>
      <c r="O3484" s="4">
        <v>1</v>
      </c>
      <c r="P3484" s="4" t="s">
        <v>135</v>
      </c>
      <c r="Q3484" s="4" t="s">
        <v>44</v>
      </c>
      <c r="R3484" s="7">
        <v>1000000</v>
      </c>
      <c r="S3484" s="7">
        <v>0</v>
      </c>
      <c r="T3484" s="7">
        <f>R3484-S3484</f>
        <v>0</v>
      </c>
      <c r="U3484" s="7">
        <f>T3484*O3484</f>
        <v>0</v>
      </c>
    </row>
    <row r="3485" spans="1:21">
      <c r="A3485" s="4" t="s">
        <v>4611</v>
      </c>
      <c r="B3485" s="4" t="s">
        <v>39</v>
      </c>
      <c r="C3485" s="5">
        <v>45972.08940972222</v>
      </c>
      <c r="D3485" s="5">
        <v>45972</v>
      </c>
      <c r="E3485" s="6">
        <f>IF(AND(C3485&lt;&gt;"",D3485&lt;&gt;""),D3485-C3485,"")</f>
        <v>0</v>
      </c>
      <c r="F3485" s="4" t="s">
        <v>4612</v>
      </c>
      <c r="G3485" s="4" t="s">
        <v>4613</v>
      </c>
      <c r="H3485" s="4" t="s">
        <v>32</v>
      </c>
      <c r="I3485" s="4" t="s">
        <v>33</v>
      </c>
      <c r="J3485" s="4">
        <v>0</v>
      </c>
      <c r="K3485" s="4">
        <v>0</v>
      </c>
      <c r="L3485" s="4">
        <f>J3485+K3485</f>
        <v>0</v>
      </c>
      <c r="M3485" s="4" t="s">
        <v>4614</v>
      </c>
      <c r="N3485" s="4" t="s">
        <v>4615</v>
      </c>
      <c r="O3485" s="4">
        <v>1</v>
      </c>
      <c r="P3485" s="4" t="s">
        <v>135</v>
      </c>
      <c r="Q3485" s="4" t="s">
        <v>44</v>
      </c>
      <c r="R3485" s="7">
        <v>-50000</v>
      </c>
      <c r="S3485" s="7">
        <v>0</v>
      </c>
      <c r="T3485" s="7">
        <f>R3485-S3485</f>
        <v>0</v>
      </c>
      <c r="U3485" s="7">
        <f>T3485*O3485</f>
        <v>0</v>
      </c>
    </row>
    <row r="3486" spans="1:21">
      <c r="A3486" s="4" t="s">
        <v>4611</v>
      </c>
      <c r="B3486" s="4" t="s">
        <v>39</v>
      </c>
      <c r="C3486" s="5">
        <v>45972.08940972222</v>
      </c>
      <c r="D3486" s="5">
        <v>45972</v>
      </c>
      <c r="E3486" s="6">
        <f>IF(AND(C3486&lt;&gt;"",D3486&lt;&gt;""),D3486-C3486,"")</f>
        <v>0</v>
      </c>
      <c r="F3486" s="4" t="s">
        <v>4612</v>
      </c>
      <c r="G3486" s="4" t="s">
        <v>4613</v>
      </c>
      <c r="H3486" s="4" t="s">
        <v>32</v>
      </c>
      <c r="I3486" s="4" t="s">
        <v>33</v>
      </c>
      <c r="J3486" s="4">
        <v>0</v>
      </c>
      <c r="K3486" s="4">
        <v>0</v>
      </c>
      <c r="L3486" s="4">
        <f>J3486+K3486</f>
        <v>0</v>
      </c>
      <c r="M3486" s="4" t="s">
        <v>370</v>
      </c>
      <c r="N3486" s="4"/>
      <c r="O3486" s="4">
        <v>1</v>
      </c>
      <c r="P3486" s="4" t="s">
        <v>135</v>
      </c>
      <c r="Q3486" s="4" t="s">
        <v>44</v>
      </c>
      <c r="R3486" s="7">
        <v>500000</v>
      </c>
      <c r="S3486" s="7">
        <v>0</v>
      </c>
      <c r="T3486" s="7">
        <f>R3486-S3486</f>
        <v>0</v>
      </c>
      <c r="U3486" s="7">
        <f>T3486*O3486</f>
        <v>0</v>
      </c>
    </row>
    <row r="3487" spans="1:21">
      <c r="A3487" s="4" t="s">
        <v>4616</v>
      </c>
      <c r="B3487" s="4" t="s">
        <v>39</v>
      </c>
      <c r="C3487" s="5">
        <v>45972.32381944444</v>
      </c>
      <c r="D3487" s="5">
        <v>45972</v>
      </c>
      <c r="E3487" s="6">
        <f>IF(AND(C3487&lt;&gt;"",D3487&lt;&gt;""),D3487-C3487,"")</f>
        <v>0</v>
      </c>
      <c r="F3487" s="4" t="s">
        <v>4370</v>
      </c>
      <c r="G3487" s="4" t="s">
        <v>4371</v>
      </c>
      <c r="H3487" s="4" t="s">
        <v>32</v>
      </c>
      <c r="I3487" s="4" t="s">
        <v>33</v>
      </c>
      <c r="J3487" s="4">
        <v>0</v>
      </c>
      <c r="K3487" s="4">
        <v>0</v>
      </c>
      <c r="L3487" s="4">
        <f>J3487+K3487</f>
        <v>0</v>
      </c>
      <c r="M3487" s="4" t="s">
        <v>1840</v>
      </c>
      <c r="N3487" s="4"/>
      <c r="O3487" s="4">
        <v>1</v>
      </c>
      <c r="P3487" s="4" t="s">
        <v>135</v>
      </c>
      <c r="Q3487" s="4"/>
      <c r="R3487" s="7">
        <v>153000</v>
      </c>
      <c r="S3487" s="7">
        <v>0</v>
      </c>
      <c r="T3487" s="7">
        <f>R3487-S3487</f>
        <v>0</v>
      </c>
      <c r="U3487" s="7">
        <f>T3487*O3487</f>
        <v>0</v>
      </c>
    </row>
    <row r="3488" spans="1:21">
      <c r="A3488" s="4" t="s">
        <v>4616</v>
      </c>
      <c r="B3488" s="4" t="s">
        <v>39</v>
      </c>
      <c r="C3488" s="5">
        <v>45972.32381944444</v>
      </c>
      <c r="D3488" s="5">
        <v>45972</v>
      </c>
      <c r="E3488" s="6">
        <f>IF(AND(C3488&lt;&gt;"",D3488&lt;&gt;""),D3488-C3488,"")</f>
        <v>0</v>
      </c>
      <c r="F3488" s="4" t="s">
        <v>4370</v>
      </c>
      <c r="G3488" s="4" t="s">
        <v>4371</v>
      </c>
      <c r="H3488" s="4" t="s">
        <v>32</v>
      </c>
      <c r="I3488" s="4" t="s">
        <v>33</v>
      </c>
      <c r="J3488" s="4">
        <v>0</v>
      </c>
      <c r="K3488" s="4">
        <v>0</v>
      </c>
      <c r="L3488" s="4">
        <f>J3488+K3488</f>
        <v>0</v>
      </c>
      <c r="M3488" s="4" t="s">
        <v>1840</v>
      </c>
      <c r="N3488" s="4"/>
      <c r="O3488" s="4">
        <v>1</v>
      </c>
      <c r="P3488" s="4" t="s">
        <v>135</v>
      </c>
      <c r="Q3488" s="4"/>
      <c r="R3488" s="7">
        <v>153000</v>
      </c>
      <c r="S3488" s="7">
        <v>0</v>
      </c>
      <c r="T3488" s="7">
        <f>R3488-S3488</f>
        <v>0</v>
      </c>
      <c r="U3488" s="7">
        <f>T3488*O3488</f>
        <v>0</v>
      </c>
    </row>
    <row r="3489" spans="1:21">
      <c r="A3489" s="4" t="s">
        <v>4616</v>
      </c>
      <c r="B3489" s="4" t="s">
        <v>39</v>
      </c>
      <c r="C3489" s="5">
        <v>45972.32381944444</v>
      </c>
      <c r="D3489" s="5">
        <v>45972</v>
      </c>
      <c r="E3489" s="6">
        <f>IF(AND(C3489&lt;&gt;"",D3489&lt;&gt;""),D3489-C3489,"")</f>
        <v>0</v>
      </c>
      <c r="F3489" s="4" t="s">
        <v>4370</v>
      </c>
      <c r="G3489" s="4" t="s">
        <v>4371</v>
      </c>
      <c r="H3489" s="4" t="s">
        <v>32</v>
      </c>
      <c r="I3489" s="4" t="s">
        <v>33</v>
      </c>
      <c r="J3489" s="4">
        <v>0</v>
      </c>
      <c r="K3489" s="4">
        <v>0</v>
      </c>
      <c r="L3489" s="4">
        <f>J3489+K3489</f>
        <v>0</v>
      </c>
      <c r="M3489" s="4" t="s">
        <v>1840</v>
      </c>
      <c r="N3489" s="4"/>
      <c r="O3489" s="4">
        <v>1</v>
      </c>
      <c r="P3489" s="4" t="s">
        <v>135</v>
      </c>
      <c r="Q3489" s="4"/>
      <c r="R3489" s="7">
        <v>153000</v>
      </c>
      <c r="S3489" s="7">
        <v>0</v>
      </c>
      <c r="T3489" s="7">
        <f>R3489-S3489</f>
        <v>0</v>
      </c>
      <c r="U3489" s="7">
        <f>T3489*O3489</f>
        <v>0</v>
      </c>
    </row>
    <row r="3490" spans="1:21">
      <c r="A3490" s="4" t="s">
        <v>4616</v>
      </c>
      <c r="B3490" s="4" t="s">
        <v>39</v>
      </c>
      <c r="C3490" s="5">
        <v>45972.32381944444</v>
      </c>
      <c r="D3490" s="5">
        <v>45972</v>
      </c>
      <c r="E3490" s="6">
        <f>IF(AND(C3490&lt;&gt;"",D3490&lt;&gt;""),D3490-C3490,"")</f>
        <v>0</v>
      </c>
      <c r="F3490" s="4" t="s">
        <v>4370</v>
      </c>
      <c r="G3490" s="4" t="s">
        <v>4371</v>
      </c>
      <c r="H3490" s="4" t="s">
        <v>32</v>
      </c>
      <c r="I3490" s="4" t="s">
        <v>33</v>
      </c>
      <c r="J3490" s="4">
        <v>0</v>
      </c>
      <c r="K3490" s="4">
        <v>0</v>
      </c>
      <c r="L3490" s="4">
        <f>J3490+K3490</f>
        <v>0</v>
      </c>
      <c r="M3490" s="4" t="s">
        <v>1840</v>
      </c>
      <c r="N3490" s="4"/>
      <c r="O3490" s="4">
        <v>1</v>
      </c>
      <c r="P3490" s="4" t="s">
        <v>135</v>
      </c>
      <c r="Q3490" s="4"/>
      <c r="R3490" s="7">
        <v>153000</v>
      </c>
      <c r="S3490" s="7">
        <v>0</v>
      </c>
      <c r="T3490" s="7">
        <f>R3490-S3490</f>
        <v>0</v>
      </c>
      <c r="U3490" s="7">
        <f>T3490*O3490</f>
        <v>0</v>
      </c>
    </row>
    <row r="3491" spans="1:21">
      <c r="A3491" s="4" t="s">
        <v>4617</v>
      </c>
      <c r="B3491" s="4" t="s">
        <v>39</v>
      </c>
      <c r="C3491" s="5">
        <v>45972.34178240741</v>
      </c>
      <c r="D3491" s="5">
        <v>45972</v>
      </c>
      <c r="E3491" s="6">
        <f>IF(AND(C3491&lt;&gt;"",D3491&lt;&gt;""),D3491-C3491,"")</f>
        <v>0</v>
      </c>
      <c r="F3491" s="4" t="s">
        <v>3727</v>
      </c>
      <c r="G3491" s="4" t="s">
        <v>4618</v>
      </c>
      <c r="H3491" s="4" t="s">
        <v>32</v>
      </c>
      <c r="I3491" s="4" t="s">
        <v>33</v>
      </c>
      <c r="J3491" s="4">
        <v>0</v>
      </c>
      <c r="K3491" s="4">
        <v>0</v>
      </c>
      <c r="L3491" s="4">
        <f>J3491+K3491</f>
        <v>0</v>
      </c>
      <c r="M3491" s="4" t="s">
        <v>1558</v>
      </c>
      <c r="N3491" s="4"/>
      <c r="O3491" s="4">
        <v>1</v>
      </c>
      <c r="P3491" s="4" t="s">
        <v>135</v>
      </c>
      <c r="Q3491" s="4"/>
      <c r="R3491" s="7">
        <v>84000</v>
      </c>
      <c r="S3491" s="7">
        <v>0</v>
      </c>
      <c r="T3491" s="7">
        <f>R3491-S3491</f>
        <v>0</v>
      </c>
      <c r="U3491" s="7">
        <f>T3491*O3491</f>
        <v>0</v>
      </c>
    </row>
    <row r="3492" spans="1:21">
      <c r="A3492" s="4" t="s">
        <v>4617</v>
      </c>
      <c r="B3492" s="4" t="s">
        <v>39</v>
      </c>
      <c r="C3492" s="5">
        <v>45972.34178240741</v>
      </c>
      <c r="D3492" s="5">
        <v>45972</v>
      </c>
      <c r="E3492" s="6">
        <f>IF(AND(C3492&lt;&gt;"",D3492&lt;&gt;""),D3492-C3492,"")</f>
        <v>0</v>
      </c>
      <c r="F3492" s="4" t="s">
        <v>3727</v>
      </c>
      <c r="G3492" s="4" t="s">
        <v>4618</v>
      </c>
      <c r="H3492" s="4" t="s">
        <v>32</v>
      </c>
      <c r="I3492" s="4" t="s">
        <v>33</v>
      </c>
      <c r="J3492" s="4">
        <v>0</v>
      </c>
      <c r="K3492" s="4">
        <v>0</v>
      </c>
      <c r="L3492" s="4">
        <f>J3492+K3492</f>
        <v>0</v>
      </c>
      <c r="M3492" s="4" t="s">
        <v>1558</v>
      </c>
      <c r="N3492" s="4"/>
      <c r="O3492" s="4">
        <v>1</v>
      </c>
      <c r="P3492" s="4" t="s">
        <v>135</v>
      </c>
      <c r="Q3492" s="4"/>
      <c r="R3492" s="7">
        <v>84000</v>
      </c>
      <c r="S3492" s="7">
        <v>0</v>
      </c>
      <c r="T3492" s="7">
        <f>R3492-S3492</f>
        <v>0</v>
      </c>
      <c r="U3492" s="7">
        <f>T3492*O3492</f>
        <v>0</v>
      </c>
    </row>
    <row r="3493" spans="1:21">
      <c r="A3493" s="4" t="s">
        <v>4617</v>
      </c>
      <c r="B3493" s="4" t="s">
        <v>39</v>
      </c>
      <c r="C3493" s="5">
        <v>45972.34178240741</v>
      </c>
      <c r="D3493" s="5">
        <v>45972</v>
      </c>
      <c r="E3493" s="6">
        <f>IF(AND(C3493&lt;&gt;"",D3493&lt;&gt;""),D3493-C3493,"")</f>
        <v>0</v>
      </c>
      <c r="F3493" s="4" t="s">
        <v>3727</v>
      </c>
      <c r="G3493" s="4" t="s">
        <v>4618</v>
      </c>
      <c r="H3493" s="4" t="s">
        <v>32</v>
      </c>
      <c r="I3493" s="4" t="s">
        <v>33</v>
      </c>
      <c r="J3493" s="4">
        <v>0</v>
      </c>
      <c r="K3493" s="4">
        <v>0</v>
      </c>
      <c r="L3493" s="4">
        <f>J3493+K3493</f>
        <v>0</v>
      </c>
      <c r="M3493" s="4" t="s">
        <v>1558</v>
      </c>
      <c r="N3493" s="4"/>
      <c r="O3493" s="4">
        <v>1</v>
      </c>
      <c r="P3493" s="4" t="s">
        <v>135</v>
      </c>
      <c r="Q3493" s="4"/>
      <c r="R3493" s="7">
        <v>84000</v>
      </c>
      <c r="S3493" s="7">
        <v>0</v>
      </c>
      <c r="T3493" s="7">
        <f>R3493-S3493</f>
        <v>0</v>
      </c>
      <c r="U3493" s="7">
        <f>T3493*O3493</f>
        <v>0</v>
      </c>
    </row>
    <row r="3494" spans="1:21">
      <c r="A3494" s="4" t="s">
        <v>4619</v>
      </c>
      <c r="B3494" s="4" t="s">
        <v>39</v>
      </c>
      <c r="C3494" s="5">
        <v>45972.34289351852</v>
      </c>
      <c r="D3494" s="5">
        <v>45972</v>
      </c>
      <c r="E3494" s="6">
        <f>IF(AND(C3494&lt;&gt;"",D3494&lt;&gt;""),D3494-C3494,"")</f>
        <v>0</v>
      </c>
      <c r="F3494" s="4" t="s">
        <v>4620</v>
      </c>
      <c r="G3494" s="4" t="s">
        <v>4621</v>
      </c>
      <c r="H3494" s="4" t="s">
        <v>32</v>
      </c>
      <c r="I3494" s="4" t="s">
        <v>33</v>
      </c>
      <c r="J3494" s="4">
        <v>0</v>
      </c>
      <c r="K3494" s="4">
        <v>0</v>
      </c>
      <c r="L3494" s="4">
        <f>J3494+K3494</f>
        <v>0</v>
      </c>
      <c r="M3494" s="4" t="s">
        <v>3894</v>
      </c>
      <c r="N3494" s="4"/>
      <c r="O3494" s="4">
        <v>1</v>
      </c>
      <c r="P3494" s="4" t="s">
        <v>135</v>
      </c>
      <c r="Q3494" s="4"/>
      <c r="R3494" s="7">
        <v>44000</v>
      </c>
      <c r="S3494" s="7">
        <v>0</v>
      </c>
      <c r="T3494" s="7">
        <f>R3494-S3494</f>
        <v>0</v>
      </c>
      <c r="U3494" s="7">
        <f>T3494*O3494</f>
        <v>0</v>
      </c>
    </row>
    <row r="3495" spans="1:21">
      <c r="A3495" s="4" t="s">
        <v>4619</v>
      </c>
      <c r="B3495" s="4" t="s">
        <v>39</v>
      </c>
      <c r="C3495" s="5">
        <v>45972.34289351852</v>
      </c>
      <c r="D3495" s="5">
        <v>45972</v>
      </c>
      <c r="E3495" s="6">
        <f>IF(AND(C3495&lt;&gt;"",D3495&lt;&gt;""),D3495-C3495,"")</f>
        <v>0</v>
      </c>
      <c r="F3495" s="4" t="s">
        <v>4620</v>
      </c>
      <c r="G3495" s="4" t="s">
        <v>4621</v>
      </c>
      <c r="H3495" s="4" t="s">
        <v>32</v>
      </c>
      <c r="I3495" s="4" t="s">
        <v>33</v>
      </c>
      <c r="J3495" s="4">
        <v>0</v>
      </c>
      <c r="K3495" s="4">
        <v>0</v>
      </c>
      <c r="L3495" s="4">
        <f>J3495+K3495</f>
        <v>0</v>
      </c>
      <c r="M3495" s="4" t="s">
        <v>3929</v>
      </c>
      <c r="N3495" s="4"/>
      <c r="O3495" s="4">
        <v>1</v>
      </c>
      <c r="P3495" s="4" t="s">
        <v>135</v>
      </c>
      <c r="Q3495" s="4"/>
      <c r="R3495" s="7">
        <v>89000</v>
      </c>
      <c r="S3495" s="7">
        <v>0</v>
      </c>
      <c r="T3495" s="7">
        <f>R3495-S3495</f>
        <v>0</v>
      </c>
      <c r="U3495" s="7">
        <f>T3495*O3495</f>
        <v>0</v>
      </c>
    </row>
    <row r="3496" spans="1:21">
      <c r="A3496" s="4" t="s">
        <v>4619</v>
      </c>
      <c r="B3496" s="4" t="s">
        <v>39</v>
      </c>
      <c r="C3496" s="5">
        <v>45972.34289351852</v>
      </c>
      <c r="D3496" s="5">
        <v>45972</v>
      </c>
      <c r="E3496" s="6">
        <f>IF(AND(C3496&lt;&gt;"",D3496&lt;&gt;""),D3496-C3496,"")</f>
        <v>0</v>
      </c>
      <c r="F3496" s="4" t="s">
        <v>4620</v>
      </c>
      <c r="G3496" s="4" t="s">
        <v>4621</v>
      </c>
      <c r="H3496" s="4" t="s">
        <v>32</v>
      </c>
      <c r="I3496" s="4" t="s">
        <v>33</v>
      </c>
      <c r="J3496" s="4">
        <v>0</v>
      </c>
      <c r="K3496" s="4">
        <v>0</v>
      </c>
      <c r="L3496" s="4">
        <f>J3496+K3496</f>
        <v>0</v>
      </c>
      <c r="M3496" s="4" t="s">
        <v>3929</v>
      </c>
      <c r="N3496" s="4"/>
      <c r="O3496" s="4">
        <v>1</v>
      </c>
      <c r="P3496" s="4" t="s">
        <v>135</v>
      </c>
      <c r="Q3496" s="4"/>
      <c r="R3496" s="7">
        <v>89000</v>
      </c>
      <c r="S3496" s="7">
        <v>0</v>
      </c>
      <c r="T3496" s="7">
        <f>R3496-S3496</f>
        <v>0</v>
      </c>
      <c r="U3496" s="7">
        <f>T3496*O3496</f>
        <v>0</v>
      </c>
    </row>
    <row r="3497" spans="1:21">
      <c r="A3497" s="4" t="s">
        <v>4622</v>
      </c>
      <c r="B3497" s="4" t="s">
        <v>39</v>
      </c>
      <c r="C3497" s="5">
        <v>45972.34362268518</v>
      </c>
      <c r="D3497" s="5">
        <v>45972</v>
      </c>
      <c r="E3497" s="6">
        <f>IF(AND(C3497&lt;&gt;"",D3497&lt;&gt;""),D3497-C3497,"")</f>
        <v>0</v>
      </c>
      <c r="F3497" s="4" t="s">
        <v>4154</v>
      </c>
      <c r="G3497" s="4" t="s">
        <v>4623</v>
      </c>
      <c r="H3497" s="4" t="s">
        <v>32</v>
      </c>
      <c r="I3497" s="4" t="s">
        <v>33</v>
      </c>
      <c r="J3497" s="4">
        <v>0</v>
      </c>
      <c r="K3497" s="4">
        <v>0</v>
      </c>
      <c r="L3497" s="4">
        <f>J3497+K3497</f>
        <v>0</v>
      </c>
      <c r="M3497" s="4" t="s">
        <v>3898</v>
      </c>
      <c r="N3497" s="4"/>
      <c r="O3497" s="4">
        <v>1</v>
      </c>
      <c r="P3497" s="4" t="s">
        <v>135</v>
      </c>
      <c r="Q3497" s="4"/>
      <c r="R3497" s="7">
        <v>44000</v>
      </c>
      <c r="S3497" s="7">
        <v>0</v>
      </c>
      <c r="T3497" s="7">
        <f>R3497-S3497</f>
        <v>0</v>
      </c>
      <c r="U3497" s="7">
        <f>T3497*O3497</f>
        <v>0</v>
      </c>
    </row>
    <row r="3498" spans="1:21">
      <c r="A3498" s="4" t="s">
        <v>4622</v>
      </c>
      <c r="B3498" s="4" t="s">
        <v>39</v>
      </c>
      <c r="C3498" s="5">
        <v>45972.34362268518</v>
      </c>
      <c r="D3498" s="5">
        <v>45972</v>
      </c>
      <c r="E3498" s="6">
        <f>IF(AND(C3498&lt;&gt;"",D3498&lt;&gt;""),D3498-C3498,"")</f>
        <v>0</v>
      </c>
      <c r="F3498" s="4" t="s">
        <v>4154</v>
      </c>
      <c r="G3498" s="4" t="s">
        <v>4623</v>
      </c>
      <c r="H3498" s="4" t="s">
        <v>32</v>
      </c>
      <c r="I3498" s="4" t="s">
        <v>33</v>
      </c>
      <c r="J3498" s="4">
        <v>0</v>
      </c>
      <c r="K3498" s="4">
        <v>0</v>
      </c>
      <c r="L3498" s="4">
        <f>J3498+K3498</f>
        <v>0</v>
      </c>
      <c r="M3498" s="4" t="s">
        <v>1558</v>
      </c>
      <c r="N3498" s="4"/>
      <c r="O3498" s="4">
        <v>1</v>
      </c>
      <c r="P3498" s="4" t="s">
        <v>135</v>
      </c>
      <c r="Q3498" s="4"/>
      <c r="R3498" s="7">
        <v>84000</v>
      </c>
      <c r="S3498" s="7">
        <v>0</v>
      </c>
      <c r="T3498" s="7">
        <f>R3498-S3498</f>
        <v>0</v>
      </c>
      <c r="U3498" s="7">
        <f>T3498*O3498</f>
        <v>0</v>
      </c>
    </row>
    <row r="3499" spans="1:21">
      <c r="A3499" s="4" t="s">
        <v>4622</v>
      </c>
      <c r="B3499" s="4" t="s">
        <v>39</v>
      </c>
      <c r="C3499" s="5">
        <v>45972.34362268518</v>
      </c>
      <c r="D3499" s="5">
        <v>45972</v>
      </c>
      <c r="E3499" s="6">
        <f>IF(AND(C3499&lt;&gt;"",D3499&lt;&gt;""),D3499-C3499,"")</f>
        <v>0</v>
      </c>
      <c r="F3499" s="4" t="s">
        <v>4154</v>
      </c>
      <c r="G3499" s="4" t="s">
        <v>4623</v>
      </c>
      <c r="H3499" s="4" t="s">
        <v>32</v>
      </c>
      <c r="I3499" s="4" t="s">
        <v>33</v>
      </c>
      <c r="J3499" s="4">
        <v>0</v>
      </c>
      <c r="K3499" s="4">
        <v>0</v>
      </c>
      <c r="L3499" s="4">
        <f>J3499+K3499</f>
        <v>0</v>
      </c>
      <c r="M3499" s="4" t="s">
        <v>3898</v>
      </c>
      <c r="N3499" s="4"/>
      <c r="O3499" s="4">
        <v>1</v>
      </c>
      <c r="P3499" s="4" t="s">
        <v>135</v>
      </c>
      <c r="Q3499" s="4"/>
      <c r="R3499" s="7">
        <v>44000</v>
      </c>
      <c r="S3499" s="7">
        <v>0</v>
      </c>
      <c r="T3499" s="7">
        <f>R3499-S3499</f>
        <v>0</v>
      </c>
      <c r="U3499" s="7">
        <f>T3499*O3499</f>
        <v>0</v>
      </c>
    </row>
    <row r="3500" spans="1:21">
      <c r="A3500" s="4" t="s">
        <v>4622</v>
      </c>
      <c r="B3500" s="4" t="s">
        <v>39</v>
      </c>
      <c r="C3500" s="5">
        <v>45972.34362268518</v>
      </c>
      <c r="D3500" s="5">
        <v>45972</v>
      </c>
      <c r="E3500" s="6">
        <f>IF(AND(C3500&lt;&gt;"",D3500&lt;&gt;""),D3500-C3500,"")</f>
        <v>0</v>
      </c>
      <c r="F3500" s="4" t="s">
        <v>4154</v>
      </c>
      <c r="G3500" s="4" t="s">
        <v>4623</v>
      </c>
      <c r="H3500" s="4" t="s">
        <v>32</v>
      </c>
      <c r="I3500" s="4" t="s">
        <v>33</v>
      </c>
      <c r="J3500" s="4">
        <v>0</v>
      </c>
      <c r="K3500" s="4">
        <v>0</v>
      </c>
      <c r="L3500" s="4">
        <f>J3500+K3500</f>
        <v>0</v>
      </c>
      <c r="M3500" s="4" t="s">
        <v>1558</v>
      </c>
      <c r="N3500" s="4"/>
      <c r="O3500" s="4">
        <v>1</v>
      </c>
      <c r="P3500" s="4" t="s">
        <v>135</v>
      </c>
      <c r="Q3500" s="4"/>
      <c r="R3500" s="7">
        <v>84000</v>
      </c>
      <c r="S3500" s="7">
        <v>0</v>
      </c>
      <c r="T3500" s="7">
        <f>R3500-S3500</f>
        <v>0</v>
      </c>
      <c r="U3500" s="7">
        <f>T3500*O3500</f>
        <v>0</v>
      </c>
    </row>
    <row r="3501" spans="1:21">
      <c r="A3501" s="4" t="s">
        <v>4624</v>
      </c>
      <c r="B3501" s="4" t="s">
        <v>39</v>
      </c>
      <c r="C3501" s="5">
        <v>45972.34452546296</v>
      </c>
      <c r="D3501" s="5">
        <v>45972</v>
      </c>
      <c r="E3501" s="6">
        <f>IF(AND(C3501&lt;&gt;"",D3501&lt;&gt;""),D3501-C3501,"")</f>
        <v>0</v>
      </c>
      <c r="F3501" s="4" t="s">
        <v>4248</v>
      </c>
      <c r="G3501" s="4" t="s">
        <v>4625</v>
      </c>
      <c r="H3501" s="4" t="s">
        <v>32</v>
      </c>
      <c r="I3501" s="4" t="s">
        <v>33</v>
      </c>
      <c r="J3501" s="4">
        <v>2</v>
      </c>
      <c r="K3501" s="4">
        <v>0</v>
      </c>
      <c r="L3501" s="4">
        <f>J3501+K3501</f>
        <v>0</v>
      </c>
      <c r="M3501" s="4" t="s">
        <v>80</v>
      </c>
      <c r="N3501" s="4"/>
      <c r="O3501" s="4">
        <v>2</v>
      </c>
      <c r="P3501" s="4" t="s">
        <v>135</v>
      </c>
      <c r="Q3501" s="4" t="s">
        <v>44</v>
      </c>
      <c r="R3501" s="7">
        <v>610000</v>
      </c>
      <c r="S3501" s="7">
        <v>0</v>
      </c>
      <c r="T3501" s="7">
        <f>R3501-S3501</f>
        <v>0</v>
      </c>
      <c r="U3501" s="7">
        <f>T3501*O3501</f>
        <v>0</v>
      </c>
    </row>
    <row r="3502" spans="1:21">
      <c r="A3502" s="4" t="s">
        <v>4626</v>
      </c>
      <c r="B3502" s="4" t="s">
        <v>39</v>
      </c>
      <c r="C3502" s="5">
        <v>45972.34944444444</v>
      </c>
      <c r="D3502" s="5">
        <v>45972</v>
      </c>
      <c r="E3502" s="6">
        <f>IF(AND(C3502&lt;&gt;"",D3502&lt;&gt;""),D3502-C3502,"")</f>
        <v>0</v>
      </c>
      <c r="F3502" s="4" t="s">
        <v>4095</v>
      </c>
      <c r="G3502" s="4" t="s">
        <v>4627</v>
      </c>
      <c r="H3502" s="4" t="s">
        <v>32</v>
      </c>
      <c r="I3502" s="4" t="s">
        <v>33</v>
      </c>
      <c r="J3502" s="4">
        <v>0</v>
      </c>
      <c r="K3502" s="4">
        <v>0</v>
      </c>
      <c r="L3502" s="4">
        <f>J3502+K3502</f>
        <v>0</v>
      </c>
      <c r="M3502" s="4" t="s">
        <v>731</v>
      </c>
      <c r="N3502" s="4"/>
      <c r="O3502" s="4">
        <v>1</v>
      </c>
      <c r="P3502" s="4" t="s">
        <v>135</v>
      </c>
      <c r="Q3502" s="4" t="s">
        <v>44</v>
      </c>
      <c r="R3502" s="7">
        <v>420000</v>
      </c>
      <c r="S3502" s="7">
        <v>0</v>
      </c>
      <c r="T3502" s="7">
        <f>R3502-S3502</f>
        <v>0</v>
      </c>
      <c r="U3502" s="7">
        <f>T3502*O3502</f>
        <v>0</v>
      </c>
    </row>
    <row r="3503" spans="1:21">
      <c r="A3503" s="4" t="s">
        <v>4628</v>
      </c>
      <c r="B3503" s="4" t="s">
        <v>39</v>
      </c>
      <c r="C3503" s="5">
        <v>45972.35027777778</v>
      </c>
      <c r="D3503" s="5">
        <v>45972</v>
      </c>
      <c r="E3503" s="6">
        <f>IF(AND(C3503&lt;&gt;"",D3503&lt;&gt;""),D3503-C3503,"")</f>
        <v>0</v>
      </c>
      <c r="F3503" s="4" t="s">
        <v>4629</v>
      </c>
      <c r="G3503" s="4" t="s">
        <v>4630</v>
      </c>
      <c r="H3503" s="4" t="s">
        <v>32</v>
      </c>
      <c r="I3503" s="4" t="s">
        <v>33</v>
      </c>
      <c r="J3503" s="4">
        <v>0</v>
      </c>
      <c r="K3503" s="4">
        <v>0</v>
      </c>
      <c r="L3503" s="4">
        <f>J3503+K3503</f>
        <v>0</v>
      </c>
      <c r="M3503" s="4" t="s">
        <v>4540</v>
      </c>
      <c r="N3503" s="4"/>
      <c r="O3503" s="4">
        <v>1</v>
      </c>
      <c r="P3503" s="4" t="s">
        <v>135</v>
      </c>
      <c r="Q3503" s="4"/>
      <c r="R3503" s="7">
        <v>58000</v>
      </c>
      <c r="S3503" s="7">
        <v>0</v>
      </c>
      <c r="T3503" s="7">
        <f>R3503-S3503</f>
        <v>0</v>
      </c>
      <c r="U3503" s="7">
        <f>T3503*O3503</f>
        <v>0</v>
      </c>
    </row>
    <row r="3504" spans="1:21">
      <c r="A3504" s="4" t="s">
        <v>4628</v>
      </c>
      <c r="B3504" s="4" t="s">
        <v>39</v>
      </c>
      <c r="C3504" s="5">
        <v>45972.35027777778</v>
      </c>
      <c r="D3504" s="5">
        <v>45972</v>
      </c>
      <c r="E3504" s="6">
        <f>IF(AND(C3504&lt;&gt;"",D3504&lt;&gt;""),D3504-C3504,"")</f>
        <v>0</v>
      </c>
      <c r="F3504" s="4" t="s">
        <v>4629</v>
      </c>
      <c r="G3504" s="4" t="s">
        <v>4630</v>
      </c>
      <c r="H3504" s="4" t="s">
        <v>32</v>
      </c>
      <c r="I3504" s="4" t="s">
        <v>33</v>
      </c>
      <c r="J3504" s="4">
        <v>0</v>
      </c>
      <c r="K3504" s="4">
        <v>0</v>
      </c>
      <c r="L3504" s="4">
        <f>J3504+K3504</f>
        <v>0</v>
      </c>
      <c r="M3504" s="4" t="s">
        <v>4541</v>
      </c>
      <c r="N3504" s="4"/>
      <c r="O3504" s="4">
        <v>1</v>
      </c>
      <c r="P3504" s="4" t="s">
        <v>135</v>
      </c>
      <c r="Q3504" s="4"/>
      <c r="R3504" s="7">
        <v>40000</v>
      </c>
      <c r="S3504" s="7">
        <v>0</v>
      </c>
      <c r="T3504" s="7">
        <f>R3504-S3504</f>
        <v>0</v>
      </c>
      <c r="U3504" s="7">
        <f>T3504*O3504</f>
        <v>0</v>
      </c>
    </row>
    <row r="3505" spans="1:21">
      <c r="A3505" s="4" t="s">
        <v>4631</v>
      </c>
      <c r="B3505" s="4" t="s">
        <v>39</v>
      </c>
      <c r="C3505" s="5">
        <v>45972.35136574074</v>
      </c>
      <c r="D3505" s="5">
        <v>45972</v>
      </c>
      <c r="E3505" s="6">
        <f>IF(AND(C3505&lt;&gt;"",D3505&lt;&gt;""),D3505-C3505,"")</f>
        <v>0</v>
      </c>
      <c r="F3505" s="4" t="s">
        <v>4632</v>
      </c>
      <c r="G3505" s="4" t="s">
        <v>4633</v>
      </c>
      <c r="H3505" s="4" t="s">
        <v>32</v>
      </c>
      <c r="I3505" s="4" t="s">
        <v>33</v>
      </c>
      <c r="J3505" s="4">
        <v>0</v>
      </c>
      <c r="K3505" s="4">
        <v>0</v>
      </c>
      <c r="L3505" s="4">
        <f>J3505+K3505</f>
        <v>0</v>
      </c>
      <c r="M3505" s="4" t="s">
        <v>731</v>
      </c>
      <c r="N3505" s="4"/>
      <c r="O3505" s="4">
        <v>1</v>
      </c>
      <c r="P3505" s="4" t="s">
        <v>135</v>
      </c>
      <c r="Q3505" s="4" t="s">
        <v>44</v>
      </c>
      <c r="R3505" s="7">
        <v>420000</v>
      </c>
      <c r="S3505" s="7">
        <v>0</v>
      </c>
      <c r="T3505" s="7">
        <f>R3505-S3505</f>
        <v>0</v>
      </c>
      <c r="U3505" s="7">
        <f>T3505*O3505</f>
        <v>0</v>
      </c>
    </row>
    <row r="3506" spans="1:21">
      <c r="A3506" s="4" t="s">
        <v>4634</v>
      </c>
      <c r="B3506" s="4" t="s">
        <v>39</v>
      </c>
      <c r="C3506" s="5">
        <v>45972.35189814815</v>
      </c>
      <c r="D3506" s="5">
        <v>45972</v>
      </c>
      <c r="E3506" s="6">
        <f>IF(AND(C3506&lt;&gt;"",D3506&lt;&gt;""),D3506-C3506,"")</f>
        <v>0</v>
      </c>
      <c r="F3506" s="4" t="s">
        <v>4635</v>
      </c>
      <c r="G3506" s="4" t="s">
        <v>4636</v>
      </c>
      <c r="H3506" s="4" t="s">
        <v>32</v>
      </c>
      <c r="I3506" s="4" t="s">
        <v>33</v>
      </c>
      <c r="J3506" s="4">
        <v>0</v>
      </c>
      <c r="K3506" s="4">
        <v>0</v>
      </c>
      <c r="L3506" s="4">
        <f>J3506+K3506</f>
        <v>0</v>
      </c>
      <c r="M3506" s="4" t="s">
        <v>731</v>
      </c>
      <c r="N3506" s="4"/>
      <c r="O3506" s="4">
        <v>1</v>
      </c>
      <c r="P3506" s="4" t="s">
        <v>135</v>
      </c>
      <c r="Q3506" s="4" t="s">
        <v>44</v>
      </c>
      <c r="R3506" s="7">
        <v>420000</v>
      </c>
      <c r="S3506" s="7">
        <v>0</v>
      </c>
      <c r="T3506" s="7">
        <f>R3506-S3506</f>
        <v>0</v>
      </c>
      <c r="U3506" s="7">
        <f>T3506*O3506</f>
        <v>0</v>
      </c>
    </row>
    <row r="3507" spans="1:21">
      <c r="A3507" s="4" t="s">
        <v>4637</v>
      </c>
      <c r="B3507" s="4" t="s">
        <v>39</v>
      </c>
      <c r="C3507" s="5">
        <v>45972.35314814815</v>
      </c>
      <c r="D3507" s="5">
        <v>45972</v>
      </c>
      <c r="E3507" s="6">
        <f>IF(AND(C3507&lt;&gt;"",D3507&lt;&gt;""),D3507-C3507,"")</f>
        <v>0</v>
      </c>
      <c r="F3507" s="4" t="s">
        <v>4638</v>
      </c>
      <c r="G3507" s="4" t="s">
        <v>4639</v>
      </c>
      <c r="H3507" s="4" t="s">
        <v>32</v>
      </c>
      <c r="I3507" s="4" t="s">
        <v>33</v>
      </c>
      <c r="J3507" s="4">
        <v>0</v>
      </c>
      <c r="K3507" s="4">
        <v>0</v>
      </c>
      <c r="L3507" s="4">
        <f>J3507+K3507</f>
        <v>0</v>
      </c>
      <c r="M3507" s="4" t="s">
        <v>1774</v>
      </c>
      <c r="N3507" s="4"/>
      <c r="O3507" s="4">
        <v>1</v>
      </c>
      <c r="P3507" s="4" t="s">
        <v>135</v>
      </c>
      <c r="Q3507" s="4"/>
      <c r="R3507" s="7">
        <v>163000</v>
      </c>
      <c r="S3507" s="7">
        <v>0</v>
      </c>
      <c r="T3507" s="7">
        <f>R3507-S3507</f>
        <v>0</v>
      </c>
      <c r="U3507" s="7">
        <f>T3507*O3507</f>
        <v>0</v>
      </c>
    </row>
    <row r="3508" spans="1:21">
      <c r="A3508" s="4" t="s">
        <v>4637</v>
      </c>
      <c r="B3508" s="4" t="s">
        <v>39</v>
      </c>
      <c r="C3508" s="5">
        <v>45972.35314814815</v>
      </c>
      <c r="D3508" s="5">
        <v>45972</v>
      </c>
      <c r="E3508" s="6">
        <f>IF(AND(C3508&lt;&gt;"",D3508&lt;&gt;""),D3508-C3508,"")</f>
        <v>0</v>
      </c>
      <c r="F3508" s="4" t="s">
        <v>4638</v>
      </c>
      <c r="G3508" s="4" t="s">
        <v>4639</v>
      </c>
      <c r="H3508" s="4" t="s">
        <v>32</v>
      </c>
      <c r="I3508" s="4" t="s">
        <v>33</v>
      </c>
      <c r="J3508" s="4">
        <v>0</v>
      </c>
      <c r="K3508" s="4">
        <v>0</v>
      </c>
      <c r="L3508" s="4">
        <f>J3508+K3508</f>
        <v>0</v>
      </c>
      <c r="M3508" s="4" t="s">
        <v>1419</v>
      </c>
      <c r="N3508" s="4"/>
      <c r="O3508" s="4">
        <v>1</v>
      </c>
      <c r="P3508" s="4" t="s">
        <v>135</v>
      </c>
      <c r="Q3508" s="4"/>
      <c r="R3508" s="7">
        <v>160000</v>
      </c>
      <c r="S3508" s="7">
        <v>0</v>
      </c>
      <c r="T3508" s="7">
        <f>R3508-S3508</f>
        <v>0</v>
      </c>
      <c r="U3508" s="7">
        <f>T3508*O3508</f>
        <v>0</v>
      </c>
    </row>
    <row r="3509" spans="1:21">
      <c r="A3509" s="4" t="s">
        <v>4637</v>
      </c>
      <c r="B3509" s="4" t="s">
        <v>39</v>
      </c>
      <c r="C3509" s="5">
        <v>45972.35314814815</v>
      </c>
      <c r="D3509" s="5">
        <v>45972</v>
      </c>
      <c r="E3509" s="6">
        <f>IF(AND(C3509&lt;&gt;"",D3509&lt;&gt;""),D3509-C3509,"")</f>
        <v>0</v>
      </c>
      <c r="F3509" s="4" t="s">
        <v>4638</v>
      </c>
      <c r="G3509" s="4" t="s">
        <v>4639</v>
      </c>
      <c r="H3509" s="4" t="s">
        <v>32</v>
      </c>
      <c r="I3509" s="4" t="s">
        <v>33</v>
      </c>
      <c r="J3509" s="4">
        <v>0</v>
      </c>
      <c r="K3509" s="4">
        <v>0</v>
      </c>
      <c r="L3509" s="4">
        <f>J3509+K3509</f>
        <v>0</v>
      </c>
      <c r="M3509" s="4" t="s">
        <v>1419</v>
      </c>
      <c r="N3509" s="4"/>
      <c r="O3509" s="4">
        <v>1</v>
      </c>
      <c r="P3509" s="4" t="s">
        <v>135</v>
      </c>
      <c r="Q3509" s="4"/>
      <c r="R3509" s="7">
        <v>160000</v>
      </c>
      <c r="S3509" s="7">
        <v>0</v>
      </c>
      <c r="T3509" s="7">
        <f>R3509-S3509</f>
        <v>0</v>
      </c>
      <c r="U3509" s="7">
        <f>T3509*O3509</f>
        <v>0</v>
      </c>
    </row>
    <row r="3510" spans="1:21">
      <c r="A3510" s="4" t="s">
        <v>4637</v>
      </c>
      <c r="B3510" s="4" t="s">
        <v>39</v>
      </c>
      <c r="C3510" s="5">
        <v>45972.35314814815</v>
      </c>
      <c r="D3510" s="5">
        <v>45972</v>
      </c>
      <c r="E3510" s="6">
        <f>IF(AND(C3510&lt;&gt;"",D3510&lt;&gt;""),D3510-C3510,"")</f>
        <v>0</v>
      </c>
      <c r="F3510" s="4" t="s">
        <v>4638</v>
      </c>
      <c r="G3510" s="4" t="s">
        <v>4639</v>
      </c>
      <c r="H3510" s="4" t="s">
        <v>32</v>
      </c>
      <c r="I3510" s="4" t="s">
        <v>33</v>
      </c>
      <c r="J3510" s="4">
        <v>0</v>
      </c>
      <c r="K3510" s="4">
        <v>0</v>
      </c>
      <c r="L3510" s="4">
        <f>J3510+K3510</f>
        <v>0</v>
      </c>
      <c r="M3510" s="4" t="s">
        <v>1828</v>
      </c>
      <c r="N3510" s="4"/>
      <c r="O3510" s="4">
        <v>1</v>
      </c>
      <c r="P3510" s="4" t="s">
        <v>135</v>
      </c>
      <c r="Q3510" s="4"/>
      <c r="R3510" s="7">
        <v>121000</v>
      </c>
      <c r="S3510" s="7">
        <v>0</v>
      </c>
      <c r="T3510" s="7">
        <f>R3510-S3510</f>
        <v>0</v>
      </c>
      <c r="U3510" s="7">
        <f>T3510*O3510</f>
        <v>0</v>
      </c>
    </row>
    <row r="3511" spans="1:21">
      <c r="A3511" s="4" t="s">
        <v>4640</v>
      </c>
      <c r="B3511" s="4" t="s">
        <v>39</v>
      </c>
      <c r="C3511" s="5">
        <v>45972.39896990741</v>
      </c>
      <c r="D3511" s="5">
        <v>45972</v>
      </c>
      <c r="E3511" s="6">
        <f>IF(AND(C3511&lt;&gt;"",D3511&lt;&gt;""),D3511-C3511,"")</f>
        <v>0</v>
      </c>
      <c r="F3511" s="4" t="s">
        <v>4641</v>
      </c>
      <c r="G3511" s="4" t="s">
        <v>4642</v>
      </c>
      <c r="H3511" s="4" t="s">
        <v>32</v>
      </c>
      <c r="I3511" s="4" t="s">
        <v>33</v>
      </c>
      <c r="J3511" s="4">
        <v>0</v>
      </c>
      <c r="K3511" s="4">
        <v>0</v>
      </c>
      <c r="L3511" s="4">
        <f>J3511+K3511</f>
        <v>0</v>
      </c>
      <c r="M3511" s="4" t="s">
        <v>731</v>
      </c>
      <c r="N3511" s="4"/>
      <c r="O3511" s="4">
        <v>1</v>
      </c>
      <c r="P3511" s="4" t="s">
        <v>135</v>
      </c>
      <c r="Q3511" s="4" t="s">
        <v>44</v>
      </c>
      <c r="R3511" s="7">
        <v>420000</v>
      </c>
      <c r="S3511" s="7">
        <v>0</v>
      </c>
      <c r="T3511" s="7">
        <f>R3511-S3511</f>
        <v>0</v>
      </c>
      <c r="U3511" s="7">
        <f>T3511*O3511</f>
        <v>0</v>
      </c>
    </row>
    <row r="3512" spans="1:21">
      <c r="A3512" s="4" t="s">
        <v>4643</v>
      </c>
      <c r="B3512" s="4" t="s">
        <v>39</v>
      </c>
      <c r="C3512" s="5">
        <v>45972.40070601852</v>
      </c>
      <c r="D3512" s="5">
        <v>45972</v>
      </c>
      <c r="E3512" s="6">
        <f>IF(AND(C3512&lt;&gt;"",D3512&lt;&gt;""),D3512-C3512,"")</f>
        <v>0</v>
      </c>
      <c r="F3512" s="4" t="s">
        <v>4644</v>
      </c>
      <c r="G3512" s="4" t="s">
        <v>4645</v>
      </c>
      <c r="H3512" s="4" t="s">
        <v>32</v>
      </c>
      <c r="I3512" s="4" t="s">
        <v>33</v>
      </c>
      <c r="J3512" s="4">
        <v>0</v>
      </c>
      <c r="K3512" s="4">
        <v>0</v>
      </c>
      <c r="L3512" s="4">
        <f>J3512+K3512</f>
        <v>0</v>
      </c>
      <c r="M3512" s="4" t="s">
        <v>731</v>
      </c>
      <c r="N3512" s="4"/>
      <c r="O3512" s="4">
        <v>1</v>
      </c>
      <c r="P3512" s="4" t="s">
        <v>135</v>
      </c>
      <c r="Q3512" s="4" t="s">
        <v>44</v>
      </c>
      <c r="R3512" s="7">
        <v>420000</v>
      </c>
      <c r="S3512" s="7">
        <v>0</v>
      </c>
      <c r="T3512" s="7">
        <f>R3512-S3512</f>
        <v>0</v>
      </c>
      <c r="U3512" s="7">
        <f>T3512*O3512</f>
        <v>0</v>
      </c>
    </row>
    <row r="3513" spans="1:21">
      <c r="A3513" s="4" t="s">
        <v>4646</v>
      </c>
      <c r="B3513" s="4" t="s">
        <v>39</v>
      </c>
      <c r="C3513" s="5">
        <v>45972.44001157407</v>
      </c>
      <c r="D3513" s="5">
        <v>45972</v>
      </c>
      <c r="E3513" s="6">
        <f>IF(AND(C3513&lt;&gt;"",D3513&lt;&gt;""),D3513-C3513,"")</f>
        <v>0</v>
      </c>
      <c r="F3513" s="4" t="s">
        <v>3798</v>
      </c>
      <c r="G3513" s="4" t="s">
        <v>3799</v>
      </c>
      <c r="H3513" s="4" t="s">
        <v>32</v>
      </c>
      <c r="I3513" s="4" t="s">
        <v>33</v>
      </c>
      <c r="J3513" s="4">
        <v>0</v>
      </c>
      <c r="K3513" s="4">
        <v>0</v>
      </c>
      <c r="L3513" s="4">
        <f>J3513+K3513</f>
        <v>0</v>
      </c>
      <c r="M3513" s="4" t="s">
        <v>3867</v>
      </c>
      <c r="N3513" s="4"/>
      <c r="O3513" s="4">
        <v>1</v>
      </c>
      <c r="P3513" s="4" t="s">
        <v>135</v>
      </c>
      <c r="Q3513" s="4"/>
      <c r="R3513" s="7">
        <v>3000</v>
      </c>
      <c r="S3513" s="7">
        <v>0</v>
      </c>
      <c r="T3513" s="7">
        <f>R3513-S3513</f>
        <v>0</v>
      </c>
      <c r="U3513" s="7">
        <f>T3513*O3513</f>
        <v>0</v>
      </c>
    </row>
    <row r="3514" spans="1:21">
      <c r="A3514" s="4" t="s">
        <v>4647</v>
      </c>
      <c r="B3514" s="4" t="s">
        <v>39</v>
      </c>
      <c r="C3514" s="5">
        <v>45972.4424537037</v>
      </c>
      <c r="D3514" s="5">
        <v>45972</v>
      </c>
      <c r="E3514" s="6">
        <f>IF(AND(C3514&lt;&gt;"",D3514&lt;&gt;""),D3514-C3514,"")</f>
        <v>0</v>
      </c>
      <c r="F3514" s="4" t="s">
        <v>4201</v>
      </c>
      <c r="G3514" s="4" t="s">
        <v>4202</v>
      </c>
      <c r="H3514" s="4" t="s">
        <v>32</v>
      </c>
      <c r="I3514" s="4" t="s">
        <v>33</v>
      </c>
      <c r="J3514" s="4">
        <v>0</v>
      </c>
      <c r="K3514" s="4">
        <v>0</v>
      </c>
      <c r="L3514" s="4">
        <f>J3514+K3514</f>
        <v>0</v>
      </c>
      <c r="M3514" s="4" t="s">
        <v>3867</v>
      </c>
      <c r="N3514" s="4"/>
      <c r="O3514" s="4">
        <v>1</v>
      </c>
      <c r="P3514" s="4" t="s">
        <v>135</v>
      </c>
      <c r="Q3514" s="4" t="s">
        <v>44</v>
      </c>
      <c r="R3514" s="7">
        <v>3000</v>
      </c>
      <c r="S3514" s="7">
        <v>0</v>
      </c>
      <c r="T3514" s="7">
        <f>R3514-S3514</f>
        <v>0</v>
      </c>
      <c r="U3514" s="7">
        <f>T3514*O3514</f>
        <v>0</v>
      </c>
    </row>
    <row r="3515" spans="1:21">
      <c r="A3515" s="4" t="s">
        <v>4648</v>
      </c>
      <c r="B3515" s="4" t="s">
        <v>39</v>
      </c>
      <c r="C3515" s="5">
        <v>45972.50431712963</v>
      </c>
      <c r="D3515" s="5">
        <v>45972</v>
      </c>
      <c r="E3515" s="6">
        <f>IF(AND(C3515&lt;&gt;"",D3515&lt;&gt;""),D3515-C3515,"")</f>
        <v>0</v>
      </c>
      <c r="F3515" s="4" t="s">
        <v>1343</v>
      </c>
      <c r="G3515" s="4" t="s">
        <v>4649</v>
      </c>
      <c r="H3515" s="4" t="s">
        <v>32</v>
      </c>
      <c r="I3515" s="4" t="s">
        <v>33</v>
      </c>
      <c r="J3515" s="4">
        <v>0</v>
      </c>
      <c r="K3515" s="4">
        <v>0</v>
      </c>
      <c r="L3515" s="4">
        <f>J3515+K3515</f>
        <v>0</v>
      </c>
      <c r="M3515" s="4" t="s">
        <v>731</v>
      </c>
      <c r="N3515" s="4"/>
      <c r="O3515" s="4">
        <v>1</v>
      </c>
      <c r="P3515" s="4" t="s">
        <v>135</v>
      </c>
      <c r="Q3515" s="4" t="s">
        <v>44</v>
      </c>
      <c r="R3515" s="7">
        <v>420000</v>
      </c>
      <c r="S3515" s="7">
        <v>0</v>
      </c>
      <c r="T3515" s="7">
        <f>R3515-S3515</f>
        <v>0</v>
      </c>
      <c r="U3515" s="7">
        <f>T3515*O3515</f>
        <v>0</v>
      </c>
    </row>
    <row r="3516" spans="1:21">
      <c r="A3516" s="4" t="s">
        <v>4650</v>
      </c>
      <c r="B3516" s="4" t="s">
        <v>39</v>
      </c>
      <c r="C3516" s="5">
        <v>45972.51976851852</v>
      </c>
      <c r="D3516" s="5">
        <v>45972</v>
      </c>
      <c r="E3516" s="6">
        <f>IF(AND(C3516&lt;&gt;"",D3516&lt;&gt;""),D3516-C3516,"")</f>
        <v>0</v>
      </c>
      <c r="F3516" s="4" t="s">
        <v>4651</v>
      </c>
      <c r="G3516" s="4" t="s">
        <v>4652</v>
      </c>
      <c r="H3516" s="4" t="s">
        <v>32</v>
      </c>
      <c r="I3516" s="4" t="s">
        <v>33</v>
      </c>
      <c r="J3516" s="4">
        <v>1</v>
      </c>
      <c r="K3516" s="4">
        <v>0</v>
      </c>
      <c r="L3516" s="4">
        <f>J3516+K3516</f>
        <v>0</v>
      </c>
      <c r="M3516" s="4" t="s">
        <v>80</v>
      </c>
      <c r="N3516" s="4"/>
      <c r="O3516" s="4">
        <v>1</v>
      </c>
      <c r="P3516" s="4" t="s">
        <v>135</v>
      </c>
      <c r="Q3516" s="4" t="s">
        <v>44</v>
      </c>
      <c r="R3516" s="7">
        <v>610000</v>
      </c>
      <c r="S3516" s="7">
        <v>0</v>
      </c>
      <c r="T3516" s="7">
        <f>R3516-S3516</f>
        <v>0</v>
      </c>
      <c r="U3516" s="7">
        <f>T3516*O3516</f>
        <v>0</v>
      </c>
    </row>
    <row r="3517" spans="1:21">
      <c r="A3517" s="4" t="s">
        <v>4650</v>
      </c>
      <c r="B3517" s="4" t="s">
        <v>39</v>
      </c>
      <c r="C3517" s="5">
        <v>45972.51976851852</v>
      </c>
      <c r="D3517" s="5">
        <v>45972</v>
      </c>
      <c r="E3517" s="6">
        <f>IF(AND(C3517&lt;&gt;"",D3517&lt;&gt;""),D3517-C3517,"")</f>
        <v>0</v>
      </c>
      <c r="F3517" s="4" t="s">
        <v>4651</v>
      </c>
      <c r="G3517" s="4" t="s">
        <v>4652</v>
      </c>
      <c r="H3517" s="4" t="s">
        <v>32</v>
      </c>
      <c r="I3517" s="4" t="s">
        <v>33</v>
      </c>
      <c r="J3517" s="4">
        <v>1</v>
      </c>
      <c r="K3517" s="4">
        <v>0</v>
      </c>
      <c r="L3517" s="4">
        <f>J3517+K3517</f>
        <v>0</v>
      </c>
      <c r="M3517" s="4" t="s">
        <v>80</v>
      </c>
      <c r="N3517" s="4"/>
      <c r="O3517" s="4">
        <v>1</v>
      </c>
      <c r="P3517" s="4" t="s">
        <v>135</v>
      </c>
      <c r="Q3517" s="4" t="s">
        <v>44</v>
      </c>
      <c r="R3517" s="7">
        <v>610000</v>
      </c>
      <c r="S3517" s="7">
        <v>0</v>
      </c>
      <c r="T3517" s="7">
        <f>R3517-S3517</f>
        <v>0</v>
      </c>
      <c r="U3517" s="7">
        <f>T3517*O3517</f>
        <v>0</v>
      </c>
    </row>
    <row r="3518" spans="1:21">
      <c r="A3518" s="4" t="s">
        <v>4653</v>
      </c>
      <c r="B3518" s="4" t="s">
        <v>39</v>
      </c>
      <c r="C3518" s="5">
        <v>45972.60917824074</v>
      </c>
      <c r="D3518" s="5">
        <v>45972</v>
      </c>
      <c r="E3518" s="6">
        <f>IF(AND(C3518&lt;&gt;"",D3518&lt;&gt;""),D3518-C3518,"")</f>
        <v>0</v>
      </c>
      <c r="F3518" s="4" t="s">
        <v>1343</v>
      </c>
      <c r="G3518" s="4" t="s">
        <v>4654</v>
      </c>
      <c r="H3518" s="4" t="s">
        <v>32</v>
      </c>
      <c r="I3518" s="4" t="s">
        <v>33</v>
      </c>
      <c r="J3518" s="4">
        <v>3</v>
      </c>
      <c r="K3518" s="4">
        <v>0</v>
      </c>
      <c r="L3518" s="4">
        <f>J3518+K3518</f>
        <v>0</v>
      </c>
      <c r="M3518" s="4" t="s">
        <v>80</v>
      </c>
      <c r="N3518" s="4"/>
      <c r="O3518" s="4">
        <v>3</v>
      </c>
      <c r="P3518" s="4" t="s">
        <v>135</v>
      </c>
      <c r="Q3518" s="4" t="s">
        <v>44</v>
      </c>
      <c r="R3518" s="7">
        <v>610000</v>
      </c>
      <c r="S3518" s="7">
        <v>0</v>
      </c>
      <c r="T3518" s="7">
        <f>R3518-S3518</f>
        <v>0</v>
      </c>
      <c r="U3518" s="7">
        <f>T3518*O3518</f>
        <v>0</v>
      </c>
    </row>
    <row r="3519" spans="1:21">
      <c r="A3519" s="4" t="s">
        <v>4653</v>
      </c>
      <c r="B3519" s="4" t="s">
        <v>39</v>
      </c>
      <c r="C3519" s="5">
        <v>45972.60917824074</v>
      </c>
      <c r="D3519" s="5">
        <v>45972</v>
      </c>
      <c r="E3519" s="6">
        <f>IF(AND(C3519&lt;&gt;"",D3519&lt;&gt;""),D3519-C3519,"")</f>
        <v>0</v>
      </c>
      <c r="F3519" s="4" t="s">
        <v>1343</v>
      </c>
      <c r="G3519" s="4" t="s">
        <v>4654</v>
      </c>
      <c r="H3519" s="4" t="s">
        <v>32</v>
      </c>
      <c r="I3519" s="4" t="s">
        <v>33</v>
      </c>
      <c r="J3519" s="4">
        <v>0</v>
      </c>
      <c r="K3519" s="4">
        <v>3</v>
      </c>
      <c r="L3519" s="4">
        <f>J3519+K3519</f>
        <v>0</v>
      </c>
      <c r="M3519" s="4" t="s">
        <v>46</v>
      </c>
      <c r="N3519" s="4"/>
      <c r="O3519" s="4">
        <v>3</v>
      </c>
      <c r="P3519" s="4" t="s">
        <v>135</v>
      </c>
      <c r="Q3519" s="4" t="s">
        <v>44</v>
      </c>
      <c r="R3519" s="7">
        <v>325000</v>
      </c>
      <c r="S3519" s="7">
        <v>0</v>
      </c>
      <c r="T3519" s="7">
        <f>R3519-S3519</f>
        <v>0</v>
      </c>
      <c r="U3519" s="7">
        <f>T3519*O3519</f>
        <v>0</v>
      </c>
    </row>
    <row r="3520" spans="1:21">
      <c r="A3520" s="4" t="s">
        <v>4655</v>
      </c>
      <c r="B3520" s="4" t="s">
        <v>39</v>
      </c>
      <c r="C3520" s="5">
        <v>45972.61758101852</v>
      </c>
      <c r="D3520" s="5">
        <v>45972</v>
      </c>
      <c r="E3520" s="6">
        <f>IF(AND(C3520&lt;&gt;"",D3520&lt;&gt;""),D3520-C3520,"")</f>
        <v>0</v>
      </c>
      <c r="F3520" s="4" t="s">
        <v>4656</v>
      </c>
      <c r="G3520" s="4" t="s">
        <v>4657</v>
      </c>
      <c r="H3520" s="4" t="s">
        <v>32</v>
      </c>
      <c r="I3520" s="4" t="s">
        <v>33</v>
      </c>
      <c r="J3520" s="4">
        <v>3</v>
      </c>
      <c r="K3520" s="4">
        <v>0</v>
      </c>
      <c r="L3520" s="4">
        <f>J3520+K3520</f>
        <v>0</v>
      </c>
      <c r="M3520" s="4" t="s">
        <v>80</v>
      </c>
      <c r="N3520" s="4"/>
      <c r="O3520" s="4">
        <v>3</v>
      </c>
      <c r="P3520" s="4" t="s">
        <v>135</v>
      </c>
      <c r="Q3520" s="4" t="s">
        <v>44</v>
      </c>
      <c r="R3520" s="7">
        <v>610000</v>
      </c>
      <c r="S3520" s="7">
        <v>0</v>
      </c>
      <c r="T3520" s="7">
        <f>R3520-S3520</f>
        <v>0</v>
      </c>
      <c r="U3520" s="7">
        <f>T3520*O3520</f>
        <v>0</v>
      </c>
    </row>
    <row r="3521" spans="1:21">
      <c r="A3521" s="4" t="s">
        <v>4655</v>
      </c>
      <c r="B3521" s="4" t="s">
        <v>39</v>
      </c>
      <c r="C3521" s="5">
        <v>45972.61758101852</v>
      </c>
      <c r="D3521" s="5">
        <v>45972</v>
      </c>
      <c r="E3521" s="6">
        <f>IF(AND(C3521&lt;&gt;"",D3521&lt;&gt;""),D3521-C3521,"")</f>
        <v>0</v>
      </c>
      <c r="F3521" s="4" t="s">
        <v>4656</v>
      </c>
      <c r="G3521" s="4" t="s">
        <v>4657</v>
      </c>
      <c r="H3521" s="4" t="s">
        <v>32</v>
      </c>
      <c r="I3521" s="4" t="s">
        <v>33</v>
      </c>
      <c r="J3521" s="4">
        <v>0</v>
      </c>
      <c r="K3521" s="4">
        <v>3</v>
      </c>
      <c r="L3521" s="4">
        <f>J3521+K3521</f>
        <v>0</v>
      </c>
      <c r="M3521" s="4" t="s">
        <v>46</v>
      </c>
      <c r="N3521" s="4"/>
      <c r="O3521" s="4">
        <v>3</v>
      </c>
      <c r="P3521" s="4" t="s">
        <v>135</v>
      </c>
      <c r="Q3521" s="4" t="s">
        <v>44</v>
      </c>
      <c r="R3521" s="7">
        <v>325000</v>
      </c>
      <c r="S3521" s="7">
        <v>0</v>
      </c>
      <c r="T3521" s="7">
        <f>R3521-S3521</f>
        <v>0</v>
      </c>
      <c r="U3521" s="7">
        <f>T3521*O3521</f>
        <v>0</v>
      </c>
    </row>
    <row r="3522" spans="1:21">
      <c r="A3522" s="4" t="s">
        <v>4658</v>
      </c>
      <c r="B3522" s="4" t="s">
        <v>122</v>
      </c>
      <c r="C3522" s="5">
        <v>45972.69752314815</v>
      </c>
      <c r="D3522" s="5">
        <v>45975</v>
      </c>
      <c r="E3522" s="6">
        <f>IF(AND(C3522&lt;&gt;"",D3522&lt;&gt;""),D3522-C3522,"")</f>
        <v>0</v>
      </c>
      <c r="F3522" s="4" t="s">
        <v>30</v>
      </c>
      <c r="G3522" s="4" t="s">
        <v>31</v>
      </c>
      <c r="H3522" s="4" t="s">
        <v>32</v>
      </c>
      <c r="I3522" s="4" t="s">
        <v>33</v>
      </c>
      <c r="J3522" s="4">
        <v>3</v>
      </c>
      <c r="K3522" s="4">
        <v>3</v>
      </c>
      <c r="L3522" s="4">
        <f>J3522+K3522</f>
        <v>0</v>
      </c>
      <c r="M3522" s="4"/>
      <c r="N3522" s="4"/>
      <c r="O3522" s="4">
        <v>0</v>
      </c>
      <c r="P3522" s="4"/>
      <c r="Q3522" s="4"/>
      <c r="R3522" s="7">
        <v>0</v>
      </c>
      <c r="S3522" s="7">
        <v>0</v>
      </c>
      <c r="T3522" s="7">
        <f>R3522-S3522</f>
        <v>0</v>
      </c>
      <c r="U3522" s="7">
        <f>T3522*O3522</f>
        <v>0</v>
      </c>
    </row>
    <row r="3523" spans="1:21">
      <c r="A3523" s="4" t="s">
        <v>4659</v>
      </c>
      <c r="B3523" s="4" t="s">
        <v>122</v>
      </c>
      <c r="C3523" s="5">
        <v>45972.70195601852</v>
      </c>
      <c r="D3523" s="5">
        <v>45974</v>
      </c>
      <c r="E3523" s="6">
        <f>IF(AND(C3523&lt;&gt;"",D3523&lt;&gt;""),D3523-C3523,"")</f>
        <v>0</v>
      </c>
      <c r="F3523" s="4" t="s">
        <v>64</v>
      </c>
      <c r="G3523" s="4" t="s">
        <v>4412</v>
      </c>
      <c r="H3523" s="4" t="s">
        <v>32</v>
      </c>
      <c r="I3523" s="4" t="s">
        <v>33</v>
      </c>
      <c r="J3523" s="4">
        <v>3</v>
      </c>
      <c r="K3523" s="4">
        <v>3</v>
      </c>
      <c r="L3523" s="4">
        <f>J3523+K3523</f>
        <v>0</v>
      </c>
      <c r="M3523" s="4"/>
      <c r="N3523" s="4"/>
      <c r="O3523" s="4">
        <v>0</v>
      </c>
      <c r="P3523" s="4"/>
      <c r="Q3523" s="4"/>
      <c r="R3523" s="7">
        <v>0</v>
      </c>
      <c r="S3523" s="7">
        <v>0</v>
      </c>
      <c r="T3523" s="7">
        <f>R3523-S3523</f>
        <v>0</v>
      </c>
      <c r="U3523" s="7">
        <f>T3523*O3523</f>
        <v>0</v>
      </c>
    </row>
    <row r="3524" spans="1:21">
      <c r="A3524" s="4" t="s">
        <v>4660</v>
      </c>
      <c r="B3524" s="4" t="s">
        <v>122</v>
      </c>
      <c r="C3524" s="5">
        <v>45972.70945601852</v>
      </c>
      <c r="D3524" s="5">
        <v>45974</v>
      </c>
      <c r="E3524" s="6">
        <f>IF(AND(C3524&lt;&gt;"",D3524&lt;&gt;""),D3524-C3524,"")</f>
        <v>0</v>
      </c>
      <c r="F3524" s="4" t="s">
        <v>64</v>
      </c>
      <c r="G3524" s="4" t="s">
        <v>4412</v>
      </c>
      <c r="H3524" s="4" t="s">
        <v>32</v>
      </c>
      <c r="I3524" s="4" t="s">
        <v>33</v>
      </c>
      <c r="J3524" s="4">
        <v>3</v>
      </c>
      <c r="K3524" s="4">
        <v>3</v>
      </c>
      <c r="L3524" s="4">
        <f>J3524+K3524</f>
        <v>0</v>
      </c>
      <c r="M3524" s="4"/>
      <c r="N3524" s="4"/>
      <c r="O3524" s="4">
        <v>0</v>
      </c>
      <c r="P3524" s="4"/>
      <c r="Q3524" s="4"/>
      <c r="R3524" s="7">
        <v>0</v>
      </c>
      <c r="S3524" s="7">
        <v>0</v>
      </c>
      <c r="T3524" s="7">
        <f>R3524-S3524</f>
        <v>0</v>
      </c>
      <c r="U3524" s="7">
        <f>T3524*O3524</f>
        <v>0</v>
      </c>
    </row>
    <row r="3525" spans="1:21">
      <c r="A3525" s="4" t="s">
        <v>4661</v>
      </c>
      <c r="B3525" s="4" t="s">
        <v>122</v>
      </c>
      <c r="C3525" s="5">
        <v>45972.71277777778</v>
      </c>
      <c r="D3525" s="5">
        <v>45973</v>
      </c>
      <c r="E3525" s="6">
        <f>IF(AND(C3525&lt;&gt;"",D3525&lt;&gt;""),D3525-C3525,"")</f>
        <v>0</v>
      </c>
      <c r="F3525" s="4" t="s">
        <v>64</v>
      </c>
      <c r="G3525" s="4" t="s">
        <v>4412</v>
      </c>
      <c r="H3525" s="4" t="s">
        <v>32</v>
      </c>
      <c r="I3525" s="4" t="s">
        <v>33</v>
      </c>
      <c r="J3525" s="4">
        <v>3</v>
      </c>
      <c r="K3525" s="4">
        <v>3</v>
      </c>
      <c r="L3525" s="4">
        <f>J3525+K3525</f>
        <v>0</v>
      </c>
      <c r="M3525" s="4"/>
      <c r="N3525" s="4"/>
      <c r="O3525" s="4">
        <v>0</v>
      </c>
      <c r="P3525" s="4"/>
      <c r="Q3525" s="4"/>
      <c r="R3525" s="7">
        <v>0</v>
      </c>
      <c r="S3525" s="7">
        <v>0</v>
      </c>
      <c r="T3525" s="7">
        <f>R3525-S3525</f>
        <v>0</v>
      </c>
      <c r="U3525" s="7">
        <f>T3525*O3525</f>
        <v>0</v>
      </c>
    </row>
    <row r="3526" spans="1:21">
      <c r="A3526" s="4" t="s">
        <v>4662</v>
      </c>
      <c r="B3526" s="4" t="s">
        <v>122</v>
      </c>
      <c r="C3526" s="5">
        <v>45972.72251157407</v>
      </c>
      <c r="D3526" s="5">
        <v>45975</v>
      </c>
      <c r="E3526" s="6">
        <f>IF(AND(C3526&lt;&gt;"",D3526&lt;&gt;""),D3526-C3526,"")</f>
        <v>0</v>
      </c>
      <c r="F3526" s="4" t="s">
        <v>30</v>
      </c>
      <c r="G3526" s="4" t="s">
        <v>31</v>
      </c>
      <c r="H3526" s="4" t="s">
        <v>32</v>
      </c>
      <c r="I3526" s="4" t="s">
        <v>33</v>
      </c>
      <c r="J3526" s="4">
        <v>4</v>
      </c>
      <c r="K3526" s="4">
        <v>0</v>
      </c>
      <c r="L3526" s="4">
        <f>J3526+K3526</f>
        <v>0</v>
      </c>
      <c r="M3526" s="4"/>
      <c r="N3526" s="4"/>
      <c r="O3526" s="4">
        <v>0</v>
      </c>
      <c r="P3526" s="4"/>
      <c r="Q3526" s="4"/>
      <c r="R3526" s="7">
        <v>0</v>
      </c>
      <c r="S3526" s="7">
        <v>0</v>
      </c>
      <c r="T3526" s="7">
        <f>R3526-S3526</f>
        <v>0</v>
      </c>
      <c r="U3526" s="7">
        <f>T3526*O3526</f>
        <v>0</v>
      </c>
    </row>
    <row r="3527" spans="1:21">
      <c r="A3527" s="4" t="s">
        <v>4663</v>
      </c>
      <c r="B3527" s="4" t="s">
        <v>122</v>
      </c>
      <c r="C3527" s="5">
        <v>45972.72542824074</v>
      </c>
      <c r="D3527" s="5">
        <v>45974</v>
      </c>
      <c r="E3527" s="6">
        <f>IF(AND(C3527&lt;&gt;"",D3527&lt;&gt;""),D3527-C3527,"")</f>
        <v>0</v>
      </c>
      <c r="F3527" s="4" t="s">
        <v>64</v>
      </c>
      <c r="G3527" s="4" t="s">
        <v>4412</v>
      </c>
      <c r="H3527" s="4" t="s">
        <v>32</v>
      </c>
      <c r="I3527" s="4" t="s">
        <v>33</v>
      </c>
      <c r="J3527" s="4">
        <v>2</v>
      </c>
      <c r="K3527" s="4">
        <v>2</v>
      </c>
      <c r="L3527" s="4">
        <f>J3527+K3527</f>
        <v>0</v>
      </c>
      <c r="M3527" s="4"/>
      <c r="N3527" s="4"/>
      <c r="O3527" s="4">
        <v>0</v>
      </c>
      <c r="P3527" s="4"/>
      <c r="Q3527" s="4"/>
      <c r="R3527" s="7">
        <v>0</v>
      </c>
      <c r="S3527" s="7">
        <v>0</v>
      </c>
      <c r="T3527" s="7">
        <f>R3527-S3527</f>
        <v>0</v>
      </c>
      <c r="U3527" s="7">
        <f>T3527*O3527</f>
        <v>0</v>
      </c>
    </row>
    <row r="3528" spans="1:21">
      <c r="A3528" s="4" t="s">
        <v>4664</v>
      </c>
      <c r="B3528" s="4" t="s">
        <v>122</v>
      </c>
      <c r="C3528" s="5">
        <v>45972.73012731481</v>
      </c>
      <c r="D3528" s="5">
        <v>45975</v>
      </c>
      <c r="E3528" s="6">
        <f>IF(AND(C3528&lt;&gt;"",D3528&lt;&gt;""),D3528-C3528,"")</f>
        <v>0</v>
      </c>
      <c r="F3528" s="4" t="s">
        <v>30</v>
      </c>
      <c r="G3528" s="4" t="s">
        <v>31</v>
      </c>
      <c r="H3528" s="4" t="s">
        <v>32</v>
      </c>
      <c r="I3528" s="4" t="s">
        <v>33</v>
      </c>
      <c r="J3528" s="4">
        <v>10</v>
      </c>
      <c r="K3528" s="4">
        <v>0</v>
      </c>
      <c r="L3528" s="4">
        <f>J3528+K3528</f>
        <v>0</v>
      </c>
      <c r="M3528" s="4"/>
      <c r="N3528" s="4"/>
      <c r="O3528" s="4">
        <v>0</v>
      </c>
      <c r="P3528" s="4"/>
      <c r="Q3528" s="4"/>
      <c r="R3528" s="7">
        <v>0</v>
      </c>
      <c r="S3528" s="7">
        <v>0</v>
      </c>
      <c r="T3528" s="7">
        <f>R3528-S3528</f>
        <v>0</v>
      </c>
      <c r="U3528" s="7">
        <f>T3528*O3528</f>
        <v>0</v>
      </c>
    </row>
    <row r="3529" spans="1:21">
      <c r="A3529" s="4" t="s">
        <v>4665</v>
      </c>
      <c r="B3529" s="4" t="s">
        <v>39</v>
      </c>
      <c r="C3529" s="5">
        <v>45972.73403935185</v>
      </c>
      <c r="D3529" s="5">
        <v>45972</v>
      </c>
      <c r="E3529" s="6">
        <f>IF(AND(C3529&lt;&gt;"",D3529&lt;&gt;""),D3529-C3529,"")</f>
        <v>0</v>
      </c>
      <c r="F3529" s="4" t="s">
        <v>4666</v>
      </c>
      <c r="G3529" s="4" t="s">
        <v>4667</v>
      </c>
      <c r="H3529" s="4" t="s">
        <v>32</v>
      </c>
      <c r="I3529" s="4" t="s">
        <v>33</v>
      </c>
      <c r="J3529" s="4">
        <v>0</v>
      </c>
      <c r="K3529" s="4">
        <v>0</v>
      </c>
      <c r="L3529" s="4">
        <f>J3529+K3529</f>
        <v>0</v>
      </c>
      <c r="M3529" s="4" t="s">
        <v>370</v>
      </c>
      <c r="N3529" s="4"/>
      <c r="O3529" s="4">
        <v>1</v>
      </c>
      <c r="P3529" s="4" t="s">
        <v>135</v>
      </c>
      <c r="Q3529" s="4"/>
      <c r="R3529" s="7">
        <v>2000000</v>
      </c>
      <c r="S3529" s="7">
        <v>0</v>
      </c>
      <c r="T3529" s="7">
        <f>R3529-S3529</f>
        <v>0</v>
      </c>
      <c r="U3529" s="7">
        <f>T3529*O3529</f>
        <v>0</v>
      </c>
    </row>
    <row r="3530" spans="1:21">
      <c r="A3530" s="4" t="s">
        <v>4668</v>
      </c>
      <c r="B3530" s="4" t="s">
        <v>39</v>
      </c>
      <c r="C3530" s="5">
        <v>45973.15083333333</v>
      </c>
      <c r="D3530" s="5">
        <v>45973</v>
      </c>
      <c r="E3530" s="6">
        <f>IF(AND(C3530&lt;&gt;"",D3530&lt;&gt;""),D3530-C3530,"")</f>
        <v>0</v>
      </c>
      <c r="F3530" s="4" t="s">
        <v>4669</v>
      </c>
      <c r="G3530" s="4" t="s">
        <v>4670</v>
      </c>
      <c r="H3530" s="4" t="s">
        <v>32</v>
      </c>
      <c r="I3530" s="4" t="s">
        <v>33</v>
      </c>
      <c r="J3530" s="4">
        <v>0</v>
      </c>
      <c r="K3530" s="4">
        <v>0</v>
      </c>
      <c r="L3530" s="4">
        <f>J3530+K3530</f>
        <v>0</v>
      </c>
      <c r="M3530" s="4" t="s">
        <v>370</v>
      </c>
      <c r="N3530" s="4"/>
      <c r="O3530" s="4">
        <v>1</v>
      </c>
      <c r="P3530" s="4" t="s">
        <v>135</v>
      </c>
      <c r="Q3530" s="4"/>
      <c r="R3530" s="7">
        <v>300000</v>
      </c>
      <c r="S3530" s="7">
        <v>0</v>
      </c>
      <c r="T3530" s="7">
        <f>R3530-S3530</f>
        <v>0</v>
      </c>
      <c r="U3530" s="7">
        <f>T3530*O3530</f>
        <v>0</v>
      </c>
    </row>
    <row r="3531" spans="1:21">
      <c r="A3531" s="4" t="s">
        <v>4671</v>
      </c>
      <c r="B3531" s="4" t="s">
        <v>48</v>
      </c>
      <c r="C3531" s="5">
        <v>45973.25909722222</v>
      </c>
      <c r="D3531" s="5">
        <v>45976</v>
      </c>
      <c r="E3531" s="6">
        <f>IF(AND(C3531&lt;&gt;"",D3531&lt;&gt;""),D3531-C3531,"")</f>
        <v>0</v>
      </c>
      <c r="F3531" s="4" t="s">
        <v>64</v>
      </c>
      <c r="G3531" s="4" t="s">
        <v>4412</v>
      </c>
      <c r="H3531" s="4" t="s">
        <v>32</v>
      </c>
      <c r="I3531" s="4" t="s">
        <v>33</v>
      </c>
      <c r="J3531" s="4">
        <v>1</v>
      </c>
      <c r="K3531" s="4">
        <v>0</v>
      </c>
      <c r="L3531" s="4">
        <f>J3531+K3531</f>
        <v>0</v>
      </c>
      <c r="M3531" s="4"/>
      <c r="N3531" s="4"/>
      <c r="O3531" s="4">
        <v>0</v>
      </c>
      <c r="P3531" s="4"/>
      <c r="Q3531" s="4"/>
      <c r="R3531" s="7">
        <v>0</v>
      </c>
      <c r="S3531" s="7">
        <v>0</v>
      </c>
      <c r="T3531" s="7">
        <f>R3531-S3531</f>
        <v>0</v>
      </c>
      <c r="U3531" s="7">
        <f>T3531*O3531</f>
        <v>0</v>
      </c>
    </row>
    <row r="3532" spans="1:21">
      <c r="A3532" s="4" t="s">
        <v>4672</v>
      </c>
      <c r="B3532" s="4" t="s">
        <v>48</v>
      </c>
      <c r="C3532" s="5">
        <v>45973.26760416666</v>
      </c>
      <c r="D3532" s="5">
        <v>45975</v>
      </c>
      <c r="E3532" s="6">
        <f>IF(AND(C3532&lt;&gt;"",D3532&lt;&gt;""),D3532-C3532,"")</f>
        <v>0</v>
      </c>
      <c r="F3532" s="4" t="s">
        <v>64</v>
      </c>
      <c r="G3532" s="4" t="s">
        <v>4412</v>
      </c>
      <c r="H3532" s="4" t="s">
        <v>32</v>
      </c>
      <c r="I3532" s="4" t="s">
        <v>33</v>
      </c>
      <c r="J3532" s="4">
        <v>1</v>
      </c>
      <c r="K3532" s="4">
        <v>0</v>
      </c>
      <c r="L3532" s="4">
        <f>J3532+K3532</f>
        <v>0</v>
      </c>
      <c r="M3532" s="4"/>
      <c r="N3532" s="4"/>
      <c r="O3532" s="4">
        <v>0</v>
      </c>
      <c r="P3532" s="4"/>
      <c r="Q3532" s="4"/>
      <c r="R3532" s="7">
        <v>0</v>
      </c>
      <c r="S3532" s="7">
        <v>0</v>
      </c>
      <c r="T3532" s="7">
        <f>R3532-S3532</f>
        <v>0</v>
      </c>
      <c r="U3532" s="7">
        <f>T3532*O3532</f>
        <v>0</v>
      </c>
    </row>
    <row r="3533" spans="1:21">
      <c r="A3533" s="4" t="s">
        <v>4673</v>
      </c>
      <c r="B3533" s="4"/>
      <c r="C3533" s="5">
        <v>45973.27980324074</v>
      </c>
      <c r="D3533" s="5">
        <v>45973</v>
      </c>
      <c r="E3533" s="6">
        <f>IF(AND(C3533&lt;&gt;"",D3533&lt;&gt;""),D3533-C3533,"")</f>
        <v>0</v>
      </c>
      <c r="F3533" s="4" t="s">
        <v>4674</v>
      </c>
      <c r="G3533" s="4"/>
      <c r="H3533" s="4"/>
      <c r="I3533" s="4" t="s">
        <v>56</v>
      </c>
      <c r="J3533" s="4">
        <v>22</v>
      </c>
      <c r="K3533" s="4">
        <v>0</v>
      </c>
      <c r="L3533" s="4">
        <f>J3533+K3533</f>
        <v>0</v>
      </c>
      <c r="M3533" s="4"/>
      <c r="N3533" s="4"/>
      <c r="O3533" s="4">
        <v>0</v>
      </c>
      <c r="P3533" s="4"/>
      <c r="Q3533" s="4"/>
      <c r="R3533" s="7">
        <v>0</v>
      </c>
      <c r="S3533" s="7">
        <v>0</v>
      </c>
      <c r="T3533" s="7">
        <f>R3533-S3533</f>
        <v>0</v>
      </c>
      <c r="U3533" s="7">
        <f>T3533*O3533</f>
        <v>0</v>
      </c>
    </row>
    <row r="3534" spans="1:21">
      <c r="A3534" s="4" t="s">
        <v>4675</v>
      </c>
      <c r="B3534" s="4" t="s">
        <v>103</v>
      </c>
      <c r="C3534" s="5">
        <v>45973.28089120371</v>
      </c>
      <c r="D3534" s="5">
        <v>45973</v>
      </c>
      <c r="E3534" s="6">
        <f>IF(AND(C3534&lt;&gt;"",D3534&lt;&gt;""),D3534-C3534,"")</f>
        <v>0</v>
      </c>
      <c r="F3534" s="4" t="s">
        <v>4676</v>
      </c>
      <c r="G3534" s="4" t="s">
        <v>4677</v>
      </c>
      <c r="H3534" s="4" t="s">
        <v>190</v>
      </c>
      <c r="I3534" s="4" t="s">
        <v>56</v>
      </c>
      <c r="J3534" s="4">
        <v>4</v>
      </c>
      <c r="K3534" s="4">
        <v>1</v>
      </c>
      <c r="L3534" s="4">
        <f>J3534+K3534</f>
        <v>0</v>
      </c>
      <c r="M3534" s="4"/>
      <c r="N3534" s="4"/>
      <c r="O3534" s="4">
        <v>0</v>
      </c>
      <c r="P3534" s="4"/>
      <c r="Q3534" s="4"/>
      <c r="R3534" s="7">
        <v>0</v>
      </c>
      <c r="S3534" s="7">
        <v>0</v>
      </c>
      <c r="T3534" s="7">
        <f>R3534-S3534</f>
        <v>0</v>
      </c>
      <c r="U3534" s="7">
        <f>T3534*O3534</f>
        <v>0</v>
      </c>
    </row>
    <row r="3535" spans="1:21">
      <c r="A3535" s="4" t="s">
        <v>4678</v>
      </c>
      <c r="B3535" s="4" t="s">
        <v>48</v>
      </c>
      <c r="C3535" s="5">
        <v>45973.28327546296</v>
      </c>
      <c r="D3535" s="5">
        <v>45974</v>
      </c>
      <c r="E3535" s="6">
        <f>IF(AND(C3535&lt;&gt;"",D3535&lt;&gt;""),D3535-C3535,"")</f>
        <v>0</v>
      </c>
      <c r="F3535" s="4" t="s">
        <v>64</v>
      </c>
      <c r="G3535" s="4" t="s">
        <v>4412</v>
      </c>
      <c r="H3535" s="4" t="s">
        <v>32</v>
      </c>
      <c r="I3535" s="4" t="s">
        <v>33</v>
      </c>
      <c r="J3535" s="4">
        <v>1</v>
      </c>
      <c r="K3535" s="4">
        <v>0</v>
      </c>
      <c r="L3535" s="4">
        <f>J3535+K3535</f>
        <v>0</v>
      </c>
      <c r="M3535" s="4"/>
      <c r="N3535" s="4"/>
      <c r="O3535" s="4">
        <v>0</v>
      </c>
      <c r="P3535" s="4"/>
      <c r="Q3535" s="4"/>
      <c r="R3535" s="7">
        <v>0</v>
      </c>
      <c r="S3535" s="7">
        <v>0</v>
      </c>
      <c r="T3535" s="7">
        <f>R3535-S3535</f>
        <v>0</v>
      </c>
      <c r="U3535" s="7">
        <f>T3535*O3535</f>
        <v>0</v>
      </c>
    </row>
    <row r="3536" spans="1:21">
      <c r="A3536" s="4" t="s">
        <v>4679</v>
      </c>
      <c r="B3536" s="4" t="s">
        <v>48</v>
      </c>
      <c r="C3536" s="5">
        <v>45973.28431712963</v>
      </c>
      <c r="D3536" s="5">
        <v>45973</v>
      </c>
      <c r="E3536" s="6">
        <f>IF(AND(C3536&lt;&gt;"",D3536&lt;&gt;""),D3536-C3536,"")</f>
        <v>0</v>
      </c>
      <c r="F3536" s="4" t="s">
        <v>64</v>
      </c>
      <c r="G3536" s="4" t="s">
        <v>4412</v>
      </c>
      <c r="H3536" s="4" t="s">
        <v>32</v>
      </c>
      <c r="I3536" s="4" t="s">
        <v>33</v>
      </c>
      <c r="J3536" s="4">
        <v>1</v>
      </c>
      <c r="K3536" s="4">
        <v>1</v>
      </c>
      <c r="L3536" s="4">
        <f>J3536+K3536</f>
        <v>0</v>
      </c>
      <c r="M3536" s="4"/>
      <c r="N3536" s="4"/>
      <c r="O3536" s="4">
        <v>0</v>
      </c>
      <c r="P3536" s="4"/>
      <c r="Q3536" s="4"/>
      <c r="R3536" s="7">
        <v>0</v>
      </c>
      <c r="S3536" s="7">
        <v>0</v>
      </c>
      <c r="T3536" s="7">
        <f>R3536-S3536</f>
        <v>0</v>
      </c>
      <c r="U3536" s="7">
        <f>T3536*O3536</f>
        <v>0</v>
      </c>
    </row>
    <row r="3537" spans="1:21">
      <c r="A3537" s="4" t="s">
        <v>4680</v>
      </c>
      <c r="B3537" s="4"/>
      <c r="C3537" s="5">
        <v>45973.28501157407</v>
      </c>
      <c r="D3537" s="5">
        <v>45973</v>
      </c>
      <c r="E3537" s="6">
        <f>IF(AND(C3537&lt;&gt;"",D3537&lt;&gt;""),D3537-C3537,"")</f>
        <v>0</v>
      </c>
      <c r="F3537" s="4" t="s">
        <v>4681</v>
      </c>
      <c r="G3537" s="4"/>
      <c r="H3537" s="4"/>
      <c r="I3537" s="4" t="s">
        <v>56</v>
      </c>
      <c r="J3537" s="4">
        <v>13</v>
      </c>
      <c r="K3537" s="4">
        <v>15</v>
      </c>
      <c r="L3537" s="4">
        <f>J3537+K3537</f>
        <v>0</v>
      </c>
      <c r="M3537" s="4"/>
      <c r="N3537" s="4"/>
      <c r="O3537" s="4">
        <v>0</v>
      </c>
      <c r="P3537" s="4"/>
      <c r="Q3537" s="4"/>
      <c r="R3537" s="7">
        <v>0</v>
      </c>
      <c r="S3537" s="7">
        <v>0</v>
      </c>
      <c r="T3537" s="7">
        <f>R3537-S3537</f>
        <v>0</v>
      </c>
      <c r="U3537" s="7">
        <f>T3537*O3537</f>
        <v>0</v>
      </c>
    </row>
    <row r="3538" spans="1:21">
      <c r="A3538" s="4" t="s">
        <v>4682</v>
      </c>
      <c r="B3538" s="4"/>
      <c r="C3538" s="5">
        <v>45973.29418981481</v>
      </c>
      <c r="D3538" s="5">
        <v>45973</v>
      </c>
      <c r="E3538" s="6">
        <f>IF(AND(C3538&lt;&gt;"",D3538&lt;&gt;""),D3538-C3538,"")</f>
        <v>0</v>
      </c>
      <c r="F3538" s="4" t="s">
        <v>4683</v>
      </c>
      <c r="G3538" s="4"/>
      <c r="H3538" s="4"/>
      <c r="I3538" s="4" t="s">
        <v>56</v>
      </c>
      <c r="J3538" s="4">
        <v>4</v>
      </c>
      <c r="K3538" s="4">
        <v>5</v>
      </c>
      <c r="L3538" s="4">
        <f>J3538+K3538</f>
        <v>0</v>
      </c>
      <c r="M3538" s="4"/>
      <c r="N3538" s="4"/>
      <c r="O3538" s="4">
        <v>0</v>
      </c>
      <c r="P3538" s="4"/>
      <c r="Q3538" s="4"/>
      <c r="R3538" s="7">
        <v>0</v>
      </c>
      <c r="S3538" s="7">
        <v>0</v>
      </c>
      <c r="T3538" s="7">
        <f>R3538-S3538</f>
        <v>0</v>
      </c>
      <c r="U3538" s="7">
        <f>T3538*O3538</f>
        <v>0</v>
      </c>
    </row>
    <row r="3539" spans="1:21">
      <c r="A3539" s="4" t="s">
        <v>4684</v>
      </c>
      <c r="B3539" s="4" t="s">
        <v>39</v>
      </c>
      <c r="C3539" s="5">
        <v>45973.30048611111</v>
      </c>
      <c r="D3539" s="5">
        <v>45973</v>
      </c>
      <c r="E3539" s="6">
        <f>IF(AND(C3539&lt;&gt;"",D3539&lt;&gt;""),D3539-C3539,"")</f>
        <v>0</v>
      </c>
      <c r="F3539" s="4" t="s">
        <v>4581</v>
      </c>
      <c r="G3539" s="4" t="s">
        <v>4685</v>
      </c>
      <c r="H3539" s="4" t="s">
        <v>32</v>
      </c>
      <c r="I3539" s="4" t="s">
        <v>33</v>
      </c>
      <c r="J3539" s="4">
        <v>0</v>
      </c>
      <c r="K3539" s="4">
        <v>0</v>
      </c>
      <c r="L3539" s="4">
        <f>J3539+K3539</f>
        <v>0</v>
      </c>
      <c r="M3539" s="4" t="s">
        <v>370</v>
      </c>
      <c r="N3539" s="4"/>
      <c r="O3539" s="4">
        <v>1</v>
      </c>
      <c r="P3539" s="4" t="s">
        <v>135</v>
      </c>
      <c r="Q3539" s="4"/>
      <c r="R3539" s="7">
        <v>12000000</v>
      </c>
      <c r="S3539" s="7">
        <v>0</v>
      </c>
      <c r="T3539" s="7">
        <f>R3539-S3539</f>
        <v>0</v>
      </c>
      <c r="U3539" s="7">
        <f>T3539*O3539</f>
        <v>0</v>
      </c>
    </row>
    <row r="3540" spans="1:21">
      <c r="A3540" s="4" t="s">
        <v>4686</v>
      </c>
      <c r="B3540" s="4" t="s">
        <v>48</v>
      </c>
      <c r="C3540" s="5">
        <v>45973.32199074074</v>
      </c>
      <c r="D3540" s="5">
        <v>45973</v>
      </c>
      <c r="E3540" s="6">
        <f>IF(AND(C3540&lt;&gt;"",D3540&lt;&gt;""),D3540-C3540,"")</f>
        <v>0</v>
      </c>
      <c r="F3540" s="4" t="s">
        <v>64</v>
      </c>
      <c r="G3540" s="4" t="s">
        <v>4412</v>
      </c>
      <c r="H3540" s="4" t="s">
        <v>32</v>
      </c>
      <c r="I3540" s="4" t="s">
        <v>33</v>
      </c>
      <c r="J3540" s="4">
        <v>1</v>
      </c>
      <c r="K3540" s="4">
        <v>0</v>
      </c>
      <c r="L3540" s="4">
        <f>J3540+K3540</f>
        <v>0</v>
      </c>
      <c r="M3540" s="4"/>
      <c r="N3540" s="4"/>
      <c r="O3540" s="4">
        <v>0</v>
      </c>
      <c r="P3540" s="4"/>
      <c r="Q3540" s="4"/>
      <c r="R3540" s="7">
        <v>0</v>
      </c>
      <c r="S3540" s="7">
        <v>0</v>
      </c>
      <c r="T3540" s="7">
        <f>R3540-S3540</f>
        <v>0</v>
      </c>
      <c r="U3540" s="7">
        <f>T3540*O3540</f>
        <v>0</v>
      </c>
    </row>
    <row r="3541" spans="1:21">
      <c r="A3541" s="4" t="s">
        <v>4687</v>
      </c>
      <c r="B3541" s="4" t="s">
        <v>48</v>
      </c>
      <c r="C3541" s="5">
        <v>45973.36056712963</v>
      </c>
      <c r="D3541" s="5">
        <v>45973</v>
      </c>
      <c r="E3541" s="6">
        <f>IF(AND(C3541&lt;&gt;"",D3541&lt;&gt;""),D3541-C3541,"")</f>
        <v>0</v>
      </c>
      <c r="F3541" s="4" t="s">
        <v>64</v>
      </c>
      <c r="G3541" s="4" t="s">
        <v>4412</v>
      </c>
      <c r="H3541" s="4" t="s">
        <v>32</v>
      </c>
      <c r="I3541" s="4" t="s">
        <v>33</v>
      </c>
      <c r="J3541" s="4">
        <v>1</v>
      </c>
      <c r="K3541" s="4">
        <v>1</v>
      </c>
      <c r="L3541" s="4">
        <f>J3541+K3541</f>
        <v>0</v>
      </c>
      <c r="M3541" s="4"/>
      <c r="N3541" s="4"/>
      <c r="O3541" s="4">
        <v>0</v>
      </c>
      <c r="P3541" s="4"/>
      <c r="Q3541" s="4"/>
      <c r="R3541" s="7">
        <v>0</v>
      </c>
      <c r="S3541" s="7">
        <v>0</v>
      </c>
      <c r="T3541" s="7">
        <f>R3541-S3541</f>
        <v>0</v>
      </c>
      <c r="U3541" s="7">
        <f>T3541*O3541</f>
        <v>0</v>
      </c>
    </row>
    <row r="3542" spans="1:21">
      <c r="A3542" s="4" t="s">
        <v>4688</v>
      </c>
      <c r="B3542" s="4" t="s">
        <v>103</v>
      </c>
      <c r="C3542" s="5">
        <v>45973.36287037037</v>
      </c>
      <c r="D3542" s="5">
        <v>45973</v>
      </c>
      <c r="E3542" s="6">
        <f>IF(AND(C3542&lt;&gt;"",D3542&lt;&gt;""),D3542-C3542,"")</f>
        <v>0</v>
      </c>
      <c r="F3542" s="4" t="s">
        <v>1176</v>
      </c>
      <c r="G3542" s="4" t="s">
        <v>4173</v>
      </c>
      <c r="H3542" s="4" t="s">
        <v>190</v>
      </c>
      <c r="I3542" s="4" t="s">
        <v>56</v>
      </c>
      <c r="J3542" s="4">
        <v>3</v>
      </c>
      <c r="K3542" s="4">
        <v>2</v>
      </c>
      <c r="L3542" s="4">
        <f>J3542+K3542</f>
        <v>0</v>
      </c>
      <c r="M3542" s="4"/>
      <c r="N3542" s="4"/>
      <c r="O3542" s="4">
        <v>0</v>
      </c>
      <c r="P3542" s="4"/>
      <c r="Q3542" s="4"/>
      <c r="R3542" s="7">
        <v>0</v>
      </c>
      <c r="S3542" s="7">
        <v>0</v>
      </c>
      <c r="T3542" s="7">
        <f>R3542-S3542</f>
        <v>0</v>
      </c>
      <c r="U3542" s="7">
        <f>T3542*O3542</f>
        <v>0</v>
      </c>
    </row>
    <row r="3543" spans="1:21">
      <c r="A3543" s="4" t="s">
        <v>4689</v>
      </c>
      <c r="B3543" s="4" t="s">
        <v>48</v>
      </c>
      <c r="C3543" s="5">
        <v>45973.39929398148</v>
      </c>
      <c r="D3543" s="5">
        <v>45973</v>
      </c>
      <c r="E3543" s="6">
        <f>IF(AND(C3543&lt;&gt;"",D3543&lt;&gt;""),D3543-C3543,"")</f>
        <v>0</v>
      </c>
      <c r="F3543" s="4" t="s">
        <v>64</v>
      </c>
      <c r="G3543" s="4" t="s">
        <v>4412</v>
      </c>
      <c r="H3543" s="4" t="s">
        <v>32</v>
      </c>
      <c r="I3543" s="4" t="s">
        <v>33</v>
      </c>
      <c r="J3543" s="4">
        <v>1</v>
      </c>
      <c r="K3543" s="4">
        <v>1</v>
      </c>
      <c r="L3543" s="4">
        <f>J3543+K3543</f>
        <v>0</v>
      </c>
      <c r="M3543" s="4"/>
      <c r="N3543" s="4"/>
      <c r="O3543" s="4">
        <v>0</v>
      </c>
      <c r="P3543" s="4"/>
      <c r="Q3543" s="4"/>
      <c r="R3543" s="7">
        <v>0</v>
      </c>
      <c r="S3543" s="7">
        <v>0</v>
      </c>
      <c r="T3543" s="7">
        <f>R3543-S3543</f>
        <v>0</v>
      </c>
      <c r="U3543" s="7">
        <f>T3543*O3543</f>
        <v>0</v>
      </c>
    </row>
    <row r="3544" spans="1:21">
      <c r="A3544" s="4" t="s">
        <v>4690</v>
      </c>
      <c r="B3544" s="4" t="s">
        <v>48</v>
      </c>
      <c r="C3544" s="5">
        <v>45973.45847222222</v>
      </c>
      <c r="D3544" s="5">
        <v>45973</v>
      </c>
      <c r="E3544" s="6">
        <f>IF(AND(C3544&lt;&gt;"",D3544&lt;&gt;""),D3544-C3544,"")</f>
        <v>0</v>
      </c>
      <c r="F3544" s="4" t="s">
        <v>64</v>
      </c>
      <c r="G3544" s="4" t="s">
        <v>4412</v>
      </c>
      <c r="H3544" s="4" t="s">
        <v>32</v>
      </c>
      <c r="I3544" s="4" t="s">
        <v>33</v>
      </c>
      <c r="J3544" s="4">
        <v>3</v>
      </c>
      <c r="K3544" s="4">
        <v>0</v>
      </c>
      <c r="L3544" s="4">
        <f>J3544+K3544</f>
        <v>0</v>
      </c>
      <c r="M3544" s="4"/>
      <c r="N3544" s="4"/>
      <c r="O3544" s="4">
        <v>0</v>
      </c>
      <c r="P3544" s="4"/>
      <c r="Q3544" s="4"/>
      <c r="R3544" s="7">
        <v>0</v>
      </c>
      <c r="S3544" s="7">
        <v>0</v>
      </c>
      <c r="T3544" s="7">
        <f>R3544-S3544</f>
        <v>0</v>
      </c>
      <c r="U3544" s="7">
        <f>T3544*O3544</f>
        <v>0</v>
      </c>
    </row>
    <row r="3545" spans="1:21">
      <c r="A3545" s="4" t="s">
        <v>4691</v>
      </c>
      <c r="B3545" s="4" t="s">
        <v>103</v>
      </c>
      <c r="C3545" s="5">
        <v>45973.46636574074</v>
      </c>
      <c r="D3545" s="5">
        <v>45973</v>
      </c>
      <c r="E3545" s="6">
        <f>IF(AND(C3545&lt;&gt;"",D3545&lt;&gt;""),D3545-C3545,"")</f>
        <v>0</v>
      </c>
      <c r="F3545" s="4" t="s">
        <v>213</v>
      </c>
      <c r="G3545" s="4" t="s">
        <v>214</v>
      </c>
      <c r="H3545" s="4" t="s">
        <v>32</v>
      </c>
      <c r="I3545" s="4" t="s">
        <v>33</v>
      </c>
      <c r="J3545" s="4">
        <v>2</v>
      </c>
      <c r="K3545" s="4">
        <v>0</v>
      </c>
      <c r="L3545" s="4">
        <f>J3545+K3545</f>
        <v>0</v>
      </c>
      <c r="M3545" s="4"/>
      <c r="N3545" s="4"/>
      <c r="O3545" s="4">
        <v>0</v>
      </c>
      <c r="P3545" s="4"/>
      <c r="Q3545" s="4"/>
      <c r="R3545" s="7">
        <v>0</v>
      </c>
      <c r="S3545" s="7">
        <v>0</v>
      </c>
      <c r="T3545" s="7">
        <f>R3545-S3545</f>
        <v>0</v>
      </c>
      <c r="U3545" s="7">
        <f>T3545*O3545</f>
        <v>0</v>
      </c>
    </row>
    <row r="3546" spans="1:21">
      <c r="A3546" s="4" t="s">
        <v>4692</v>
      </c>
      <c r="B3546" s="4" t="s">
        <v>39</v>
      </c>
      <c r="C3546" s="5">
        <v>45973.48195601852</v>
      </c>
      <c r="D3546" s="5">
        <v>45973</v>
      </c>
      <c r="E3546" s="6">
        <f>IF(AND(C3546&lt;&gt;"",D3546&lt;&gt;""),D3546-C3546,"")</f>
        <v>0</v>
      </c>
      <c r="F3546" s="4" t="s">
        <v>4693</v>
      </c>
      <c r="G3546" s="4" t="s">
        <v>4694</v>
      </c>
      <c r="H3546" s="4" t="s">
        <v>32</v>
      </c>
      <c r="I3546" s="4" t="s">
        <v>33</v>
      </c>
      <c r="J3546" s="4">
        <v>0</v>
      </c>
      <c r="K3546" s="4">
        <v>0</v>
      </c>
      <c r="L3546" s="4">
        <f>J3546+K3546</f>
        <v>0</v>
      </c>
      <c r="M3546" s="4" t="s">
        <v>370</v>
      </c>
      <c r="N3546" s="4"/>
      <c r="O3546" s="4">
        <v>1</v>
      </c>
      <c r="P3546" s="4" t="s">
        <v>135</v>
      </c>
      <c r="Q3546" s="4" t="s">
        <v>44</v>
      </c>
      <c r="R3546" s="7">
        <v>3000000</v>
      </c>
      <c r="S3546" s="7">
        <v>0</v>
      </c>
      <c r="T3546" s="7">
        <f>R3546-S3546</f>
        <v>0</v>
      </c>
      <c r="U3546" s="7">
        <f>T3546*O3546</f>
        <v>0</v>
      </c>
    </row>
    <row r="3547" spans="1:21">
      <c r="A3547" s="4" t="s">
        <v>4695</v>
      </c>
      <c r="B3547" s="4" t="s">
        <v>39</v>
      </c>
      <c r="C3547" s="5">
        <v>45973.48224537037</v>
      </c>
      <c r="D3547" s="5">
        <v>45973</v>
      </c>
      <c r="E3547" s="6">
        <f>IF(AND(C3547&lt;&gt;"",D3547&lt;&gt;""),D3547-C3547,"")</f>
        <v>0</v>
      </c>
      <c r="F3547" s="4" t="s">
        <v>4696</v>
      </c>
      <c r="G3547" s="4" t="s">
        <v>4697</v>
      </c>
      <c r="H3547" s="4" t="s">
        <v>32</v>
      </c>
      <c r="I3547" s="4" t="s">
        <v>33</v>
      </c>
      <c r="J3547" s="4">
        <v>1</v>
      </c>
      <c r="K3547" s="4">
        <v>0</v>
      </c>
      <c r="L3547" s="4">
        <f>J3547+K3547</f>
        <v>0</v>
      </c>
      <c r="M3547" s="4" t="s">
        <v>80</v>
      </c>
      <c r="N3547" s="4"/>
      <c r="O3547" s="4">
        <v>1</v>
      </c>
      <c r="P3547" s="4" t="s">
        <v>135</v>
      </c>
      <c r="Q3547" s="4" t="s">
        <v>44</v>
      </c>
      <c r="R3547" s="7">
        <v>610000</v>
      </c>
      <c r="S3547" s="7">
        <v>0</v>
      </c>
      <c r="T3547" s="7">
        <f>R3547-S3547</f>
        <v>0</v>
      </c>
      <c r="U3547" s="7">
        <f>T3547*O3547</f>
        <v>0</v>
      </c>
    </row>
    <row r="3548" spans="1:21">
      <c r="A3548" s="4" t="s">
        <v>4698</v>
      </c>
      <c r="B3548" s="4" t="s">
        <v>103</v>
      </c>
      <c r="C3548" s="5">
        <v>45973.55891203704</v>
      </c>
      <c r="D3548" s="5">
        <v>45974</v>
      </c>
      <c r="E3548" s="6">
        <f>IF(AND(C3548&lt;&gt;"",D3548&lt;&gt;""),D3548-C3548,"")</f>
        <v>0</v>
      </c>
      <c r="F3548" s="4" t="s">
        <v>4699</v>
      </c>
      <c r="G3548" s="4" t="s">
        <v>4700</v>
      </c>
      <c r="H3548" s="4" t="s">
        <v>699</v>
      </c>
      <c r="I3548" s="4" t="s">
        <v>56</v>
      </c>
      <c r="J3548" s="4">
        <v>2</v>
      </c>
      <c r="K3548" s="4">
        <v>0</v>
      </c>
      <c r="L3548" s="4">
        <f>J3548+K3548</f>
        <v>0</v>
      </c>
      <c r="M3548" s="4"/>
      <c r="N3548" s="4"/>
      <c r="O3548" s="4">
        <v>0</v>
      </c>
      <c r="P3548" s="4"/>
      <c r="Q3548" s="4"/>
      <c r="R3548" s="7">
        <v>0</v>
      </c>
      <c r="S3548" s="7">
        <v>0</v>
      </c>
      <c r="T3548" s="7">
        <f>R3548-S3548</f>
        <v>0</v>
      </c>
      <c r="U3548" s="7">
        <f>T3548*O3548</f>
        <v>0</v>
      </c>
    </row>
    <row r="3549" spans="1:21">
      <c r="A3549" s="4" t="s">
        <v>4701</v>
      </c>
      <c r="B3549" s="4" t="s">
        <v>39</v>
      </c>
      <c r="C3549" s="5">
        <v>45973.6200462963</v>
      </c>
      <c r="D3549" s="5">
        <v>45973</v>
      </c>
      <c r="E3549" s="6">
        <f>IF(AND(C3549&lt;&gt;"",D3549&lt;&gt;""),D3549-C3549,"")</f>
        <v>0</v>
      </c>
      <c r="F3549" s="4" t="s">
        <v>4702</v>
      </c>
      <c r="G3549" s="4" t="s">
        <v>4703</v>
      </c>
      <c r="H3549" s="4" t="s">
        <v>32</v>
      </c>
      <c r="I3549" s="4" t="s">
        <v>33</v>
      </c>
      <c r="J3549" s="4">
        <v>1</v>
      </c>
      <c r="K3549" s="4">
        <v>0</v>
      </c>
      <c r="L3549" s="4">
        <f>J3549+K3549</f>
        <v>0</v>
      </c>
      <c r="M3549" s="4" t="s">
        <v>80</v>
      </c>
      <c r="N3549" s="4"/>
      <c r="O3549" s="4">
        <v>1</v>
      </c>
      <c r="P3549" s="4" t="s">
        <v>135</v>
      </c>
      <c r="Q3549" s="4" t="s">
        <v>44</v>
      </c>
      <c r="R3549" s="7">
        <v>610000</v>
      </c>
      <c r="S3549" s="7">
        <v>0</v>
      </c>
      <c r="T3549" s="7">
        <f>R3549-S3549</f>
        <v>0</v>
      </c>
      <c r="U3549" s="7">
        <f>T3549*O3549</f>
        <v>0</v>
      </c>
    </row>
    <row r="3550" spans="1:21">
      <c r="A3550" s="4" t="s">
        <v>4704</v>
      </c>
      <c r="B3550" s="4" t="s">
        <v>39</v>
      </c>
      <c r="C3550" s="5">
        <v>45973.62261574074</v>
      </c>
      <c r="D3550" s="5">
        <v>45973</v>
      </c>
      <c r="E3550" s="6">
        <f>IF(AND(C3550&lt;&gt;"",D3550&lt;&gt;""),D3550-C3550,"")</f>
        <v>0</v>
      </c>
      <c r="F3550" s="4" t="s">
        <v>4705</v>
      </c>
      <c r="G3550" s="4" t="s">
        <v>4705</v>
      </c>
      <c r="H3550" s="4" t="s">
        <v>32</v>
      </c>
      <c r="I3550" s="4" t="s">
        <v>33</v>
      </c>
      <c r="J3550" s="4">
        <v>0</v>
      </c>
      <c r="K3550" s="4">
        <v>0</v>
      </c>
      <c r="L3550" s="4">
        <f>J3550+K3550</f>
        <v>0</v>
      </c>
      <c r="M3550" s="4" t="s">
        <v>370</v>
      </c>
      <c r="N3550" s="4"/>
      <c r="O3550" s="4">
        <v>1</v>
      </c>
      <c r="P3550" s="4" t="s">
        <v>135</v>
      </c>
      <c r="Q3550" s="4" t="s">
        <v>44</v>
      </c>
      <c r="R3550" s="7">
        <v>1000000</v>
      </c>
      <c r="S3550" s="7">
        <v>0</v>
      </c>
      <c r="T3550" s="7">
        <f>R3550-S3550</f>
        <v>0</v>
      </c>
      <c r="U3550" s="7">
        <f>T3550*O3550</f>
        <v>0</v>
      </c>
    </row>
    <row r="3551" spans="1:21">
      <c r="A3551" s="4" t="s">
        <v>4706</v>
      </c>
      <c r="B3551" s="4" t="s">
        <v>39</v>
      </c>
      <c r="C3551" s="5">
        <v>45973.62306712963</v>
      </c>
      <c r="D3551" s="5">
        <v>45973</v>
      </c>
      <c r="E3551" s="6">
        <f>IF(AND(C3551&lt;&gt;"",D3551&lt;&gt;""),D3551-C3551,"")</f>
        <v>0</v>
      </c>
      <c r="F3551" s="4" t="s">
        <v>4707</v>
      </c>
      <c r="G3551" s="4" t="s">
        <v>4708</v>
      </c>
      <c r="H3551" s="4" t="s">
        <v>32</v>
      </c>
      <c r="I3551" s="4" t="s">
        <v>33</v>
      </c>
      <c r="J3551" s="4">
        <v>1</v>
      </c>
      <c r="K3551" s="4">
        <v>0</v>
      </c>
      <c r="L3551" s="4">
        <f>J3551+K3551</f>
        <v>0</v>
      </c>
      <c r="M3551" s="4" t="s">
        <v>80</v>
      </c>
      <c r="N3551" s="4"/>
      <c r="O3551" s="4">
        <v>1</v>
      </c>
      <c r="P3551" s="4" t="s">
        <v>135</v>
      </c>
      <c r="Q3551" s="4" t="s">
        <v>44</v>
      </c>
      <c r="R3551" s="7">
        <v>610000</v>
      </c>
      <c r="S3551" s="7">
        <v>0</v>
      </c>
      <c r="T3551" s="7">
        <f>R3551-S3551</f>
        <v>0</v>
      </c>
      <c r="U3551" s="7">
        <f>T3551*O3551</f>
        <v>0</v>
      </c>
    </row>
    <row r="3552" spans="1:21">
      <c r="A3552" s="4" t="s">
        <v>4709</v>
      </c>
      <c r="B3552" s="4" t="s">
        <v>39</v>
      </c>
      <c r="C3552" s="5">
        <v>45973.62370370371</v>
      </c>
      <c r="D3552" s="5">
        <v>45973</v>
      </c>
      <c r="E3552" s="6">
        <f>IF(AND(C3552&lt;&gt;"",D3552&lt;&gt;""),D3552-C3552,"")</f>
        <v>0</v>
      </c>
      <c r="F3552" s="4" t="s">
        <v>4710</v>
      </c>
      <c r="G3552" s="4" t="s">
        <v>4710</v>
      </c>
      <c r="H3552" s="4" t="s">
        <v>32</v>
      </c>
      <c r="I3552" s="4" t="s">
        <v>33</v>
      </c>
      <c r="J3552" s="4">
        <v>1</v>
      </c>
      <c r="K3552" s="4">
        <v>0</v>
      </c>
      <c r="L3552" s="4">
        <f>J3552+K3552</f>
        <v>0</v>
      </c>
      <c r="M3552" s="4" t="s">
        <v>80</v>
      </c>
      <c r="N3552" s="4"/>
      <c r="O3552" s="4">
        <v>1</v>
      </c>
      <c r="P3552" s="4" t="s">
        <v>135</v>
      </c>
      <c r="Q3552" s="4" t="s">
        <v>44</v>
      </c>
      <c r="R3552" s="7">
        <v>610000</v>
      </c>
      <c r="S3552" s="7">
        <v>0</v>
      </c>
      <c r="T3552" s="7">
        <f>R3552-S3552</f>
        <v>0</v>
      </c>
      <c r="U3552" s="7">
        <f>T3552*O3552</f>
        <v>0</v>
      </c>
    </row>
    <row r="3553" spans="1:21">
      <c r="A3553" s="4" t="s">
        <v>4711</v>
      </c>
      <c r="B3553" s="4" t="s">
        <v>39</v>
      </c>
      <c r="C3553" s="5">
        <v>45973.63197916667</v>
      </c>
      <c r="D3553" s="5">
        <v>45973</v>
      </c>
      <c r="E3553" s="6">
        <f>IF(AND(C3553&lt;&gt;"",D3553&lt;&gt;""),D3553-C3553,"")</f>
        <v>0</v>
      </c>
      <c r="F3553" s="4" t="s">
        <v>2884</v>
      </c>
      <c r="G3553" s="4" t="s">
        <v>4712</v>
      </c>
      <c r="H3553" s="4" t="s">
        <v>32</v>
      </c>
      <c r="I3553" s="4" t="s">
        <v>33</v>
      </c>
      <c r="J3553" s="4">
        <v>0</v>
      </c>
      <c r="K3553" s="4">
        <v>0</v>
      </c>
      <c r="L3553" s="4">
        <f>J3553+K3553</f>
        <v>0</v>
      </c>
      <c r="M3553" s="4" t="s">
        <v>370</v>
      </c>
      <c r="N3553" s="4"/>
      <c r="O3553" s="4">
        <v>1</v>
      </c>
      <c r="P3553" s="4" t="s">
        <v>135</v>
      </c>
      <c r="Q3553" s="4" t="s">
        <v>44</v>
      </c>
      <c r="R3553" s="7">
        <v>1000000</v>
      </c>
      <c r="S3553" s="7">
        <v>0</v>
      </c>
      <c r="T3553" s="7">
        <f>R3553-S3553</f>
        <v>0</v>
      </c>
      <c r="U3553" s="7">
        <f>T3553*O3553</f>
        <v>0</v>
      </c>
    </row>
    <row r="3554" spans="1:21">
      <c r="A3554" s="4" t="s">
        <v>4713</v>
      </c>
      <c r="B3554" s="4" t="s">
        <v>39</v>
      </c>
      <c r="C3554" s="5">
        <v>45973.63685185185</v>
      </c>
      <c r="D3554" s="5">
        <v>45973</v>
      </c>
      <c r="E3554" s="6">
        <f>IF(AND(C3554&lt;&gt;"",D3554&lt;&gt;""),D3554-C3554,"")</f>
        <v>0</v>
      </c>
      <c r="F3554" s="4" t="s">
        <v>1021</v>
      </c>
      <c r="G3554" s="4" t="s">
        <v>4714</v>
      </c>
      <c r="H3554" s="4" t="s">
        <v>32</v>
      </c>
      <c r="I3554" s="4" t="s">
        <v>33</v>
      </c>
      <c r="J3554" s="4">
        <v>0</v>
      </c>
      <c r="K3554" s="4">
        <v>0</v>
      </c>
      <c r="L3554" s="4">
        <f>J3554+K3554</f>
        <v>0</v>
      </c>
      <c r="M3554" s="4" t="s">
        <v>370</v>
      </c>
      <c r="N3554" s="4"/>
      <c r="O3554" s="4">
        <v>1</v>
      </c>
      <c r="P3554" s="4" t="s">
        <v>135</v>
      </c>
      <c r="Q3554" s="4" t="s">
        <v>44</v>
      </c>
      <c r="R3554" s="7">
        <v>1000000</v>
      </c>
      <c r="S3554" s="7">
        <v>0</v>
      </c>
      <c r="T3554" s="7">
        <f>R3554-S3554</f>
        <v>0</v>
      </c>
      <c r="U3554" s="7">
        <f>T3554*O3554</f>
        <v>0</v>
      </c>
    </row>
    <row r="3555" spans="1:21">
      <c r="A3555" s="4" t="s">
        <v>4715</v>
      </c>
      <c r="B3555" s="4" t="s">
        <v>39</v>
      </c>
      <c r="C3555" s="5">
        <v>45973.63730324074</v>
      </c>
      <c r="D3555" s="5">
        <v>45973</v>
      </c>
      <c r="E3555" s="6">
        <f>IF(AND(C3555&lt;&gt;"",D3555&lt;&gt;""),D3555-C3555,"")</f>
        <v>0</v>
      </c>
      <c r="F3555" s="4" t="s">
        <v>1021</v>
      </c>
      <c r="G3555" s="4" t="s">
        <v>4714</v>
      </c>
      <c r="H3555" s="4" t="s">
        <v>32</v>
      </c>
      <c r="I3555" s="4" t="s">
        <v>33</v>
      </c>
      <c r="J3555" s="4">
        <v>1</v>
      </c>
      <c r="K3555" s="4">
        <v>0</v>
      </c>
      <c r="L3555" s="4">
        <f>J3555+K3555</f>
        <v>0</v>
      </c>
      <c r="M3555" s="4" t="s">
        <v>80</v>
      </c>
      <c r="N3555" s="4"/>
      <c r="O3555" s="4">
        <v>1</v>
      </c>
      <c r="P3555" s="4" t="s">
        <v>135</v>
      </c>
      <c r="Q3555" s="4" t="s">
        <v>44</v>
      </c>
      <c r="R3555" s="7">
        <v>610000</v>
      </c>
      <c r="S3555" s="7">
        <v>0</v>
      </c>
      <c r="T3555" s="7">
        <f>R3555-S3555</f>
        <v>0</v>
      </c>
      <c r="U3555" s="7">
        <f>T3555*O3555</f>
        <v>0</v>
      </c>
    </row>
    <row r="3556" spans="1:21">
      <c r="A3556" s="4" t="s">
        <v>4716</v>
      </c>
      <c r="B3556" s="4" t="s">
        <v>103</v>
      </c>
      <c r="C3556" s="5">
        <v>45973.64230324074</v>
      </c>
      <c r="D3556" s="5">
        <v>45974</v>
      </c>
      <c r="E3556" s="6">
        <f>IF(AND(C3556&lt;&gt;"",D3556&lt;&gt;""),D3556-C3556,"")</f>
        <v>0</v>
      </c>
      <c r="F3556" s="4" t="s">
        <v>64</v>
      </c>
      <c r="G3556" s="4" t="s">
        <v>4412</v>
      </c>
      <c r="H3556" s="4" t="s">
        <v>32</v>
      </c>
      <c r="I3556" s="4" t="s">
        <v>33</v>
      </c>
      <c r="J3556" s="4">
        <v>1</v>
      </c>
      <c r="K3556" s="4">
        <v>0</v>
      </c>
      <c r="L3556" s="4">
        <f>J3556+K3556</f>
        <v>0</v>
      </c>
      <c r="M3556" s="4"/>
      <c r="N3556" s="4"/>
      <c r="O3556" s="4">
        <v>0</v>
      </c>
      <c r="P3556" s="4"/>
      <c r="Q3556" s="4"/>
      <c r="R3556" s="7">
        <v>0</v>
      </c>
      <c r="S3556" s="7">
        <v>0</v>
      </c>
      <c r="T3556" s="7">
        <f>R3556-S3556</f>
        <v>0</v>
      </c>
      <c r="U3556" s="7">
        <f>T3556*O3556</f>
        <v>0</v>
      </c>
    </row>
    <row r="3557" spans="1:21">
      <c r="A3557" s="4" t="s">
        <v>4717</v>
      </c>
      <c r="B3557" s="4" t="s">
        <v>48</v>
      </c>
      <c r="C3557" s="5">
        <v>45973.66666666666</v>
      </c>
      <c r="D3557" s="5">
        <v>45974</v>
      </c>
      <c r="E3557" s="6">
        <f>IF(AND(C3557&lt;&gt;"",D3557&lt;&gt;""),D3557-C3557,"")</f>
        <v>0</v>
      </c>
      <c r="F3557" s="4" t="s">
        <v>64</v>
      </c>
      <c r="G3557" s="4" t="s">
        <v>4412</v>
      </c>
      <c r="H3557" s="4" t="s">
        <v>32</v>
      </c>
      <c r="I3557" s="4" t="s">
        <v>33</v>
      </c>
      <c r="J3557" s="4">
        <v>2</v>
      </c>
      <c r="K3557" s="4">
        <v>0</v>
      </c>
      <c r="L3557" s="4">
        <f>J3557+K3557</f>
        <v>0</v>
      </c>
      <c r="M3557" s="4"/>
      <c r="N3557" s="4"/>
      <c r="O3557" s="4">
        <v>0</v>
      </c>
      <c r="P3557" s="4"/>
      <c r="Q3557" s="4"/>
      <c r="R3557" s="7">
        <v>0</v>
      </c>
      <c r="S3557" s="7">
        <v>0</v>
      </c>
      <c r="T3557" s="7">
        <f>R3557-S3557</f>
        <v>0</v>
      </c>
      <c r="U3557" s="7">
        <f>T3557*O3557</f>
        <v>0</v>
      </c>
    </row>
    <row r="3558" spans="1:21">
      <c r="A3558" s="4" t="s">
        <v>4718</v>
      </c>
      <c r="B3558" s="4" t="s">
        <v>48</v>
      </c>
      <c r="C3558" s="5">
        <v>45973.675</v>
      </c>
      <c r="D3558" s="5">
        <v>45974</v>
      </c>
      <c r="E3558" s="6">
        <f>IF(AND(C3558&lt;&gt;"",D3558&lt;&gt;""),D3558-C3558,"")</f>
        <v>0</v>
      </c>
      <c r="F3558" s="4" t="s">
        <v>30</v>
      </c>
      <c r="G3558" s="4" t="s">
        <v>31</v>
      </c>
      <c r="H3558" s="4" t="s">
        <v>32</v>
      </c>
      <c r="I3558" s="4" t="s">
        <v>33</v>
      </c>
      <c r="J3558" s="4">
        <v>2</v>
      </c>
      <c r="K3558" s="4">
        <v>0</v>
      </c>
      <c r="L3558" s="4">
        <f>J3558+K3558</f>
        <v>0</v>
      </c>
      <c r="M3558" s="4"/>
      <c r="N3558" s="4"/>
      <c r="O3558" s="4">
        <v>0</v>
      </c>
      <c r="P3558" s="4"/>
      <c r="Q3558" s="4"/>
      <c r="R3558" s="7">
        <v>0</v>
      </c>
      <c r="S3558" s="7">
        <v>0</v>
      </c>
      <c r="T3558" s="7">
        <f>R3558-S3558</f>
        <v>0</v>
      </c>
      <c r="U3558" s="7">
        <f>T3558*O3558</f>
        <v>0</v>
      </c>
    </row>
    <row r="3559" spans="1:21">
      <c r="A3559" s="4" t="s">
        <v>4719</v>
      </c>
      <c r="B3559" s="4" t="s">
        <v>103</v>
      </c>
      <c r="C3559" s="5">
        <v>45973.70258101852</v>
      </c>
      <c r="D3559" s="5">
        <v>45974</v>
      </c>
      <c r="E3559" s="6">
        <f>IF(AND(C3559&lt;&gt;"",D3559&lt;&gt;""),D3559-C3559,"")</f>
        <v>0</v>
      </c>
      <c r="F3559" s="4" t="s">
        <v>4720</v>
      </c>
      <c r="G3559" s="4" t="s">
        <v>4412</v>
      </c>
      <c r="H3559" s="4" t="s">
        <v>32</v>
      </c>
      <c r="I3559" s="4" t="s">
        <v>33</v>
      </c>
      <c r="J3559" s="4">
        <v>1</v>
      </c>
      <c r="K3559" s="4">
        <v>0</v>
      </c>
      <c r="L3559" s="4">
        <f>J3559+K3559</f>
        <v>0</v>
      </c>
      <c r="M3559" s="4"/>
      <c r="N3559" s="4"/>
      <c r="O3559" s="4">
        <v>0</v>
      </c>
      <c r="P3559" s="4"/>
      <c r="Q3559" s="4"/>
      <c r="R3559" s="7">
        <v>0</v>
      </c>
      <c r="S3559" s="7">
        <v>0</v>
      </c>
      <c r="T3559" s="7">
        <f>R3559-S3559</f>
        <v>0</v>
      </c>
      <c r="U3559" s="7">
        <f>T3559*O3559</f>
        <v>0</v>
      </c>
    </row>
    <row r="3560" spans="1:21">
      <c r="A3560" s="4" t="s">
        <v>4721</v>
      </c>
      <c r="B3560" s="4" t="s">
        <v>103</v>
      </c>
      <c r="C3560" s="5">
        <v>45973.71050925926</v>
      </c>
      <c r="D3560" s="5">
        <v>45973</v>
      </c>
      <c r="E3560" s="6">
        <f>IF(AND(C3560&lt;&gt;"",D3560&lt;&gt;""),D3560-C3560,"")</f>
        <v>0</v>
      </c>
      <c r="F3560" s="4" t="s">
        <v>30</v>
      </c>
      <c r="G3560" s="4" t="s">
        <v>31</v>
      </c>
      <c r="H3560" s="4" t="s">
        <v>32</v>
      </c>
      <c r="I3560" s="4" t="s">
        <v>33</v>
      </c>
      <c r="J3560" s="4">
        <v>1</v>
      </c>
      <c r="K3560" s="4">
        <v>0</v>
      </c>
      <c r="L3560" s="4">
        <f>J3560+K3560</f>
        <v>0</v>
      </c>
      <c r="M3560" s="4"/>
      <c r="N3560" s="4"/>
      <c r="O3560" s="4">
        <v>0</v>
      </c>
      <c r="P3560" s="4"/>
      <c r="Q3560" s="4"/>
      <c r="R3560" s="7">
        <v>0</v>
      </c>
      <c r="S3560" s="7">
        <v>0</v>
      </c>
      <c r="T3560" s="7">
        <f>R3560-S3560</f>
        <v>0</v>
      </c>
      <c r="U3560" s="7">
        <f>T3560*O3560</f>
        <v>0</v>
      </c>
    </row>
    <row r="3561" spans="1:21">
      <c r="A3561" s="4" t="s">
        <v>4722</v>
      </c>
      <c r="B3561" s="4" t="s">
        <v>103</v>
      </c>
      <c r="C3561" s="5">
        <v>45973.71175925926</v>
      </c>
      <c r="D3561" s="5">
        <v>45974</v>
      </c>
      <c r="E3561" s="6">
        <f>IF(AND(C3561&lt;&gt;"",D3561&lt;&gt;""),D3561-C3561,"")</f>
        <v>0</v>
      </c>
      <c r="F3561" s="4" t="s">
        <v>64</v>
      </c>
      <c r="G3561" s="4" t="s">
        <v>4723</v>
      </c>
      <c r="H3561" s="4" t="s">
        <v>699</v>
      </c>
      <c r="I3561" s="4" t="s">
        <v>56</v>
      </c>
      <c r="J3561" s="4">
        <v>8</v>
      </c>
      <c r="K3561" s="4">
        <v>6</v>
      </c>
      <c r="L3561" s="4">
        <f>J3561+K3561</f>
        <v>0</v>
      </c>
      <c r="M3561" s="4"/>
      <c r="N3561" s="4"/>
      <c r="O3561" s="4">
        <v>0</v>
      </c>
      <c r="P3561" s="4"/>
      <c r="Q3561" s="4"/>
      <c r="R3561" s="7">
        <v>0</v>
      </c>
      <c r="S3561" s="7">
        <v>0</v>
      </c>
      <c r="T3561" s="7">
        <f>R3561-S3561</f>
        <v>0</v>
      </c>
      <c r="U3561" s="7">
        <f>T3561*O3561</f>
        <v>0</v>
      </c>
    </row>
    <row r="3562" spans="1:21">
      <c r="A3562" s="4" t="s">
        <v>4724</v>
      </c>
      <c r="B3562" s="4" t="s">
        <v>103</v>
      </c>
      <c r="C3562" s="5">
        <v>45973.7212037037</v>
      </c>
      <c r="D3562" s="5">
        <v>45974</v>
      </c>
      <c r="E3562" s="6">
        <f>IF(AND(C3562&lt;&gt;"",D3562&lt;&gt;""),D3562-C3562,"")</f>
        <v>0</v>
      </c>
      <c r="F3562" s="4" t="s">
        <v>4720</v>
      </c>
      <c r="G3562" s="4" t="s">
        <v>4412</v>
      </c>
      <c r="H3562" s="4" t="s">
        <v>32</v>
      </c>
      <c r="I3562" s="4" t="s">
        <v>33</v>
      </c>
      <c r="J3562" s="4">
        <v>2</v>
      </c>
      <c r="K3562" s="4">
        <v>0</v>
      </c>
      <c r="L3562" s="4">
        <f>J3562+K3562</f>
        <v>0</v>
      </c>
      <c r="M3562" s="4"/>
      <c r="N3562" s="4"/>
      <c r="O3562" s="4">
        <v>0</v>
      </c>
      <c r="P3562" s="4"/>
      <c r="Q3562" s="4"/>
      <c r="R3562" s="7">
        <v>0</v>
      </c>
      <c r="S3562" s="7">
        <v>0</v>
      </c>
      <c r="T3562" s="7">
        <f>R3562-S3562</f>
        <v>0</v>
      </c>
      <c r="U3562" s="7">
        <f>T3562*O3562</f>
        <v>0</v>
      </c>
    </row>
    <row r="3563" spans="1:21">
      <c r="A3563" s="4" t="s">
        <v>4725</v>
      </c>
      <c r="B3563" s="4" t="s">
        <v>48</v>
      </c>
      <c r="C3563" s="5">
        <v>45973.72434027777</v>
      </c>
      <c r="D3563" s="5">
        <v>45974</v>
      </c>
      <c r="E3563" s="6">
        <f>IF(AND(C3563&lt;&gt;"",D3563&lt;&gt;""),D3563-C3563,"")</f>
        <v>0</v>
      </c>
      <c r="F3563" s="4" t="s">
        <v>64</v>
      </c>
      <c r="G3563" s="4" t="s">
        <v>4412</v>
      </c>
      <c r="H3563" s="4" t="s">
        <v>32</v>
      </c>
      <c r="I3563" s="4" t="s">
        <v>33</v>
      </c>
      <c r="J3563" s="4">
        <v>4</v>
      </c>
      <c r="K3563" s="4">
        <v>3</v>
      </c>
      <c r="L3563" s="4">
        <f>J3563+K3563</f>
        <v>0</v>
      </c>
      <c r="M3563" s="4"/>
      <c r="N3563" s="4"/>
      <c r="O3563" s="4">
        <v>0</v>
      </c>
      <c r="P3563" s="4"/>
      <c r="Q3563" s="4"/>
      <c r="R3563" s="7">
        <v>0</v>
      </c>
      <c r="S3563" s="7">
        <v>0</v>
      </c>
      <c r="T3563" s="7">
        <f>R3563-S3563</f>
        <v>0</v>
      </c>
      <c r="U3563" s="7">
        <f>T3563*O3563</f>
        <v>0</v>
      </c>
    </row>
    <row r="3564" spans="1:21">
      <c r="A3564" s="4" t="s">
        <v>4726</v>
      </c>
      <c r="B3564" s="4" t="s">
        <v>103</v>
      </c>
      <c r="C3564" s="5">
        <v>45973.73170138889</v>
      </c>
      <c r="D3564" s="5">
        <v>45974</v>
      </c>
      <c r="E3564" s="6">
        <f>IF(AND(C3564&lt;&gt;"",D3564&lt;&gt;""),D3564-C3564,"")</f>
        <v>0</v>
      </c>
      <c r="F3564" s="4" t="s">
        <v>4720</v>
      </c>
      <c r="G3564" s="4" t="s">
        <v>4412</v>
      </c>
      <c r="H3564" s="4" t="s">
        <v>32</v>
      </c>
      <c r="I3564" s="4" t="s">
        <v>33</v>
      </c>
      <c r="J3564" s="4">
        <v>3</v>
      </c>
      <c r="K3564" s="4">
        <v>2</v>
      </c>
      <c r="L3564" s="4">
        <f>J3564+K3564</f>
        <v>0</v>
      </c>
      <c r="M3564" s="4"/>
      <c r="N3564" s="4"/>
      <c r="O3564" s="4">
        <v>0</v>
      </c>
      <c r="P3564" s="4"/>
      <c r="Q3564" s="4"/>
      <c r="R3564" s="7">
        <v>0</v>
      </c>
      <c r="S3564" s="7">
        <v>0</v>
      </c>
      <c r="T3564" s="7">
        <f>R3564-S3564</f>
        <v>0</v>
      </c>
      <c r="U3564" s="7">
        <f>T3564*O3564</f>
        <v>0</v>
      </c>
    </row>
    <row r="3565" spans="1:21">
      <c r="A3565" s="4" t="s">
        <v>4727</v>
      </c>
      <c r="B3565" s="4" t="s">
        <v>48</v>
      </c>
      <c r="C3565" s="5">
        <v>45973.73368055555</v>
      </c>
      <c r="D3565" s="5">
        <v>45974</v>
      </c>
      <c r="E3565" s="6">
        <f>IF(AND(C3565&lt;&gt;"",D3565&lt;&gt;""),D3565-C3565,"")</f>
        <v>0</v>
      </c>
      <c r="F3565" s="4" t="s">
        <v>4720</v>
      </c>
      <c r="G3565" s="4" t="s">
        <v>4412</v>
      </c>
      <c r="H3565" s="4" t="s">
        <v>32</v>
      </c>
      <c r="I3565" s="4" t="s">
        <v>33</v>
      </c>
      <c r="J3565" s="4">
        <v>4</v>
      </c>
      <c r="K3565" s="4">
        <v>2</v>
      </c>
      <c r="L3565" s="4">
        <f>J3565+K3565</f>
        <v>0</v>
      </c>
      <c r="M3565" s="4"/>
      <c r="N3565" s="4"/>
      <c r="O3565" s="4">
        <v>0</v>
      </c>
      <c r="P3565" s="4"/>
      <c r="Q3565" s="4"/>
      <c r="R3565" s="7">
        <v>0</v>
      </c>
      <c r="S3565" s="7">
        <v>0</v>
      </c>
      <c r="T3565" s="7">
        <f>R3565-S3565</f>
        <v>0</v>
      </c>
      <c r="U3565" s="7">
        <f>T3565*O3565</f>
        <v>0</v>
      </c>
    </row>
    <row r="3566" spans="1:21">
      <c r="A3566" s="4" t="s">
        <v>4728</v>
      </c>
      <c r="B3566" s="4" t="s">
        <v>39</v>
      </c>
      <c r="C3566" s="5">
        <v>45973.73616898148</v>
      </c>
      <c r="D3566" s="5">
        <v>45973</v>
      </c>
      <c r="E3566" s="6">
        <f>IF(AND(C3566&lt;&gt;"",D3566&lt;&gt;""),D3566-C3566,"")</f>
        <v>0</v>
      </c>
      <c r="F3566" s="4" t="s">
        <v>4729</v>
      </c>
      <c r="G3566" s="4" t="s">
        <v>4730</v>
      </c>
      <c r="H3566" s="4" t="s">
        <v>32</v>
      </c>
      <c r="I3566" s="4" t="s">
        <v>33</v>
      </c>
      <c r="J3566" s="4">
        <v>1</v>
      </c>
      <c r="K3566" s="4">
        <v>0</v>
      </c>
      <c r="L3566" s="4">
        <f>J3566+K3566</f>
        <v>0</v>
      </c>
      <c r="M3566" s="4" t="s">
        <v>80</v>
      </c>
      <c r="N3566" s="4"/>
      <c r="O3566" s="4">
        <v>1</v>
      </c>
      <c r="P3566" s="4" t="s">
        <v>135</v>
      </c>
      <c r="Q3566" s="4" t="s">
        <v>44</v>
      </c>
      <c r="R3566" s="7">
        <v>610000</v>
      </c>
      <c r="S3566" s="7">
        <v>0</v>
      </c>
      <c r="T3566" s="7">
        <f>R3566-S3566</f>
        <v>0</v>
      </c>
      <c r="U3566" s="7">
        <f>T3566*O3566</f>
        <v>0</v>
      </c>
    </row>
    <row r="3567" spans="1:21">
      <c r="A3567" s="4" t="s">
        <v>4728</v>
      </c>
      <c r="B3567" s="4" t="s">
        <v>39</v>
      </c>
      <c r="C3567" s="5">
        <v>45973.73616898148</v>
      </c>
      <c r="D3567" s="5">
        <v>45973</v>
      </c>
      <c r="E3567" s="6">
        <f>IF(AND(C3567&lt;&gt;"",D3567&lt;&gt;""),D3567-C3567,"")</f>
        <v>0</v>
      </c>
      <c r="F3567" s="4" t="s">
        <v>4729</v>
      </c>
      <c r="G3567" s="4" t="s">
        <v>4730</v>
      </c>
      <c r="H3567" s="4" t="s">
        <v>32</v>
      </c>
      <c r="I3567" s="4" t="s">
        <v>33</v>
      </c>
      <c r="J3567" s="4">
        <v>1</v>
      </c>
      <c r="K3567" s="4">
        <v>0</v>
      </c>
      <c r="L3567" s="4">
        <f>J3567+K3567</f>
        <v>0</v>
      </c>
      <c r="M3567" s="4" t="s">
        <v>1645</v>
      </c>
      <c r="N3567" s="4"/>
      <c r="O3567" s="4">
        <v>1</v>
      </c>
      <c r="P3567" s="4" t="s">
        <v>135</v>
      </c>
      <c r="Q3567" s="4" t="s">
        <v>44</v>
      </c>
      <c r="R3567" s="7">
        <v>2100000</v>
      </c>
      <c r="S3567" s="7">
        <v>0</v>
      </c>
      <c r="T3567" s="7">
        <f>R3567-S3567</f>
        <v>0</v>
      </c>
      <c r="U3567" s="7">
        <f>T3567*O3567</f>
        <v>0</v>
      </c>
    </row>
    <row r="3568" spans="1:21">
      <c r="A3568" s="4" t="s">
        <v>4731</v>
      </c>
      <c r="B3568" s="4" t="s">
        <v>48</v>
      </c>
      <c r="C3568" s="5">
        <v>45974.14003472222</v>
      </c>
      <c r="D3568" s="5">
        <v>45974</v>
      </c>
      <c r="E3568" s="6">
        <f>IF(AND(C3568&lt;&gt;"",D3568&lt;&gt;""),D3568-C3568,"")</f>
        <v>0</v>
      </c>
      <c r="F3568" s="4" t="s">
        <v>4720</v>
      </c>
      <c r="G3568" s="4" t="s">
        <v>4412</v>
      </c>
      <c r="H3568" s="4" t="s">
        <v>32</v>
      </c>
      <c r="I3568" s="4" t="s">
        <v>33</v>
      </c>
      <c r="J3568" s="4">
        <v>4</v>
      </c>
      <c r="K3568" s="4">
        <v>2</v>
      </c>
      <c r="L3568" s="4">
        <f>J3568+K3568</f>
        <v>0</v>
      </c>
      <c r="M3568" s="4"/>
      <c r="N3568" s="4"/>
      <c r="O3568" s="4">
        <v>0</v>
      </c>
      <c r="P3568" s="4"/>
      <c r="Q3568" s="4"/>
      <c r="R3568" s="7">
        <v>0</v>
      </c>
      <c r="S3568" s="7">
        <v>0</v>
      </c>
      <c r="T3568" s="7">
        <f>R3568-S3568</f>
        <v>0</v>
      </c>
      <c r="U3568" s="7">
        <f>T3568*O3568</f>
        <v>0</v>
      </c>
    </row>
    <row r="3569" spans="1:21">
      <c r="A3569" s="4" t="s">
        <v>4732</v>
      </c>
      <c r="B3569" s="4" t="s">
        <v>103</v>
      </c>
      <c r="C3569" s="5">
        <v>45974.14789351852</v>
      </c>
      <c r="D3569" s="5">
        <v>45974</v>
      </c>
      <c r="E3569" s="6">
        <f>IF(AND(C3569&lt;&gt;"",D3569&lt;&gt;""),D3569-C3569,"")</f>
        <v>0</v>
      </c>
      <c r="F3569" s="4" t="s">
        <v>1343</v>
      </c>
      <c r="G3569" s="4" t="s">
        <v>4733</v>
      </c>
      <c r="H3569" s="4" t="s">
        <v>190</v>
      </c>
      <c r="I3569" s="4" t="s">
        <v>56</v>
      </c>
      <c r="J3569" s="4">
        <v>2</v>
      </c>
      <c r="K3569" s="4">
        <v>0</v>
      </c>
      <c r="L3569" s="4">
        <f>J3569+K3569</f>
        <v>0</v>
      </c>
      <c r="M3569" s="4"/>
      <c r="N3569" s="4"/>
      <c r="O3569" s="4">
        <v>0</v>
      </c>
      <c r="P3569" s="4"/>
      <c r="Q3569" s="4"/>
      <c r="R3569" s="7">
        <v>0</v>
      </c>
      <c r="S3569" s="7">
        <v>0</v>
      </c>
      <c r="T3569" s="7">
        <f>R3569-S3569</f>
        <v>0</v>
      </c>
      <c r="U3569" s="7">
        <f>T3569*O3569</f>
        <v>0</v>
      </c>
    </row>
    <row r="3570" spans="1:21">
      <c r="A3570" s="4" t="s">
        <v>4734</v>
      </c>
      <c r="B3570" s="4" t="s">
        <v>103</v>
      </c>
      <c r="C3570" s="5">
        <v>45974.14965277778</v>
      </c>
      <c r="D3570" s="5">
        <v>45974</v>
      </c>
      <c r="E3570" s="6">
        <f>IF(AND(C3570&lt;&gt;"",D3570&lt;&gt;""),D3570-C3570,"")</f>
        <v>0</v>
      </c>
      <c r="F3570" s="4" t="s">
        <v>64</v>
      </c>
      <c r="G3570" s="4" t="s">
        <v>31</v>
      </c>
      <c r="H3570" s="4" t="s">
        <v>32</v>
      </c>
      <c r="I3570" s="4" t="s">
        <v>33</v>
      </c>
      <c r="J3570" s="4">
        <v>1</v>
      </c>
      <c r="K3570" s="4">
        <v>0</v>
      </c>
      <c r="L3570" s="4">
        <f>J3570+K3570</f>
        <v>0</v>
      </c>
      <c r="M3570" s="4"/>
      <c r="N3570" s="4"/>
      <c r="O3570" s="4">
        <v>0</v>
      </c>
      <c r="P3570" s="4"/>
      <c r="Q3570" s="4"/>
      <c r="R3570" s="7">
        <v>0</v>
      </c>
      <c r="S3570" s="7">
        <v>0</v>
      </c>
      <c r="T3570" s="7">
        <f>R3570-S3570</f>
        <v>0</v>
      </c>
      <c r="U3570" s="7">
        <f>T3570*O3570</f>
        <v>0</v>
      </c>
    </row>
    <row r="3571" spans="1:21">
      <c r="A3571" s="4" t="s">
        <v>4735</v>
      </c>
      <c r="B3571" s="4" t="s">
        <v>103</v>
      </c>
      <c r="C3571" s="5">
        <v>45974.1512962963</v>
      </c>
      <c r="D3571" s="5">
        <v>45974</v>
      </c>
      <c r="E3571" s="6">
        <f>IF(AND(C3571&lt;&gt;"",D3571&lt;&gt;""),D3571-C3571,"")</f>
        <v>0</v>
      </c>
      <c r="F3571" s="4" t="s">
        <v>4736</v>
      </c>
      <c r="G3571" s="4" t="s">
        <v>4737</v>
      </c>
      <c r="H3571" s="4"/>
      <c r="I3571" s="4" t="s">
        <v>56</v>
      </c>
      <c r="J3571" s="4">
        <v>1</v>
      </c>
      <c r="K3571" s="4">
        <v>0</v>
      </c>
      <c r="L3571" s="4">
        <f>J3571+K3571</f>
        <v>0</v>
      </c>
      <c r="M3571" s="4"/>
      <c r="N3571" s="4"/>
      <c r="O3571" s="4">
        <v>0</v>
      </c>
      <c r="P3571" s="4"/>
      <c r="Q3571" s="4"/>
      <c r="R3571" s="7">
        <v>0</v>
      </c>
      <c r="S3571" s="7">
        <v>0</v>
      </c>
      <c r="T3571" s="7">
        <f>R3571-S3571</f>
        <v>0</v>
      </c>
      <c r="U3571" s="7">
        <f>T3571*O3571</f>
        <v>0</v>
      </c>
    </row>
    <row r="3572" spans="1:21">
      <c r="A3572" s="4" t="s">
        <v>4738</v>
      </c>
      <c r="B3572" s="4" t="s">
        <v>103</v>
      </c>
      <c r="C3572" s="5">
        <v>45974.1520949074</v>
      </c>
      <c r="D3572" s="5">
        <v>45974</v>
      </c>
      <c r="E3572" s="6">
        <f>IF(AND(C3572&lt;&gt;"",D3572&lt;&gt;""),D3572-C3572,"")</f>
        <v>0</v>
      </c>
      <c r="F3572" s="4" t="s">
        <v>4720</v>
      </c>
      <c r="G3572" s="4" t="s">
        <v>4412</v>
      </c>
      <c r="H3572" s="4" t="s">
        <v>32</v>
      </c>
      <c r="I3572" s="4" t="s">
        <v>33</v>
      </c>
      <c r="J3572" s="4">
        <v>1</v>
      </c>
      <c r="K3572" s="4">
        <v>0</v>
      </c>
      <c r="L3572" s="4">
        <f>J3572+K3572</f>
        <v>0</v>
      </c>
      <c r="M3572" s="4"/>
      <c r="N3572" s="4"/>
      <c r="O3572" s="4">
        <v>0</v>
      </c>
      <c r="P3572" s="4"/>
      <c r="Q3572" s="4"/>
      <c r="R3572" s="7">
        <v>0</v>
      </c>
      <c r="S3572" s="7">
        <v>0</v>
      </c>
      <c r="T3572" s="7">
        <f>R3572-S3572</f>
        <v>0</v>
      </c>
      <c r="U3572" s="7">
        <f>T3572*O3572</f>
        <v>0</v>
      </c>
    </row>
    <row r="3573" spans="1:21">
      <c r="A3573" s="4" t="s">
        <v>4739</v>
      </c>
      <c r="B3573" s="4" t="s">
        <v>103</v>
      </c>
      <c r="C3573" s="5">
        <v>45974.22209490741</v>
      </c>
      <c r="D3573" s="5">
        <v>45974</v>
      </c>
      <c r="E3573" s="6">
        <f>IF(AND(C3573&lt;&gt;"",D3573&lt;&gt;""),D3573-C3573,"")</f>
        <v>0</v>
      </c>
      <c r="F3573" s="4" t="s">
        <v>4740</v>
      </c>
      <c r="G3573" s="4" t="s">
        <v>4741</v>
      </c>
      <c r="H3573" s="4" t="s">
        <v>190</v>
      </c>
      <c r="I3573" s="4" t="s">
        <v>56</v>
      </c>
      <c r="J3573" s="4">
        <v>1</v>
      </c>
      <c r="K3573" s="4">
        <v>0</v>
      </c>
      <c r="L3573" s="4">
        <f>J3573+K3573</f>
        <v>0</v>
      </c>
      <c r="M3573" s="4"/>
      <c r="N3573" s="4"/>
      <c r="O3573" s="4">
        <v>0</v>
      </c>
      <c r="P3573" s="4"/>
      <c r="Q3573" s="4"/>
      <c r="R3573" s="7">
        <v>0</v>
      </c>
      <c r="S3573" s="7">
        <v>0</v>
      </c>
      <c r="T3573" s="7">
        <f>R3573-S3573</f>
        <v>0</v>
      </c>
      <c r="U3573" s="7">
        <f>T3573*O3573</f>
        <v>0</v>
      </c>
    </row>
    <row r="3574" spans="1:21">
      <c r="A3574" s="4" t="s">
        <v>4742</v>
      </c>
      <c r="B3574" s="4" t="s">
        <v>103</v>
      </c>
      <c r="C3574" s="5">
        <v>45974.22380787037</v>
      </c>
      <c r="D3574" s="5">
        <v>45974</v>
      </c>
      <c r="E3574" s="6">
        <f>IF(AND(C3574&lt;&gt;"",D3574&lt;&gt;""),D3574-C3574,"")</f>
        <v>0</v>
      </c>
      <c r="F3574" s="4" t="s">
        <v>4248</v>
      </c>
      <c r="G3574" s="4" t="s">
        <v>4743</v>
      </c>
      <c r="H3574" s="4" t="s">
        <v>32</v>
      </c>
      <c r="I3574" s="4" t="s">
        <v>33</v>
      </c>
      <c r="J3574" s="4">
        <v>1</v>
      </c>
      <c r="K3574" s="4">
        <v>0</v>
      </c>
      <c r="L3574" s="4">
        <f>J3574+K3574</f>
        <v>0</v>
      </c>
      <c r="M3574" s="4"/>
      <c r="N3574" s="4"/>
      <c r="O3574" s="4">
        <v>0</v>
      </c>
      <c r="P3574" s="4"/>
      <c r="Q3574" s="4"/>
      <c r="R3574" s="7">
        <v>0</v>
      </c>
      <c r="S3574" s="7">
        <v>0</v>
      </c>
      <c r="T3574" s="7">
        <f>R3574-S3574</f>
        <v>0</v>
      </c>
      <c r="U3574" s="7">
        <f>T3574*O3574</f>
        <v>0</v>
      </c>
    </row>
    <row r="3575" spans="1:21">
      <c r="A3575" s="4" t="s">
        <v>4744</v>
      </c>
      <c r="B3575" s="4" t="s">
        <v>103</v>
      </c>
      <c r="C3575" s="5">
        <v>45974.22488425926</v>
      </c>
      <c r="D3575" s="5">
        <v>45974</v>
      </c>
      <c r="E3575" s="6">
        <f>IF(AND(C3575&lt;&gt;"",D3575&lt;&gt;""),D3575-C3575,"")</f>
        <v>0</v>
      </c>
      <c r="F3575" s="4" t="s">
        <v>4745</v>
      </c>
      <c r="G3575" s="4" t="s">
        <v>4746</v>
      </c>
      <c r="H3575" s="4" t="s">
        <v>190</v>
      </c>
      <c r="I3575" s="4" t="s">
        <v>56</v>
      </c>
      <c r="J3575" s="4">
        <v>1</v>
      </c>
      <c r="K3575" s="4">
        <v>0</v>
      </c>
      <c r="L3575" s="4">
        <f>J3575+K3575</f>
        <v>0</v>
      </c>
      <c r="M3575" s="4"/>
      <c r="N3575" s="4"/>
      <c r="O3575" s="4">
        <v>0</v>
      </c>
      <c r="P3575" s="4"/>
      <c r="Q3575" s="4"/>
      <c r="R3575" s="7">
        <v>0</v>
      </c>
      <c r="S3575" s="7">
        <v>0</v>
      </c>
      <c r="T3575" s="7">
        <f>R3575-S3575</f>
        <v>0</v>
      </c>
      <c r="U3575" s="7">
        <f>T3575*O3575</f>
        <v>0</v>
      </c>
    </row>
    <row r="3576" spans="1:21">
      <c r="A3576" s="4" t="s">
        <v>4747</v>
      </c>
      <c r="B3576" s="4" t="s">
        <v>103</v>
      </c>
      <c r="C3576" s="5">
        <v>45974.225625</v>
      </c>
      <c r="D3576" s="5">
        <v>45974</v>
      </c>
      <c r="E3576" s="6">
        <f>IF(AND(C3576&lt;&gt;"",D3576&lt;&gt;""),D3576-C3576,"")</f>
        <v>0</v>
      </c>
      <c r="F3576" s="4" t="s">
        <v>64</v>
      </c>
      <c r="G3576" s="4" t="s">
        <v>31</v>
      </c>
      <c r="H3576" s="4" t="s">
        <v>32</v>
      </c>
      <c r="I3576" s="4" t="s">
        <v>33</v>
      </c>
      <c r="J3576" s="4">
        <v>1</v>
      </c>
      <c r="K3576" s="4">
        <v>0</v>
      </c>
      <c r="L3576" s="4">
        <f>J3576+K3576</f>
        <v>0</v>
      </c>
      <c r="M3576" s="4"/>
      <c r="N3576" s="4"/>
      <c r="O3576" s="4">
        <v>0</v>
      </c>
      <c r="P3576" s="4"/>
      <c r="Q3576" s="4"/>
      <c r="R3576" s="7">
        <v>0</v>
      </c>
      <c r="S3576" s="7">
        <v>0</v>
      </c>
      <c r="T3576" s="7">
        <f>R3576-S3576</f>
        <v>0</v>
      </c>
      <c r="U3576" s="7">
        <f>T3576*O3576</f>
        <v>0</v>
      </c>
    </row>
    <row r="3577" spans="1:21">
      <c r="A3577" s="4" t="s">
        <v>4748</v>
      </c>
      <c r="B3577" s="4" t="s">
        <v>103</v>
      </c>
      <c r="C3577" s="5">
        <v>45974.22707175926</v>
      </c>
      <c r="D3577" s="5">
        <v>45974</v>
      </c>
      <c r="E3577" s="6">
        <f>IF(AND(C3577&lt;&gt;"",D3577&lt;&gt;""),D3577-C3577,"")</f>
        <v>0</v>
      </c>
      <c r="F3577" s="4" t="s">
        <v>4720</v>
      </c>
      <c r="G3577" s="4" t="s">
        <v>4412</v>
      </c>
      <c r="H3577" s="4" t="s">
        <v>32</v>
      </c>
      <c r="I3577" s="4" t="s">
        <v>33</v>
      </c>
      <c r="J3577" s="4">
        <v>1</v>
      </c>
      <c r="K3577" s="4">
        <v>0</v>
      </c>
      <c r="L3577" s="4">
        <f>J3577+K3577</f>
        <v>0</v>
      </c>
      <c r="M3577" s="4"/>
      <c r="N3577" s="4"/>
      <c r="O3577" s="4">
        <v>0</v>
      </c>
      <c r="P3577" s="4"/>
      <c r="Q3577" s="4"/>
      <c r="R3577" s="7">
        <v>0</v>
      </c>
      <c r="S3577" s="7">
        <v>0</v>
      </c>
      <c r="T3577" s="7">
        <f>R3577-S3577</f>
        <v>0</v>
      </c>
      <c r="U3577" s="7">
        <f>T3577*O3577</f>
        <v>0</v>
      </c>
    </row>
    <row r="3578" spans="1:21">
      <c r="A3578" s="4" t="s">
        <v>4749</v>
      </c>
      <c r="B3578" s="4" t="s">
        <v>103</v>
      </c>
      <c r="C3578" s="5">
        <v>45974.23233796296</v>
      </c>
      <c r="D3578" s="5">
        <v>45974</v>
      </c>
      <c r="E3578" s="6">
        <f>IF(AND(C3578&lt;&gt;"",D3578&lt;&gt;""),D3578-C3578,"")</f>
        <v>0</v>
      </c>
      <c r="F3578" s="4" t="s">
        <v>64</v>
      </c>
      <c r="G3578" s="4" t="s">
        <v>31</v>
      </c>
      <c r="H3578" s="4" t="s">
        <v>32</v>
      </c>
      <c r="I3578" s="4" t="s">
        <v>33</v>
      </c>
      <c r="J3578" s="4">
        <v>1</v>
      </c>
      <c r="K3578" s="4">
        <v>0</v>
      </c>
      <c r="L3578" s="4">
        <f>J3578+K3578</f>
        <v>0</v>
      </c>
      <c r="M3578" s="4"/>
      <c r="N3578" s="4"/>
      <c r="O3578" s="4">
        <v>0</v>
      </c>
      <c r="P3578" s="4"/>
      <c r="Q3578" s="4"/>
      <c r="R3578" s="7">
        <v>0</v>
      </c>
      <c r="S3578" s="7">
        <v>0</v>
      </c>
      <c r="T3578" s="7">
        <f>R3578-S3578</f>
        <v>0</v>
      </c>
      <c r="U3578" s="7">
        <f>T3578*O3578</f>
        <v>0</v>
      </c>
    </row>
    <row r="3579" spans="1:21">
      <c r="A3579" s="4" t="s">
        <v>4750</v>
      </c>
      <c r="B3579" s="4" t="s">
        <v>103</v>
      </c>
      <c r="C3579" s="5">
        <v>45974.23424768518</v>
      </c>
      <c r="D3579" s="5">
        <v>45976</v>
      </c>
      <c r="E3579" s="6">
        <f>IF(AND(C3579&lt;&gt;"",D3579&lt;&gt;""),D3579-C3579,"")</f>
        <v>0</v>
      </c>
      <c r="F3579" s="4" t="s">
        <v>4248</v>
      </c>
      <c r="G3579" s="4" t="s">
        <v>4751</v>
      </c>
      <c r="H3579" s="4" t="s">
        <v>32</v>
      </c>
      <c r="I3579" s="4" t="s">
        <v>33</v>
      </c>
      <c r="J3579" s="4">
        <v>1</v>
      </c>
      <c r="K3579" s="4">
        <v>0</v>
      </c>
      <c r="L3579" s="4">
        <f>J3579+K3579</f>
        <v>0</v>
      </c>
      <c r="M3579" s="4"/>
      <c r="N3579" s="4"/>
      <c r="O3579" s="4">
        <v>0</v>
      </c>
      <c r="P3579" s="4"/>
      <c r="Q3579" s="4"/>
      <c r="R3579" s="7">
        <v>0</v>
      </c>
      <c r="S3579" s="7">
        <v>0</v>
      </c>
      <c r="T3579" s="7">
        <f>R3579-S3579</f>
        <v>0</v>
      </c>
      <c r="U3579" s="7">
        <f>T3579*O3579</f>
        <v>0</v>
      </c>
    </row>
    <row r="3580" spans="1:21">
      <c r="A3580" s="4" t="s">
        <v>4752</v>
      </c>
      <c r="B3580" s="4" t="s">
        <v>103</v>
      </c>
      <c r="C3580" s="5">
        <v>45974.23564814815</v>
      </c>
      <c r="D3580" s="5">
        <v>45974</v>
      </c>
      <c r="E3580" s="6">
        <f>IF(AND(C3580&lt;&gt;"",D3580&lt;&gt;""),D3580-C3580,"")</f>
        <v>0</v>
      </c>
      <c r="F3580" s="4" t="s">
        <v>4753</v>
      </c>
      <c r="G3580" s="4" t="s">
        <v>4754</v>
      </c>
      <c r="H3580" s="4" t="s">
        <v>32</v>
      </c>
      <c r="I3580" s="4" t="s">
        <v>33</v>
      </c>
      <c r="J3580" s="4">
        <v>1</v>
      </c>
      <c r="K3580" s="4">
        <v>0</v>
      </c>
      <c r="L3580" s="4">
        <f>J3580+K3580</f>
        <v>0</v>
      </c>
      <c r="M3580" s="4"/>
      <c r="N3580" s="4"/>
      <c r="O3580" s="4">
        <v>0</v>
      </c>
      <c r="P3580" s="4"/>
      <c r="Q3580" s="4"/>
      <c r="R3580" s="7">
        <v>0</v>
      </c>
      <c r="S3580" s="7">
        <v>0</v>
      </c>
      <c r="T3580" s="7">
        <f>R3580-S3580</f>
        <v>0</v>
      </c>
      <c r="U3580" s="7">
        <f>T3580*O3580</f>
        <v>0</v>
      </c>
    </row>
    <row r="3581" spans="1:21">
      <c r="A3581" s="4" t="s">
        <v>4755</v>
      </c>
      <c r="B3581" s="4" t="s">
        <v>48</v>
      </c>
      <c r="C3581" s="5">
        <v>45974.23696759259</v>
      </c>
      <c r="D3581" s="5">
        <v>45975</v>
      </c>
      <c r="E3581" s="6">
        <f>IF(AND(C3581&lt;&gt;"",D3581&lt;&gt;""),D3581-C3581,"")</f>
        <v>0</v>
      </c>
      <c r="F3581" s="4" t="s">
        <v>4753</v>
      </c>
      <c r="G3581" s="4" t="s">
        <v>4756</v>
      </c>
      <c r="H3581" s="4" t="s">
        <v>190</v>
      </c>
      <c r="I3581" s="4" t="s">
        <v>56</v>
      </c>
      <c r="J3581" s="4">
        <v>2</v>
      </c>
      <c r="K3581" s="4">
        <v>0</v>
      </c>
      <c r="L3581" s="4">
        <f>J3581+K3581</f>
        <v>0</v>
      </c>
      <c r="M3581" s="4"/>
      <c r="N3581" s="4"/>
      <c r="O3581" s="4">
        <v>0</v>
      </c>
      <c r="P3581" s="4"/>
      <c r="Q3581" s="4"/>
      <c r="R3581" s="7">
        <v>0</v>
      </c>
      <c r="S3581" s="7">
        <v>0</v>
      </c>
      <c r="T3581" s="7">
        <f>R3581-S3581</f>
        <v>0</v>
      </c>
      <c r="U3581" s="7">
        <f>T3581*O3581</f>
        <v>0</v>
      </c>
    </row>
    <row r="3582" spans="1:21">
      <c r="A3582" s="4" t="s">
        <v>4757</v>
      </c>
      <c r="B3582" s="4" t="s">
        <v>103</v>
      </c>
      <c r="C3582" s="5">
        <v>45974.23813657407</v>
      </c>
      <c r="D3582" s="5">
        <v>45974</v>
      </c>
      <c r="E3582" s="6">
        <f>IF(AND(C3582&lt;&gt;"",D3582&lt;&gt;""),D3582-C3582,"")</f>
        <v>0</v>
      </c>
      <c r="F3582" s="4" t="s">
        <v>4758</v>
      </c>
      <c r="G3582" s="4" t="s">
        <v>4759</v>
      </c>
      <c r="H3582" s="4" t="s">
        <v>190</v>
      </c>
      <c r="I3582" s="4" t="s">
        <v>56</v>
      </c>
      <c r="J3582" s="4">
        <v>1</v>
      </c>
      <c r="K3582" s="4">
        <v>0</v>
      </c>
      <c r="L3582" s="4">
        <f>J3582+K3582</f>
        <v>0</v>
      </c>
      <c r="M3582" s="4"/>
      <c r="N3582" s="4"/>
      <c r="O3582" s="4">
        <v>0</v>
      </c>
      <c r="P3582" s="4"/>
      <c r="Q3582" s="4"/>
      <c r="R3582" s="7">
        <v>0</v>
      </c>
      <c r="S3582" s="7">
        <v>0</v>
      </c>
      <c r="T3582" s="7">
        <f>R3582-S3582</f>
        <v>0</v>
      </c>
      <c r="U3582" s="7">
        <f>T3582*O3582</f>
        <v>0</v>
      </c>
    </row>
    <row r="3583" spans="1:21">
      <c r="A3583" s="4" t="s">
        <v>4760</v>
      </c>
      <c r="B3583" s="4" t="s">
        <v>103</v>
      </c>
      <c r="C3583" s="5">
        <v>45974.25689814815</v>
      </c>
      <c r="D3583" s="5">
        <v>45974</v>
      </c>
      <c r="E3583" s="6">
        <f>IF(AND(C3583&lt;&gt;"",D3583&lt;&gt;""),D3583-C3583,"")</f>
        <v>0</v>
      </c>
      <c r="F3583" s="4" t="s">
        <v>4761</v>
      </c>
      <c r="G3583" s="4" t="s">
        <v>4762</v>
      </c>
      <c r="H3583" s="4" t="s">
        <v>190</v>
      </c>
      <c r="I3583" s="4" t="s">
        <v>56</v>
      </c>
      <c r="J3583" s="4">
        <v>1</v>
      </c>
      <c r="K3583" s="4">
        <v>0</v>
      </c>
      <c r="L3583" s="4">
        <f>J3583+K3583</f>
        <v>0</v>
      </c>
      <c r="M3583" s="4"/>
      <c r="N3583" s="4"/>
      <c r="O3583" s="4">
        <v>0</v>
      </c>
      <c r="P3583" s="4"/>
      <c r="Q3583" s="4"/>
      <c r="R3583" s="7">
        <v>0</v>
      </c>
      <c r="S3583" s="7">
        <v>0</v>
      </c>
      <c r="T3583" s="7">
        <f>R3583-S3583</f>
        <v>0</v>
      </c>
      <c r="U3583" s="7">
        <f>T3583*O3583</f>
        <v>0</v>
      </c>
    </row>
    <row r="3584" spans="1:21">
      <c r="A3584" s="4" t="s">
        <v>4763</v>
      </c>
      <c r="B3584" s="4" t="s">
        <v>103</v>
      </c>
      <c r="C3584" s="5">
        <v>45974.26166666667</v>
      </c>
      <c r="D3584" s="5">
        <v>45974</v>
      </c>
      <c r="E3584" s="6">
        <f>IF(AND(C3584&lt;&gt;"",D3584&lt;&gt;""),D3584-C3584,"")</f>
        <v>0</v>
      </c>
      <c r="F3584" s="4" t="s">
        <v>4764</v>
      </c>
      <c r="G3584" s="4" t="s">
        <v>4759</v>
      </c>
      <c r="H3584" s="4" t="s">
        <v>662</v>
      </c>
      <c r="I3584" s="4" t="s">
        <v>56</v>
      </c>
      <c r="J3584" s="4">
        <v>1</v>
      </c>
      <c r="K3584" s="4">
        <v>0</v>
      </c>
      <c r="L3584" s="4">
        <f>J3584+K3584</f>
        <v>0</v>
      </c>
      <c r="M3584" s="4"/>
      <c r="N3584" s="4"/>
      <c r="O3584" s="4">
        <v>0</v>
      </c>
      <c r="P3584" s="4"/>
      <c r="Q3584" s="4"/>
      <c r="R3584" s="7">
        <v>0</v>
      </c>
      <c r="S3584" s="7">
        <v>0</v>
      </c>
      <c r="T3584" s="7">
        <f>R3584-S3584</f>
        <v>0</v>
      </c>
      <c r="U3584" s="7">
        <f>T3584*O3584</f>
        <v>0</v>
      </c>
    </row>
    <row r="3585" spans="1:21">
      <c r="A3585" s="4" t="s">
        <v>4765</v>
      </c>
      <c r="B3585" s="4" t="s">
        <v>103</v>
      </c>
      <c r="C3585" s="5">
        <v>45974.26418981481</v>
      </c>
      <c r="D3585" s="5">
        <v>45974</v>
      </c>
      <c r="E3585" s="6">
        <f>IF(AND(C3585&lt;&gt;"",D3585&lt;&gt;""),D3585-C3585,"")</f>
        <v>0</v>
      </c>
      <c r="F3585" s="4" t="s">
        <v>4766</v>
      </c>
      <c r="G3585" s="4" t="s">
        <v>4767</v>
      </c>
      <c r="H3585" s="4" t="s">
        <v>2310</v>
      </c>
      <c r="I3585" s="4" t="s">
        <v>56</v>
      </c>
      <c r="J3585" s="4">
        <v>1</v>
      </c>
      <c r="K3585" s="4">
        <v>0</v>
      </c>
      <c r="L3585" s="4">
        <f>J3585+K3585</f>
        <v>0</v>
      </c>
      <c r="M3585" s="4"/>
      <c r="N3585" s="4"/>
      <c r="O3585" s="4">
        <v>0</v>
      </c>
      <c r="P3585" s="4"/>
      <c r="Q3585" s="4"/>
      <c r="R3585" s="7">
        <v>0</v>
      </c>
      <c r="S3585" s="7">
        <v>0</v>
      </c>
      <c r="T3585" s="7">
        <f>R3585-S3585</f>
        <v>0</v>
      </c>
      <c r="U3585" s="7">
        <f>T3585*O3585</f>
        <v>0</v>
      </c>
    </row>
    <row r="3586" spans="1:21">
      <c r="A3586" s="4" t="s">
        <v>4768</v>
      </c>
      <c r="B3586" s="4" t="s">
        <v>48</v>
      </c>
      <c r="C3586" s="5">
        <v>45974.26552083333</v>
      </c>
      <c r="D3586" s="5">
        <v>45974</v>
      </c>
      <c r="E3586" s="6">
        <f>IF(AND(C3586&lt;&gt;"",D3586&lt;&gt;""),D3586-C3586,"")</f>
        <v>0</v>
      </c>
      <c r="F3586" s="4" t="s">
        <v>4769</v>
      </c>
      <c r="G3586" s="4" t="s">
        <v>4770</v>
      </c>
      <c r="H3586" s="4" t="s">
        <v>2310</v>
      </c>
      <c r="I3586" s="4" t="s">
        <v>56</v>
      </c>
      <c r="J3586" s="4">
        <v>1</v>
      </c>
      <c r="K3586" s="4">
        <v>0</v>
      </c>
      <c r="L3586" s="4">
        <f>J3586+K3586</f>
        <v>0</v>
      </c>
      <c r="M3586" s="4"/>
      <c r="N3586" s="4"/>
      <c r="O3586" s="4">
        <v>0</v>
      </c>
      <c r="P3586" s="4"/>
      <c r="Q3586" s="4"/>
      <c r="R3586" s="7">
        <v>0</v>
      </c>
      <c r="S3586" s="7">
        <v>0</v>
      </c>
      <c r="T3586" s="7">
        <f>R3586-S3586</f>
        <v>0</v>
      </c>
      <c r="U3586" s="7">
        <f>T3586*O3586</f>
        <v>0</v>
      </c>
    </row>
    <row r="3587" spans="1:21">
      <c r="A3587" s="4" t="s">
        <v>4771</v>
      </c>
      <c r="B3587" s="4" t="s">
        <v>39</v>
      </c>
      <c r="C3587" s="5">
        <v>45974.27233796296</v>
      </c>
      <c r="D3587" s="5">
        <v>45974</v>
      </c>
      <c r="E3587" s="6">
        <f>IF(AND(C3587&lt;&gt;"",D3587&lt;&gt;""),D3587-C3587,"")</f>
        <v>0</v>
      </c>
      <c r="F3587" s="4" t="s">
        <v>4772</v>
      </c>
      <c r="G3587" s="4" t="s">
        <v>4773</v>
      </c>
      <c r="H3587" s="4" t="s">
        <v>32</v>
      </c>
      <c r="I3587" s="4" t="s">
        <v>33</v>
      </c>
      <c r="J3587" s="4">
        <v>1</v>
      </c>
      <c r="K3587" s="4">
        <v>0</v>
      </c>
      <c r="L3587" s="4">
        <f>J3587+K3587</f>
        <v>0</v>
      </c>
      <c r="M3587" s="4" t="s">
        <v>1645</v>
      </c>
      <c r="N3587" s="4"/>
      <c r="O3587" s="4">
        <v>1</v>
      </c>
      <c r="P3587" s="4" t="s">
        <v>135</v>
      </c>
      <c r="Q3587" s="4" t="s">
        <v>44</v>
      </c>
      <c r="R3587" s="7">
        <v>2100000</v>
      </c>
      <c r="S3587" s="7">
        <v>0</v>
      </c>
      <c r="T3587" s="7">
        <f>R3587-S3587</f>
        <v>0</v>
      </c>
      <c r="U3587" s="7">
        <f>T3587*O3587</f>
        <v>0</v>
      </c>
    </row>
    <row r="3588" spans="1:21">
      <c r="A3588" s="4" t="s">
        <v>4774</v>
      </c>
      <c r="B3588" s="4" t="s">
        <v>39</v>
      </c>
      <c r="C3588" s="5">
        <v>45974.32013888889</v>
      </c>
      <c r="D3588" s="5">
        <v>45974</v>
      </c>
      <c r="E3588" s="6">
        <f>IF(AND(C3588&lt;&gt;"",D3588&lt;&gt;""),D3588-C3588,"")</f>
        <v>0</v>
      </c>
      <c r="F3588" s="4" t="s">
        <v>4775</v>
      </c>
      <c r="G3588" s="4" t="s">
        <v>4776</v>
      </c>
      <c r="H3588" s="4" t="s">
        <v>32</v>
      </c>
      <c r="I3588" s="4" t="s">
        <v>33</v>
      </c>
      <c r="J3588" s="4">
        <v>1</v>
      </c>
      <c r="K3588" s="4">
        <v>0</v>
      </c>
      <c r="L3588" s="4">
        <f>J3588+K3588</f>
        <v>0</v>
      </c>
      <c r="M3588" s="4" t="s">
        <v>1645</v>
      </c>
      <c r="N3588" s="4"/>
      <c r="O3588" s="4">
        <v>1</v>
      </c>
      <c r="P3588" s="4" t="s">
        <v>135</v>
      </c>
      <c r="Q3588" s="4" t="s">
        <v>44</v>
      </c>
      <c r="R3588" s="7">
        <v>2100000</v>
      </c>
      <c r="S3588" s="7">
        <v>0</v>
      </c>
      <c r="T3588" s="7">
        <f>R3588-S3588</f>
        <v>0</v>
      </c>
      <c r="U3588" s="7">
        <f>T3588*O3588</f>
        <v>0</v>
      </c>
    </row>
    <row r="3589" spans="1:21">
      <c r="A3589" s="4" t="s">
        <v>4777</v>
      </c>
      <c r="B3589" s="4" t="s">
        <v>48</v>
      </c>
      <c r="C3589" s="5">
        <v>45974.36825231482</v>
      </c>
      <c r="D3589" s="5">
        <v>45974</v>
      </c>
      <c r="E3589" s="6">
        <f>IF(AND(C3589&lt;&gt;"",D3589&lt;&gt;""),D3589-C3589,"")</f>
        <v>0</v>
      </c>
      <c r="F3589" s="4" t="s">
        <v>4609</v>
      </c>
      <c r="G3589" s="4" t="s">
        <v>4610</v>
      </c>
      <c r="H3589" s="4" t="s">
        <v>32</v>
      </c>
      <c r="I3589" s="4" t="s">
        <v>33</v>
      </c>
      <c r="J3589" s="4">
        <v>5</v>
      </c>
      <c r="K3589" s="4">
        <v>0</v>
      </c>
      <c r="L3589" s="4">
        <f>J3589+K3589</f>
        <v>0</v>
      </c>
      <c r="M3589" s="4"/>
      <c r="N3589" s="4"/>
      <c r="O3589" s="4">
        <v>0</v>
      </c>
      <c r="P3589" s="4"/>
      <c r="Q3589" s="4"/>
      <c r="R3589" s="7">
        <v>0</v>
      </c>
      <c r="S3589" s="7">
        <v>0</v>
      </c>
      <c r="T3589" s="7">
        <f>R3589-S3589</f>
        <v>0</v>
      </c>
      <c r="U3589" s="7">
        <f>T3589*O3589</f>
        <v>0</v>
      </c>
    </row>
    <row r="3590" spans="1:21">
      <c r="A3590" s="4" t="s">
        <v>4778</v>
      </c>
      <c r="B3590" s="4" t="s">
        <v>39</v>
      </c>
      <c r="C3590" s="5">
        <v>45974.39265046296</v>
      </c>
      <c r="D3590" s="5">
        <v>45974</v>
      </c>
      <c r="E3590" s="6">
        <f>IF(AND(C3590&lt;&gt;"",D3590&lt;&gt;""),D3590-C3590,"")</f>
        <v>0</v>
      </c>
      <c r="F3590" s="4" t="s">
        <v>4779</v>
      </c>
      <c r="G3590" s="4" t="s">
        <v>4780</v>
      </c>
      <c r="H3590" s="4" t="s">
        <v>305</v>
      </c>
      <c r="I3590" s="4" t="s">
        <v>56</v>
      </c>
      <c r="J3590" s="4">
        <v>1</v>
      </c>
      <c r="K3590" s="4">
        <v>0</v>
      </c>
      <c r="L3590" s="4">
        <f>J3590+K3590</f>
        <v>0</v>
      </c>
      <c r="M3590" s="4" t="s">
        <v>80</v>
      </c>
      <c r="N3590" s="4"/>
      <c r="O3590" s="4">
        <v>1</v>
      </c>
      <c r="P3590" s="4" t="s">
        <v>135</v>
      </c>
      <c r="Q3590" s="4" t="s">
        <v>4781</v>
      </c>
      <c r="R3590" s="7">
        <v>440000</v>
      </c>
      <c r="S3590" s="7">
        <v>0</v>
      </c>
      <c r="T3590" s="7">
        <f>R3590-S3590</f>
        <v>0</v>
      </c>
      <c r="U3590" s="7">
        <f>T3590*O3590</f>
        <v>0</v>
      </c>
    </row>
    <row r="3591" spans="1:21">
      <c r="A3591" s="4" t="s">
        <v>4782</v>
      </c>
      <c r="B3591" s="4" t="s">
        <v>103</v>
      </c>
      <c r="C3591" s="5">
        <v>45975.11032407408</v>
      </c>
      <c r="D3591" s="5">
        <v>45974</v>
      </c>
      <c r="E3591" s="6">
        <f>IF(AND(C3591&lt;&gt;"",D3591&lt;&gt;""),D3591-C3591,"")</f>
        <v>0</v>
      </c>
      <c r="F3591" s="4" t="s">
        <v>4783</v>
      </c>
      <c r="G3591" s="4" t="s">
        <v>4784</v>
      </c>
      <c r="H3591" s="4" t="s">
        <v>662</v>
      </c>
      <c r="I3591" s="4" t="s">
        <v>56</v>
      </c>
      <c r="J3591" s="4">
        <v>1</v>
      </c>
      <c r="K3591" s="4">
        <v>0</v>
      </c>
      <c r="L3591" s="4">
        <f>J3591+K3591</f>
        <v>0</v>
      </c>
      <c r="M3591" s="4"/>
      <c r="N3591" s="4"/>
      <c r="O3591" s="4">
        <v>0</v>
      </c>
      <c r="P3591" s="4"/>
      <c r="Q3591" s="4"/>
      <c r="R3591" s="7">
        <v>0</v>
      </c>
      <c r="S3591" s="7">
        <v>0</v>
      </c>
      <c r="T3591" s="7">
        <f>R3591-S3591</f>
        <v>0</v>
      </c>
      <c r="U3591" s="7">
        <f>T3591*O3591</f>
        <v>0</v>
      </c>
    </row>
    <row r="3592" spans="1:21">
      <c r="A3592" s="4" t="s">
        <v>4785</v>
      </c>
      <c r="B3592" s="4" t="s">
        <v>103</v>
      </c>
      <c r="C3592" s="5">
        <v>45975.11392361111</v>
      </c>
      <c r="D3592" s="5">
        <v>45975</v>
      </c>
      <c r="E3592" s="6">
        <f>IF(AND(C3592&lt;&gt;"",D3592&lt;&gt;""),D3592-C3592,"")</f>
        <v>0</v>
      </c>
      <c r="F3592" s="4" t="s">
        <v>4786</v>
      </c>
      <c r="G3592" s="4" t="s">
        <v>4787</v>
      </c>
      <c r="H3592" s="4" t="s">
        <v>662</v>
      </c>
      <c r="I3592" s="4" t="s">
        <v>56</v>
      </c>
      <c r="J3592" s="4">
        <v>1</v>
      </c>
      <c r="K3592" s="4">
        <v>0</v>
      </c>
      <c r="L3592" s="4">
        <f>J3592+K3592</f>
        <v>0</v>
      </c>
      <c r="M3592" s="4"/>
      <c r="N3592" s="4"/>
      <c r="O3592" s="4">
        <v>0</v>
      </c>
      <c r="P3592" s="4"/>
      <c r="Q3592" s="4"/>
      <c r="R3592" s="7">
        <v>0</v>
      </c>
      <c r="S3592" s="7">
        <v>0</v>
      </c>
      <c r="T3592" s="7">
        <f>R3592-S3592</f>
        <v>0</v>
      </c>
      <c r="U3592" s="7">
        <f>T3592*O3592</f>
        <v>0</v>
      </c>
    </row>
    <row r="3593" spans="1:21">
      <c r="A3593" s="4" t="s">
        <v>4788</v>
      </c>
      <c r="B3593" s="4" t="s">
        <v>48</v>
      </c>
      <c r="C3593" s="5">
        <v>45975.11521990741</v>
      </c>
      <c r="D3593" s="5">
        <v>45975</v>
      </c>
      <c r="E3593" s="6">
        <f>IF(AND(C3593&lt;&gt;"",D3593&lt;&gt;""),D3593-C3593,"")</f>
        <v>0</v>
      </c>
      <c r="F3593" s="4" t="s">
        <v>64</v>
      </c>
      <c r="G3593" s="4" t="s">
        <v>4789</v>
      </c>
      <c r="H3593" s="4" t="s">
        <v>662</v>
      </c>
      <c r="I3593" s="4" t="s">
        <v>56</v>
      </c>
      <c r="J3593" s="4">
        <v>1</v>
      </c>
      <c r="K3593" s="4">
        <v>0</v>
      </c>
      <c r="L3593" s="4">
        <f>J3593+K3593</f>
        <v>0</v>
      </c>
      <c r="M3593" s="4"/>
      <c r="N3593" s="4"/>
      <c r="O3593" s="4">
        <v>0</v>
      </c>
      <c r="P3593" s="4"/>
      <c r="Q3593" s="4"/>
      <c r="R3593" s="7">
        <v>0</v>
      </c>
      <c r="S3593" s="7">
        <v>0</v>
      </c>
      <c r="T3593" s="7">
        <f>R3593-S3593</f>
        <v>0</v>
      </c>
      <c r="U3593" s="7">
        <f>T3593*O3593</f>
        <v>0</v>
      </c>
    </row>
    <row r="3594" spans="1:21">
      <c r="A3594" s="4" t="s">
        <v>4790</v>
      </c>
      <c r="B3594" s="4" t="s">
        <v>39</v>
      </c>
      <c r="C3594" s="5">
        <v>45975.1394212963</v>
      </c>
      <c r="D3594" s="5">
        <v>45975</v>
      </c>
      <c r="E3594" s="6">
        <f>IF(AND(C3594&lt;&gt;"",D3594&lt;&gt;""),D3594-C3594,"")</f>
        <v>0</v>
      </c>
      <c r="F3594" s="4" t="s">
        <v>1343</v>
      </c>
      <c r="G3594" s="4" t="s">
        <v>4791</v>
      </c>
      <c r="H3594" s="4" t="s">
        <v>190</v>
      </c>
      <c r="I3594" s="4" t="s">
        <v>56</v>
      </c>
      <c r="J3594" s="4">
        <v>1</v>
      </c>
      <c r="K3594" s="4">
        <v>0</v>
      </c>
      <c r="L3594" s="4">
        <f>J3594+K3594</f>
        <v>0</v>
      </c>
      <c r="M3594" s="4" t="s">
        <v>80</v>
      </c>
      <c r="N3594" s="4"/>
      <c r="O3594" s="4">
        <v>1</v>
      </c>
      <c r="P3594" s="4" t="s">
        <v>135</v>
      </c>
      <c r="Q3594" s="4" t="s">
        <v>3210</v>
      </c>
      <c r="R3594" s="7">
        <v>450000</v>
      </c>
      <c r="S3594" s="7">
        <v>0</v>
      </c>
      <c r="T3594" s="7">
        <f>R3594-S3594</f>
        <v>0</v>
      </c>
      <c r="U3594" s="7">
        <f>T3594*O3594</f>
        <v>0</v>
      </c>
    </row>
    <row r="3595" spans="1:21">
      <c r="A3595" s="4" t="s">
        <v>4792</v>
      </c>
      <c r="B3595" s="4" t="s">
        <v>39</v>
      </c>
      <c r="C3595" s="5">
        <v>45975.14189814815</v>
      </c>
      <c r="D3595" s="5">
        <v>45975</v>
      </c>
      <c r="E3595" s="6">
        <f>IF(AND(C3595&lt;&gt;"",D3595&lt;&gt;""),D3595-C3595,"")</f>
        <v>0</v>
      </c>
      <c r="F3595" s="4" t="s">
        <v>1343</v>
      </c>
      <c r="G3595" s="4" t="s">
        <v>4793</v>
      </c>
      <c r="H3595" s="4" t="s">
        <v>787</v>
      </c>
      <c r="I3595" s="4" t="s">
        <v>56</v>
      </c>
      <c r="J3595" s="4">
        <v>1</v>
      </c>
      <c r="K3595" s="4">
        <v>0</v>
      </c>
      <c r="L3595" s="4">
        <f>J3595+K3595</f>
        <v>0</v>
      </c>
      <c r="M3595" s="4" t="s">
        <v>80</v>
      </c>
      <c r="N3595" s="4"/>
      <c r="O3595" s="4">
        <v>1</v>
      </c>
      <c r="P3595" s="4" t="s">
        <v>135</v>
      </c>
      <c r="Q3595" s="4" t="s">
        <v>3210</v>
      </c>
      <c r="R3595" s="7">
        <v>450000</v>
      </c>
      <c r="S3595" s="7">
        <v>0</v>
      </c>
      <c r="T3595" s="7">
        <f>R3595-S3595</f>
        <v>0</v>
      </c>
      <c r="U3595" s="7">
        <f>T3595*O3595</f>
        <v>0</v>
      </c>
    </row>
    <row r="3596" spans="1:21">
      <c r="A3596" s="4" t="s">
        <v>4794</v>
      </c>
      <c r="B3596" s="4" t="s">
        <v>48</v>
      </c>
      <c r="C3596" s="5">
        <v>45975.15502314815</v>
      </c>
      <c r="D3596" s="5">
        <v>45975</v>
      </c>
      <c r="E3596" s="6">
        <f>IF(AND(C3596&lt;&gt;"",D3596&lt;&gt;""),D3596-C3596,"")</f>
        <v>0</v>
      </c>
      <c r="F3596" s="4" t="s">
        <v>4795</v>
      </c>
      <c r="G3596" s="4" t="s">
        <v>4796</v>
      </c>
      <c r="H3596" s="4" t="s">
        <v>190</v>
      </c>
      <c r="I3596" s="4" t="s">
        <v>56</v>
      </c>
      <c r="J3596" s="4">
        <v>1</v>
      </c>
      <c r="K3596" s="4">
        <v>0</v>
      </c>
      <c r="L3596" s="4">
        <f>J3596+K3596</f>
        <v>0</v>
      </c>
      <c r="M3596" s="4"/>
      <c r="N3596" s="4"/>
      <c r="O3596" s="4">
        <v>0</v>
      </c>
      <c r="P3596" s="4"/>
      <c r="Q3596" s="4"/>
      <c r="R3596" s="7">
        <v>0</v>
      </c>
      <c r="S3596" s="7">
        <v>0</v>
      </c>
      <c r="T3596" s="7">
        <f>R3596-S3596</f>
        <v>0</v>
      </c>
      <c r="U3596" s="7">
        <f>T3596*O3596</f>
        <v>0</v>
      </c>
    </row>
    <row r="3597" spans="1:21">
      <c r="A3597" s="4" t="s">
        <v>4797</v>
      </c>
      <c r="B3597" s="4" t="s">
        <v>103</v>
      </c>
      <c r="C3597" s="5">
        <v>45975.15646990741</v>
      </c>
      <c r="D3597" s="5">
        <v>45975</v>
      </c>
      <c r="E3597" s="6">
        <f>IF(AND(C3597&lt;&gt;"",D3597&lt;&gt;""),D3597-C3597,"")</f>
        <v>0</v>
      </c>
      <c r="F3597" s="4" t="s">
        <v>4798</v>
      </c>
      <c r="G3597" s="4" t="s">
        <v>4799</v>
      </c>
      <c r="H3597" s="4" t="s">
        <v>190</v>
      </c>
      <c r="I3597" s="4" t="s">
        <v>56</v>
      </c>
      <c r="J3597" s="4">
        <v>1</v>
      </c>
      <c r="K3597" s="4">
        <v>0</v>
      </c>
      <c r="L3597" s="4">
        <f>J3597+K3597</f>
        <v>0</v>
      </c>
      <c r="M3597" s="4"/>
      <c r="N3597" s="4"/>
      <c r="O3597" s="4">
        <v>0</v>
      </c>
      <c r="P3597" s="4"/>
      <c r="Q3597" s="4"/>
      <c r="R3597" s="7">
        <v>0</v>
      </c>
      <c r="S3597" s="7">
        <v>0</v>
      </c>
      <c r="T3597" s="7">
        <f>R3597-S3597</f>
        <v>0</v>
      </c>
      <c r="U3597" s="7">
        <f>T3597*O3597</f>
        <v>0</v>
      </c>
    </row>
    <row r="3598" spans="1:21">
      <c r="A3598" s="4" t="s">
        <v>4800</v>
      </c>
      <c r="B3598" s="4" t="s">
        <v>103</v>
      </c>
      <c r="C3598" s="5">
        <v>45975.16370370371</v>
      </c>
      <c r="D3598" s="5">
        <v>45975</v>
      </c>
      <c r="E3598" s="6">
        <f>IF(AND(C3598&lt;&gt;"",D3598&lt;&gt;""),D3598-C3598,"")</f>
        <v>0</v>
      </c>
      <c r="F3598" s="4" t="s">
        <v>4801</v>
      </c>
      <c r="G3598" s="4" t="s">
        <v>4802</v>
      </c>
      <c r="H3598" s="4" t="s">
        <v>662</v>
      </c>
      <c r="I3598" s="4" t="s">
        <v>56</v>
      </c>
      <c r="J3598" s="4">
        <v>1</v>
      </c>
      <c r="K3598" s="4">
        <v>0</v>
      </c>
      <c r="L3598" s="4">
        <f>J3598+K3598</f>
        <v>0</v>
      </c>
      <c r="M3598" s="4"/>
      <c r="N3598" s="4"/>
      <c r="O3598" s="4">
        <v>0</v>
      </c>
      <c r="P3598" s="4"/>
      <c r="Q3598" s="4"/>
      <c r="R3598" s="7">
        <v>0</v>
      </c>
      <c r="S3598" s="7">
        <v>0</v>
      </c>
      <c r="T3598" s="7">
        <f>R3598-S3598</f>
        <v>0</v>
      </c>
      <c r="U3598" s="7">
        <f>T3598*O3598</f>
        <v>0</v>
      </c>
    </row>
    <row r="3599" spans="1:21">
      <c r="A3599" s="4" t="s">
        <v>4803</v>
      </c>
      <c r="B3599" s="4" t="s">
        <v>48</v>
      </c>
      <c r="C3599" s="5">
        <v>45975.19774305556</v>
      </c>
      <c r="D3599" s="5">
        <v>45975</v>
      </c>
      <c r="E3599" s="6">
        <f>IF(AND(C3599&lt;&gt;"",D3599&lt;&gt;""),D3599-C3599,"")</f>
        <v>0</v>
      </c>
      <c r="F3599" s="4" t="s">
        <v>4720</v>
      </c>
      <c r="G3599" s="4" t="s">
        <v>4412</v>
      </c>
      <c r="H3599" s="4" t="s">
        <v>32</v>
      </c>
      <c r="I3599" s="4" t="s">
        <v>33</v>
      </c>
      <c r="J3599" s="4">
        <v>3</v>
      </c>
      <c r="K3599" s="4">
        <v>0</v>
      </c>
      <c r="L3599" s="4">
        <f>J3599+K3599</f>
        <v>0</v>
      </c>
      <c r="M3599" s="4"/>
      <c r="N3599" s="4"/>
      <c r="O3599" s="4">
        <v>0</v>
      </c>
      <c r="P3599" s="4"/>
      <c r="Q3599" s="4"/>
      <c r="R3599" s="7">
        <v>0</v>
      </c>
      <c r="S3599" s="7">
        <v>0</v>
      </c>
      <c r="T3599" s="7">
        <f>R3599-S3599</f>
        <v>0</v>
      </c>
      <c r="U3599" s="7">
        <f>T3599*O3599</f>
        <v>0</v>
      </c>
    </row>
    <row r="3600" spans="1:21">
      <c r="A3600" s="4" t="s">
        <v>4804</v>
      </c>
      <c r="B3600" s="4" t="s">
        <v>48</v>
      </c>
      <c r="C3600" s="5">
        <v>45975.32350694444</v>
      </c>
      <c r="D3600" s="5">
        <v>45975</v>
      </c>
      <c r="E3600" s="6">
        <f>IF(AND(C3600&lt;&gt;"",D3600&lt;&gt;""),D3600-C3600,"")</f>
        <v>0</v>
      </c>
      <c r="F3600" s="4" t="s">
        <v>64</v>
      </c>
      <c r="G3600" s="4" t="s">
        <v>4805</v>
      </c>
      <c r="H3600" s="4" t="s">
        <v>32</v>
      </c>
      <c r="I3600" s="4" t="s">
        <v>33</v>
      </c>
      <c r="J3600" s="4">
        <v>1</v>
      </c>
      <c r="K3600" s="4">
        <v>0</v>
      </c>
      <c r="L3600" s="4">
        <f>J3600+K3600</f>
        <v>0</v>
      </c>
      <c r="M3600" s="4"/>
      <c r="N3600" s="4"/>
      <c r="O3600" s="4">
        <v>0</v>
      </c>
      <c r="P3600" s="4"/>
      <c r="Q3600" s="4"/>
      <c r="R3600" s="7">
        <v>0</v>
      </c>
      <c r="S3600" s="7">
        <v>0</v>
      </c>
      <c r="T3600" s="7">
        <f>R3600-S3600</f>
        <v>0</v>
      </c>
      <c r="U3600" s="7">
        <f>T3600*O3600</f>
        <v>0</v>
      </c>
    </row>
    <row r="3601" spans="1:21">
      <c r="A3601" s="4" t="s">
        <v>4806</v>
      </c>
      <c r="B3601" s="4" t="s">
        <v>103</v>
      </c>
      <c r="C3601" s="5">
        <v>45975.58596064815</v>
      </c>
      <c r="D3601" s="5">
        <v>45975</v>
      </c>
      <c r="E3601" s="6">
        <f>IF(AND(C3601&lt;&gt;"",D3601&lt;&gt;""),D3601-C3601,"")</f>
        <v>0</v>
      </c>
      <c r="F3601" s="4" t="s">
        <v>4807</v>
      </c>
      <c r="G3601" s="4" t="s">
        <v>4808</v>
      </c>
      <c r="H3601" s="4" t="s">
        <v>190</v>
      </c>
      <c r="I3601" s="4" t="s">
        <v>56</v>
      </c>
      <c r="J3601" s="4">
        <v>1</v>
      </c>
      <c r="K3601" s="4">
        <v>0</v>
      </c>
      <c r="L3601" s="4">
        <f>J3601+K3601</f>
        <v>0</v>
      </c>
      <c r="M3601" s="4"/>
      <c r="N3601" s="4"/>
      <c r="O3601" s="4">
        <v>0</v>
      </c>
      <c r="P3601" s="4"/>
      <c r="Q3601" s="4"/>
      <c r="R3601" s="7">
        <v>0</v>
      </c>
      <c r="S3601" s="7">
        <v>0</v>
      </c>
      <c r="T3601" s="7">
        <f>R3601-S3601</f>
        <v>0</v>
      </c>
      <c r="U3601" s="7">
        <f>T3601*O3601</f>
        <v>0</v>
      </c>
    </row>
    <row r="3602" spans="1:21">
      <c r="A3602" s="4" t="s">
        <v>4809</v>
      </c>
      <c r="B3602" s="4" t="s">
        <v>103</v>
      </c>
      <c r="C3602" s="5">
        <v>45975.58737268519</v>
      </c>
      <c r="D3602" s="5">
        <v>45975</v>
      </c>
      <c r="E3602" s="6">
        <f>IF(AND(C3602&lt;&gt;"",D3602&lt;&gt;""),D3602-C3602,"")</f>
        <v>0</v>
      </c>
      <c r="F3602" s="4" t="s">
        <v>1343</v>
      </c>
      <c r="G3602" s="4" t="s">
        <v>4810</v>
      </c>
      <c r="H3602" s="4" t="s">
        <v>662</v>
      </c>
      <c r="I3602" s="4" t="s">
        <v>56</v>
      </c>
      <c r="J3602" s="4">
        <v>3</v>
      </c>
      <c r="K3602" s="4">
        <v>2</v>
      </c>
      <c r="L3602" s="4">
        <f>J3602+K3602</f>
        <v>0</v>
      </c>
      <c r="M3602" s="4"/>
      <c r="N3602" s="4"/>
      <c r="O3602" s="4">
        <v>0</v>
      </c>
      <c r="P3602" s="4"/>
      <c r="Q3602" s="4"/>
      <c r="R3602" s="7">
        <v>0</v>
      </c>
      <c r="S3602" s="7">
        <v>0</v>
      </c>
      <c r="T3602" s="7">
        <f>R3602-S3602</f>
        <v>0</v>
      </c>
      <c r="U3602" s="7">
        <f>T3602*O3602</f>
        <v>0</v>
      </c>
    </row>
    <row r="3603" spans="1:21">
      <c r="A3603" s="4" t="s">
        <v>4811</v>
      </c>
      <c r="B3603" s="4" t="s">
        <v>39</v>
      </c>
      <c r="C3603" s="5">
        <v>45975.66185185185</v>
      </c>
      <c r="D3603" s="5">
        <v>45975</v>
      </c>
      <c r="E3603" s="6">
        <f>IF(AND(C3603&lt;&gt;"",D3603&lt;&gt;""),D3603-C3603,"")</f>
        <v>0</v>
      </c>
      <c r="F3603" s="4" t="s">
        <v>4812</v>
      </c>
      <c r="G3603" s="4" t="s">
        <v>4813</v>
      </c>
      <c r="H3603" s="4" t="s">
        <v>32</v>
      </c>
      <c r="I3603" s="4" t="s">
        <v>33</v>
      </c>
      <c r="J3603" s="4">
        <v>0</v>
      </c>
      <c r="K3603" s="4">
        <v>0</v>
      </c>
      <c r="L3603" s="4">
        <f>J3603+K3603</f>
        <v>0</v>
      </c>
      <c r="M3603" s="4" t="s">
        <v>370</v>
      </c>
      <c r="N3603" s="4"/>
      <c r="O3603" s="4">
        <v>1</v>
      </c>
      <c r="P3603" s="4" t="s">
        <v>135</v>
      </c>
      <c r="Q3603" s="4" t="s">
        <v>44</v>
      </c>
      <c r="R3603" s="7">
        <v>10000000</v>
      </c>
      <c r="S3603" s="7">
        <v>0</v>
      </c>
      <c r="T3603" s="7">
        <f>R3603-S3603</f>
        <v>0</v>
      </c>
      <c r="U3603" s="7">
        <f>T3603*O3603</f>
        <v>0</v>
      </c>
    </row>
    <row r="3604" spans="1:21">
      <c r="A3604" s="4" t="s">
        <v>4814</v>
      </c>
      <c r="B3604" s="4" t="s">
        <v>39</v>
      </c>
      <c r="C3604" s="5">
        <v>45975.72457175926</v>
      </c>
      <c r="D3604" s="5">
        <v>45975</v>
      </c>
      <c r="E3604" s="6">
        <f>IF(AND(C3604&lt;&gt;"",D3604&lt;&gt;""),D3604-C3604,"")</f>
        <v>0</v>
      </c>
      <c r="F3604" s="4" t="s">
        <v>162</v>
      </c>
      <c r="G3604" s="4" t="s">
        <v>163</v>
      </c>
      <c r="H3604" s="4" t="s">
        <v>32</v>
      </c>
      <c r="I3604" s="4" t="s">
        <v>33</v>
      </c>
      <c r="J3604" s="4">
        <v>1</v>
      </c>
      <c r="K3604" s="4">
        <v>0</v>
      </c>
      <c r="L3604" s="4">
        <f>J3604+K3604</f>
        <v>0</v>
      </c>
      <c r="M3604" s="4" t="s">
        <v>80</v>
      </c>
      <c r="N3604" s="4"/>
      <c r="O3604" s="4">
        <v>1</v>
      </c>
      <c r="P3604" s="4" t="s">
        <v>135</v>
      </c>
      <c r="Q3604" s="4" t="s">
        <v>44</v>
      </c>
      <c r="R3604" s="7">
        <v>610000</v>
      </c>
      <c r="S3604" s="7">
        <v>305000</v>
      </c>
      <c r="T3604" s="7">
        <f>R3604-S3604</f>
        <v>0</v>
      </c>
      <c r="U3604" s="7">
        <f>T3604*O3604</f>
        <v>0</v>
      </c>
    </row>
    <row r="3605" spans="1:21">
      <c r="A3605" s="4" t="s">
        <v>4815</v>
      </c>
      <c r="B3605" s="4" t="s">
        <v>39</v>
      </c>
      <c r="C3605" s="5">
        <v>45975.73660879629</v>
      </c>
      <c r="D3605" s="5">
        <v>45975</v>
      </c>
      <c r="E3605" s="6">
        <f>IF(AND(C3605&lt;&gt;"",D3605&lt;&gt;""),D3605-C3605,"")</f>
        <v>0</v>
      </c>
      <c r="F3605" s="4" t="s">
        <v>4816</v>
      </c>
      <c r="G3605" s="4" t="s">
        <v>4817</v>
      </c>
      <c r="H3605" s="4" t="s">
        <v>32</v>
      </c>
      <c r="I3605" s="4" t="s">
        <v>33</v>
      </c>
      <c r="J3605" s="4">
        <v>0</v>
      </c>
      <c r="K3605" s="4">
        <v>0</v>
      </c>
      <c r="L3605" s="4">
        <f>J3605+K3605</f>
        <v>0</v>
      </c>
      <c r="M3605" s="4" t="s">
        <v>370</v>
      </c>
      <c r="N3605" s="4"/>
      <c r="O3605" s="4">
        <v>1</v>
      </c>
      <c r="P3605" s="4" t="s">
        <v>135</v>
      </c>
      <c r="Q3605" s="4" t="s">
        <v>44</v>
      </c>
      <c r="R3605" s="7">
        <v>2000000</v>
      </c>
      <c r="S3605" s="7">
        <v>0</v>
      </c>
      <c r="T3605" s="7">
        <f>R3605-S3605</f>
        <v>0</v>
      </c>
      <c r="U3605" s="7">
        <f>T3605*O3605</f>
        <v>0</v>
      </c>
    </row>
    <row r="3606" spans="1:21">
      <c r="A3606" s="4" t="s">
        <v>4818</v>
      </c>
      <c r="B3606" s="4" t="s">
        <v>39</v>
      </c>
      <c r="C3606" s="5">
        <v>45975.74716435185</v>
      </c>
      <c r="D3606" s="5">
        <v>45975</v>
      </c>
      <c r="E3606" s="6">
        <f>IF(AND(C3606&lt;&gt;"",D3606&lt;&gt;""),D3606-C3606,"")</f>
        <v>0</v>
      </c>
      <c r="F3606" s="4" t="s">
        <v>4819</v>
      </c>
      <c r="G3606" s="4" t="s">
        <v>4820</v>
      </c>
      <c r="H3606" s="4" t="s">
        <v>32</v>
      </c>
      <c r="I3606" s="4" t="s">
        <v>33</v>
      </c>
      <c r="J3606" s="4">
        <v>0</v>
      </c>
      <c r="K3606" s="4">
        <v>0</v>
      </c>
      <c r="L3606" s="4">
        <f>J3606+K3606</f>
        <v>0</v>
      </c>
      <c r="M3606" s="4" t="s">
        <v>370</v>
      </c>
      <c r="N3606" s="4"/>
      <c r="O3606" s="4">
        <v>1</v>
      </c>
      <c r="P3606" s="4" t="s">
        <v>135</v>
      </c>
      <c r="Q3606" s="4" t="s">
        <v>44</v>
      </c>
      <c r="R3606" s="7">
        <v>3000000</v>
      </c>
      <c r="S3606" s="7">
        <v>0</v>
      </c>
      <c r="T3606" s="7">
        <f>R3606-S3606</f>
        <v>0</v>
      </c>
      <c r="U3606" s="7">
        <f>T3606*O3606</f>
        <v>0</v>
      </c>
    </row>
    <row r="3607" spans="1:21">
      <c r="A3607" s="4" t="s">
        <v>4821</v>
      </c>
      <c r="B3607" s="4" t="s">
        <v>39</v>
      </c>
      <c r="C3607" s="5">
        <v>45975.7562962963</v>
      </c>
      <c r="D3607" s="5">
        <v>45975</v>
      </c>
      <c r="E3607" s="6">
        <f>IF(AND(C3607&lt;&gt;"",D3607&lt;&gt;""),D3607-C3607,"")</f>
        <v>0</v>
      </c>
      <c r="F3607" s="4" t="s">
        <v>4822</v>
      </c>
      <c r="G3607" s="4" t="s">
        <v>4823</v>
      </c>
      <c r="H3607" s="4" t="s">
        <v>32</v>
      </c>
      <c r="I3607" s="4" t="s">
        <v>33</v>
      </c>
      <c r="J3607" s="4">
        <v>0</v>
      </c>
      <c r="K3607" s="4">
        <v>0</v>
      </c>
      <c r="L3607" s="4">
        <f>J3607+K3607</f>
        <v>0</v>
      </c>
      <c r="M3607" s="4" t="s">
        <v>370</v>
      </c>
      <c r="N3607" s="4"/>
      <c r="O3607" s="4">
        <v>1</v>
      </c>
      <c r="P3607" s="4" t="s">
        <v>135</v>
      </c>
      <c r="Q3607" s="4" t="s">
        <v>44</v>
      </c>
      <c r="R3607" s="7">
        <v>2500000</v>
      </c>
      <c r="S3607" s="7">
        <v>0</v>
      </c>
      <c r="T3607" s="7">
        <f>R3607-S3607</f>
        <v>0</v>
      </c>
      <c r="U3607" s="7">
        <f>T3607*O3607</f>
        <v>0</v>
      </c>
    </row>
    <row r="3608" spans="1:21">
      <c r="A3608" s="4" t="s">
        <v>4824</v>
      </c>
      <c r="B3608" s="4" t="s">
        <v>39</v>
      </c>
      <c r="C3608" s="5">
        <v>45975.76899305556</v>
      </c>
      <c r="D3608" s="5">
        <v>45975</v>
      </c>
      <c r="E3608" s="6">
        <f>IF(AND(C3608&lt;&gt;"",D3608&lt;&gt;""),D3608-C3608,"")</f>
        <v>0</v>
      </c>
      <c r="F3608" s="4" t="s">
        <v>4825</v>
      </c>
      <c r="G3608" s="4" t="s">
        <v>4826</v>
      </c>
      <c r="H3608" s="4" t="s">
        <v>32</v>
      </c>
      <c r="I3608" s="4" t="s">
        <v>33</v>
      </c>
      <c r="J3608" s="4">
        <v>0</v>
      </c>
      <c r="K3608" s="4">
        <v>0</v>
      </c>
      <c r="L3608" s="4">
        <f>J3608+K3608</f>
        <v>0</v>
      </c>
      <c r="M3608" s="4" t="s">
        <v>370</v>
      </c>
      <c r="N3608" s="4"/>
      <c r="O3608" s="4">
        <v>1</v>
      </c>
      <c r="P3608" s="4" t="s">
        <v>135</v>
      </c>
      <c r="Q3608" s="4"/>
      <c r="R3608" s="7">
        <v>2000000</v>
      </c>
      <c r="S3608" s="7">
        <v>0</v>
      </c>
      <c r="T3608" s="7">
        <f>R3608-S3608</f>
        <v>0</v>
      </c>
      <c r="U3608" s="7">
        <f>T3608*O3608</f>
        <v>0</v>
      </c>
    </row>
    <row r="3609" spans="1:21">
      <c r="A3609" s="4" t="s">
        <v>4827</v>
      </c>
      <c r="B3609" s="4" t="s">
        <v>39</v>
      </c>
      <c r="C3609" s="5">
        <v>45976.25488425926</v>
      </c>
      <c r="D3609" s="5">
        <v>45976</v>
      </c>
      <c r="E3609" s="6">
        <f>IF(AND(C3609&lt;&gt;"",D3609&lt;&gt;""),D3609-C3609,"")</f>
        <v>0</v>
      </c>
      <c r="F3609" s="4" t="s">
        <v>4812</v>
      </c>
      <c r="G3609" s="4" t="s">
        <v>4813</v>
      </c>
      <c r="H3609" s="4" t="s">
        <v>32</v>
      </c>
      <c r="I3609" s="4" t="s">
        <v>33</v>
      </c>
      <c r="J3609" s="4">
        <v>0</v>
      </c>
      <c r="K3609" s="4">
        <v>0</v>
      </c>
      <c r="L3609" s="4">
        <f>J3609+K3609</f>
        <v>0</v>
      </c>
      <c r="M3609" s="4" t="s">
        <v>4828</v>
      </c>
      <c r="N3609" s="4" t="s">
        <v>4829</v>
      </c>
      <c r="O3609" s="4">
        <v>1</v>
      </c>
      <c r="P3609" s="4" t="s">
        <v>135</v>
      </c>
      <c r="Q3609" s="4" t="s">
        <v>44</v>
      </c>
      <c r="R3609" s="7">
        <v>-30000</v>
      </c>
      <c r="S3609" s="7">
        <v>0</v>
      </c>
      <c r="T3609" s="7">
        <f>R3609-S3609</f>
        <v>0</v>
      </c>
      <c r="U3609" s="7">
        <f>T3609*O3609</f>
        <v>0</v>
      </c>
    </row>
    <row r="3610" spans="1:21">
      <c r="A3610" s="4" t="s">
        <v>4827</v>
      </c>
      <c r="B3610" s="4" t="s">
        <v>39</v>
      </c>
      <c r="C3610" s="5">
        <v>45976.25488425926</v>
      </c>
      <c r="D3610" s="5">
        <v>45976</v>
      </c>
      <c r="E3610" s="6">
        <f>IF(AND(C3610&lt;&gt;"",D3610&lt;&gt;""),D3610-C3610,"")</f>
        <v>0</v>
      </c>
      <c r="F3610" s="4" t="s">
        <v>4812</v>
      </c>
      <c r="G3610" s="4" t="s">
        <v>4813</v>
      </c>
      <c r="H3610" s="4" t="s">
        <v>32</v>
      </c>
      <c r="I3610" s="4" t="s">
        <v>33</v>
      </c>
      <c r="J3610" s="4">
        <v>1</v>
      </c>
      <c r="K3610" s="4">
        <v>0</v>
      </c>
      <c r="L3610" s="4">
        <f>J3610+K3610</f>
        <v>0</v>
      </c>
      <c r="M3610" s="4" t="s">
        <v>80</v>
      </c>
      <c r="N3610" s="4"/>
      <c r="O3610" s="4">
        <v>1</v>
      </c>
      <c r="P3610" s="4" t="s">
        <v>135</v>
      </c>
      <c r="Q3610" s="4" t="s">
        <v>44</v>
      </c>
      <c r="R3610" s="7">
        <v>610000</v>
      </c>
      <c r="S3610" s="7">
        <v>0</v>
      </c>
      <c r="T3610" s="7">
        <f>R3610-S3610</f>
        <v>0</v>
      </c>
      <c r="U3610" s="7">
        <f>T3610*O3610</f>
        <v>0</v>
      </c>
    </row>
    <row r="3611" spans="1:21">
      <c r="A3611" s="4" t="s">
        <v>4830</v>
      </c>
      <c r="B3611" s="4" t="s">
        <v>48</v>
      </c>
      <c r="C3611" s="5">
        <v>45976.31472222223</v>
      </c>
      <c r="D3611" s="5">
        <v>45976</v>
      </c>
      <c r="E3611" s="6">
        <f>IF(AND(C3611&lt;&gt;"",D3611&lt;&gt;""),D3611-C3611,"")</f>
        <v>0</v>
      </c>
      <c r="F3611" s="4" t="s">
        <v>4831</v>
      </c>
      <c r="G3611" s="4" t="s">
        <v>4832</v>
      </c>
      <c r="H3611" s="4" t="s">
        <v>32</v>
      </c>
      <c r="I3611" s="4" t="s">
        <v>33</v>
      </c>
      <c r="J3611" s="4">
        <v>2</v>
      </c>
      <c r="K3611" s="4">
        <v>0</v>
      </c>
      <c r="L3611" s="4">
        <f>J3611+K3611</f>
        <v>0</v>
      </c>
      <c r="M3611" s="4"/>
      <c r="N3611" s="4"/>
      <c r="O3611" s="4">
        <v>0</v>
      </c>
      <c r="P3611" s="4"/>
      <c r="Q3611" s="4"/>
      <c r="R3611" s="7">
        <v>0</v>
      </c>
      <c r="S3611" s="7">
        <v>0</v>
      </c>
      <c r="T3611" s="7">
        <f>R3611-S3611</f>
        <v>0</v>
      </c>
      <c r="U3611" s="7">
        <f>T3611*O3611</f>
        <v>0</v>
      </c>
    </row>
    <row r="3612" spans="1:21">
      <c r="A3612" s="4" t="s">
        <v>4833</v>
      </c>
      <c r="B3612" s="4" t="s">
        <v>39</v>
      </c>
      <c r="C3612" s="5">
        <v>45976.32335648148</v>
      </c>
      <c r="D3612" s="5">
        <v>45976</v>
      </c>
      <c r="E3612" s="6">
        <f>IF(AND(C3612&lt;&gt;"",D3612&lt;&gt;""),D3612-C3612,"")</f>
        <v>0</v>
      </c>
      <c r="F3612" s="4" t="s">
        <v>4834</v>
      </c>
      <c r="G3612" s="4" t="s">
        <v>4835</v>
      </c>
      <c r="H3612" s="4" t="s">
        <v>190</v>
      </c>
      <c r="I3612" s="4" t="s">
        <v>56</v>
      </c>
      <c r="J3612" s="4">
        <v>0</v>
      </c>
      <c r="K3612" s="4">
        <v>0</v>
      </c>
      <c r="L3612" s="4">
        <f>J3612+K3612</f>
        <v>0</v>
      </c>
      <c r="M3612" s="4" t="s">
        <v>370</v>
      </c>
      <c r="N3612" s="4"/>
      <c r="O3612" s="4">
        <v>1</v>
      </c>
      <c r="P3612" s="4" t="s">
        <v>135</v>
      </c>
      <c r="Q3612" s="4"/>
      <c r="R3612" s="7">
        <v>2400000</v>
      </c>
      <c r="S3612" s="7">
        <v>0</v>
      </c>
      <c r="T3612" s="7">
        <f>R3612-S3612</f>
        <v>0</v>
      </c>
      <c r="U3612" s="7">
        <f>T3612*O3612</f>
        <v>0</v>
      </c>
    </row>
    <row r="3613" spans="1:21">
      <c r="A3613" s="4" t="s">
        <v>4836</v>
      </c>
      <c r="B3613" s="4" t="s">
        <v>39</v>
      </c>
      <c r="C3613" s="5">
        <v>45976.38186342592</v>
      </c>
      <c r="D3613" s="5">
        <v>45976</v>
      </c>
      <c r="E3613" s="6">
        <f>IF(AND(C3613&lt;&gt;"",D3613&lt;&gt;""),D3613-C3613,"")</f>
        <v>0</v>
      </c>
      <c r="F3613" s="4" t="s">
        <v>4837</v>
      </c>
      <c r="G3613" s="4" t="s">
        <v>4838</v>
      </c>
      <c r="H3613" s="4" t="s">
        <v>32</v>
      </c>
      <c r="I3613" s="4" t="s">
        <v>33</v>
      </c>
      <c r="J3613" s="4">
        <v>0</v>
      </c>
      <c r="K3613" s="4">
        <v>0</v>
      </c>
      <c r="L3613" s="4">
        <f>J3613+K3613</f>
        <v>0</v>
      </c>
      <c r="M3613" s="4" t="s">
        <v>370</v>
      </c>
      <c r="N3613" s="4"/>
      <c r="O3613" s="4">
        <v>1</v>
      </c>
      <c r="P3613" s="4" t="s">
        <v>135</v>
      </c>
      <c r="Q3613" s="4"/>
      <c r="R3613" s="7">
        <v>3000000</v>
      </c>
      <c r="S3613" s="7">
        <v>0</v>
      </c>
      <c r="T3613" s="7">
        <f>R3613-S3613</f>
        <v>0</v>
      </c>
      <c r="U3613" s="7">
        <f>T3613*O3613</f>
        <v>0</v>
      </c>
    </row>
    <row r="3614" spans="1:21">
      <c r="A3614" s="4" t="s">
        <v>4839</v>
      </c>
      <c r="B3614" s="4" t="s">
        <v>39</v>
      </c>
      <c r="C3614" s="5">
        <v>45976.41862268518</v>
      </c>
      <c r="D3614" s="5">
        <v>45976</v>
      </c>
      <c r="E3614" s="6">
        <f>IF(AND(C3614&lt;&gt;"",D3614&lt;&gt;""),D3614-C3614,"")</f>
        <v>0</v>
      </c>
      <c r="F3614" s="4" t="s">
        <v>4837</v>
      </c>
      <c r="G3614" s="4" t="s">
        <v>4838</v>
      </c>
      <c r="H3614" s="4" t="s">
        <v>32</v>
      </c>
      <c r="I3614" s="4" t="s">
        <v>33</v>
      </c>
      <c r="J3614" s="4">
        <v>0</v>
      </c>
      <c r="K3614" s="4">
        <v>0</v>
      </c>
      <c r="L3614" s="4">
        <f>J3614+K3614</f>
        <v>0</v>
      </c>
      <c r="M3614" s="4" t="s">
        <v>2560</v>
      </c>
      <c r="N3614" s="4"/>
      <c r="O3614" s="4">
        <v>1</v>
      </c>
      <c r="P3614" s="4" t="s">
        <v>135</v>
      </c>
      <c r="Q3614" s="4"/>
      <c r="R3614" s="7">
        <v>30000</v>
      </c>
      <c r="S3614" s="7">
        <v>0</v>
      </c>
      <c r="T3614" s="7">
        <f>R3614-S3614</f>
        <v>0</v>
      </c>
      <c r="U3614" s="7">
        <f>T3614*O3614</f>
        <v>0</v>
      </c>
    </row>
    <row r="3615" spans="1:21">
      <c r="A3615" s="4" t="s">
        <v>4839</v>
      </c>
      <c r="B3615" s="4" t="s">
        <v>39</v>
      </c>
      <c r="C3615" s="5">
        <v>45976.41862268518</v>
      </c>
      <c r="D3615" s="5">
        <v>45976</v>
      </c>
      <c r="E3615" s="6">
        <f>IF(AND(C3615&lt;&gt;"",D3615&lt;&gt;""),D3615-C3615,"")</f>
        <v>0</v>
      </c>
      <c r="F3615" s="4" t="s">
        <v>4837</v>
      </c>
      <c r="G3615" s="4" t="s">
        <v>4838</v>
      </c>
      <c r="H3615" s="4" t="s">
        <v>32</v>
      </c>
      <c r="I3615" s="4" t="s">
        <v>33</v>
      </c>
      <c r="J3615" s="4">
        <v>0</v>
      </c>
      <c r="K3615" s="4">
        <v>0</v>
      </c>
      <c r="L3615" s="4">
        <f>J3615+K3615</f>
        <v>0</v>
      </c>
      <c r="M3615" s="4" t="s">
        <v>3630</v>
      </c>
      <c r="N3615" s="4"/>
      <c r="O3615" s="4">
        <v>-1</v>
      </c>
      <c r="P3615" s="4" t="s">
        <v>135</v>
      </c>
      <c r="Q3615" s="4"/>
      <c r="R3615" s="7">
        <v>15000</v>
      </c>
      <c r="S3615" s="7">
        <v>0</v>
      </c>
      <c r="T3615" s="7">
        <f>R3615-S3615</f>
        <v>0</v>
      </c>
      <c r="U3615" s="7">
        <f>T3615*O3615</f>
        <v>0</v>
      </c>
    </row>
    <row r="3616" spans="1:21">
      <c r="A3616" s="4" t="s">
        <v>4839</v>
      </c>
      <c r="B3616" s="4" t="s">
        <v>39</v>
      </c>
      <c r="C3616" s="5">
        <v>45976.41862268518</v>
      </c>
      <c r="D3616" s="5">
        <v>45976</v>
      </c>
      <c r="E3616" s="6">
        <f>IF(AND(C3616&lt;&gt;"",D3616&lt;&gt;""),D3616-C3616,"")</f>
        <v>0</v>
      </c>
      <c r="F3616" s="4" t="s">
        <v>4837</v>
      </c>
      <c r="G3616" s="4" t="s">
        <v>4838</v>
      </c>
      <c r="H3616" s="4" t="s">
        <v>32</v>
      </c>
      <c r="I3616" s="4" t="s">
        <v>33</v>
      </c>
      <c r="J3616" s="4">
        <v>0</v>
      </c>
      <c r="K3616" s="4">
        <v>0</v>
      </c>
      <c r="L3616" s="4">
        <f>J3616+K3616</f>
        <v>0</v>
      </c>
      <c r="M3616" s="4" t="s">
        <v>3630</v>
      </c>
      <c r="N3616" s="4"/>
      <c r="O3616" s="4">
        <v>-1</v>
      </c>
      <c r="P3616" s="4" t="s">
        <v>135</v>
      </c>
      <c r="Q3616" s="4"/>
      <c r="R3616" s="7">
        <v>15000</v>
      </c>
      <c r="S3616" s="7">
        <v>0</v>
      </c>
      <c r="T3616" s="7">
        <f>R3616-S3616</f>
        <v>0</v>
      </c>
      <c r="U3616" s="7">
        <f>T3616*O3616</f>
        <v>0</v>
      </c>
    </row>
    <row r="3617" spans="1:21">
      <c r="A3617" s="4" t="s">
        <v>4840</v>
      </c>
      <c r="B3617" s="4" t="s">
        <v>39</v>
      </c>
      <c r="C3617" s="5">
        <v>45976.42564814815</v>
      </c>
      <c r="D3617" s="5">
        <v>45976</v>
      </c>
      <c r="E3617" s="6">
        <f>IF(AND(C3617&lt;&gt;"",D3617&lt;&gt;""),D3617-C3617,"")</f>
        <v>0</v>
      </c>
      <c r="F3617" s="4" t="s">
        <v>114</v>
      </c>
      <c r="G3617" s="4"/>
      <c r="H3617" s="4"/>
      <c r="I3617" s="4" t="s">
        <v>56</v>
      </c>
      <c r="J3617" s="4">
        <v>0</v>
      </c>
      <c r="K3617" s="4">
        <v>0</v>
      </c>
      <c r="L3617" s="4">
        <f>J3617+K3617</f>
        <v>0</v>
      </c>
      <c r="M3617" s="4" t="s">
        <v>1123</v>
      </c>
      <c r="N3617" s="4" t="s">
        <v>1124</v>
      </c>
      <c r="O3617" s="4">
        <v>1</v>
      </c>
      <c r="P3617" s="4" t="s">
        <v>135</v>
      </c>
      <c r="Q3617" s="4"/>
      <c r="R3617" s="7">
        <v>-50000</v>
      </c>
      <c r="S3617" s="7">
        <v>0</v>
      </c>
      <c r="T3617" s="7">
        <f>R3617-S3617</f>
        <v>0</v>
      </c>
      <c r="U3617" s="7">
        <f>T3617*O3617</f>
        <v>0</v>
      </c>
    </row>
    <row r="3618" spans="1:21">
      <c r="A3618" s="4" t="s">
        <v>4840</v>
      </c>
      <c r="B3618" s="4" t="s">
        <v>39</v>
      </c>
      <c r="C3618" s="5">
        <v>45976.42564814815</v>
      </c>
      <c r="D3618" s="5">
        <v>45976</v>
      </c>
      <c r="E3618" s="6">
        <f>IF(AND(C3618&lt;&gt;"",D3618&lt;&gt;""),D3618-C3618,"")</f>
        <v>0</v>
      </c>
      <c r="F3618" s="4" t="s">
        <v>114</v>
      </c>
      <c r="G3618" s="4"/>
      <c r="H3618" s="4"/>
      <c r="I3618" s="4" t="s">
        <v>56</v>
      </c>
      <c r="J3618" s="4">
        <v>1</v>
      </c>
      <c r="K3618" s="4">
        <v>0</v>
      </c>
      <c r="L3618" s="4">
        <f>J3618+K3618</f>
        <v>0</v>
      </c>
      <c r="M3618" s="4" t="s">
        <v>80</v>
      </c>
      <c r="N3618" s="4"/>
      <c r="O3618" s="4">
        <v>1</v>
      </c>
      <c r="P3618" s="4" t="s">
        <v>135</v>
      </c>
      <c r="Q3618" s="4"/>
      <c r="R3618" s="7">
        <v>610000</v>
      </c>
      <c r="S3618" s="7">
        <v>0</v>
      </c>
      <c r="T3618" s="7">
        <f>R3618-S3618</f>
        <v>0</v>
      </c>
      <c r="U3618" s="7">
        <f>T3618*O3618</f>
        <v>0</v>
      </c>
    </row>
    <row r="3619" spans="1:21">
      <c r="A3619" s="4" t="s">
        <v>4841</v>
      </c>
      <c r="B3619" s="4" t="s">
        <v>39</v>
      </c>
      <c r="C3619" s="5">
        <v>45977.19487268518</v>
      </c>
      <c r="D3619" s="5">
        <v>45977</v>
      </c>
      <c r="E3619" s="6">
        <f>IF(AND(C3619&lt;&gt;"",D3619&lt;&gt;""),D3619-C3619,"")</f>
        <v>0</v>
      </c>
      <c r="F3619" s="4" t="s">
        <v>162</v>
      </c>
      <c r="G3619" s="4" t="s">
        <v>163</v>
      </c>
      <c r="H3619" s="4" t="s">
        <v>32</v>
      </c>
      <c r="I3619" s="4" t="s">
        <v>33</v>
      </c>
      <c r="J3619" s="4">
        <v>1</v>
      </c>
      <c r="K3619" s="4">
        <v>0</v>
      </c>
      <c r="L3619" s="4">
        <f>J3619+K3619</f>
        <v>0</v>
      </c>
      <c r="M3619" s="4" t="s">
        <v>42</v>
      </c>
      <c r="N3619" s="4"/>
      <c r="O3619" s="4">
        <v>1</v>
      </c>
      <c r="P3619" s="4" t="s">
        <v>135</v>
      </c>
      <c r="Q3619" s="4" t="s">
        <v>44</v>
      </c>
      <c r="R3619" s="7">
        <v>370000</v>
      </c>
      <c r="S3619" s="7">
        <v>0</v>
      </c>
      <c r="T3619" s="7">
        <f>R3619-S3619</f>
        <v>0</v>
      </c>
      <c r="U3619" s="7">
        <f>T3619*O3619</f>
        <v>0</v>
      </c>
    </row>
    <row r="3620" spans="1:21">
      <c r="A3620" s="4" t="s">
        <v>4841</v>
      </c>
      <c r="B3620" s="4" t="s">
        <v>39</v>
      </c>
      <c r="C3620" s="5">
        <v>45977.19487268518</v>
      </c>
      <c r="D3620" s="5">
        <v>45977</v>
      </c>
      <c r="E3620" s="6">
        <f>IF(AND(C3620&lt;&gt;"",D3620&lt;&gt;""),D3620-C3620,"")</f>
        <v>0</v>
      </c>
      <c r="F3620" s="4" t="s">
        <v>162</v>
      </c>
      <c r="G3620" s="4" t="s">
        <v>163</v>
      </c>
      <c r="H3620" s="4" t="s">
        <v>32</v>
      </c>
      <c r="I3620" s="4" t="s">
        <v>33</v>
      </c>
      <c r="J3620" s="4">
        <v>0</v>
      </c>
      <c r="K3620" s="4">
        <v>1</v>
      </c>
      <c r="L3620" s="4">
        <f>J3620+K3620</f>
        <v>0</v>
      </c>
      <c r="M3620" s="4" t="s">
        <v>81</v>
      </c>
      <c r="N3620" s="4"/>
      <c r="O3620" s="4">
        <v>1</v>
      </c>
      <c r="P3620" s="4" t="s">
        <v>135</v>
      </c>
      <c r="Q3620" s="4" t="s">
        <v>44</v>
      </c>
      <c r="R3620" s="7">
        <v>495000</v>
      </c>
      <c r="S3620" s="7">
        <v>0</v>
      </c>
      <c r="T3620" s="7">
        <f>R3620-S3620</f>
        <v>0</v>
      </c>
      <c r="U3620" s="7">
        <f>T3620*O3620</f>
        <v>0</v>
      </c>
    </row>
    <row r="3621" spans="1:21">
      <c r="A3621" s="4" t="s">
        <v>4841</v>
      </c>
      <c r="B3621" s="4" t="s">
        <v>39</v>
      </c>
      <c r="C3621" s="5">
        <v>45977.19487268518</v>
      </c>
      <c r="D3621" s="5">
        <v>45977</v>
      </c>
      <c r="E3621" s="6">
        <f>IF(AND(C3621&lt;&gt;"",D3621&lt;&gt;""),D3621-C3621,"")</f>
        <v>0</v>
      </c>
      <c r="F3621" s="4" t="s">
        <v>162</v>
      </c>
      <c r="G3621" s="4" t="s">
        <v>163</v>
      </c>
      <c r="H3621" s="4" t="s">
        <v>32</v>
      </c>
      <c r="I3621" s="4" t="s">
        <v>33</v>
      </c>
      <c r="J3621" s="4">
        <v>1</v>
      </c>
      <c r="K3621" s="4">
        <v>0</v>
      </c>
      <c r="L3621" s="4">
        <f>J3621+K3621</f>
        <v>0</v>
      </c>
      <c r="M3621" s="4" t="s">
        <v>80</v>
      </c>
      <c r="N3621" s="4"/>
      <c r="O3621" s="4">
        <v>1</v>
      </c>
      <c r="P3621" s="4" t="s">
        <v>135</v>
      </c>
      <c r="Q3621" s="4" t="s">
        <v>44</v>
      </c>
      <c r="R3621" s="7">
        <v>610000</v>
      </c>
      <c r="S3621" s="7">
        <v>0</v>
      </c>
      <c r="T3621" s="7">
        <f>R3621-S3621</f>
        <v>0</v>
      </c>
      <c r="U3621" s="7">
        <f>T3621*O3621</f>
        <v>0</v>
      </c>
    </row>
    <row r="3622" spans="1:21">
      <c r="A3622" s="4" t="s">
        <v>4841</v>
      </c>
      <c r="B3622" s="4" t="s">
        <v>39</v>
      </c>
      <c r="C3622" s="5">
        <v>45977.19487268518</v>
      </c>
      <c r="D3622" s="5">
        <v>45977</v>
      </c>
      <c r="E3622" s="6">
        <f>IF(AND(C3622&lt;&gt;"",D3622&lt;&gt;""),D3622-C3622,"")</f>
        <v>0</v>
      </c>
      <c r="F3622" s="4" t="s">
        <v>162</v>
      </c>
      <c r="G3622" s="4" t="s">
        <v>163</v>
      </c>
      <c r="H3622" s="4" t="s">
        <v>32</v>
      </c>
      <c r="I3622" s="4" t="s">
        <v>33</v>
      </c>
      <c r="J3622" s="4">
        <v>0</v>
      </c>
      <c r="K3622" s="4">
        <v>1</v>
      </c>
      <c r="L3622" s="4">
        <f>J3622+K3622</f>
        <v>0</v>
      </c>
      <c r="M3622" s="4" t="s">
        <v>46</v>
      </c>
      <c r="N3622" s="4"/>
      <c r="O3622" s="4">
        <v>1</v>
      </c>
      <c r="P3622" s="4" t="s">
        <v>135</v>
      </c>
      <c r="Q3622" s="4" t="s">
        <v>44</v>
      </c>
      <c r="R3622" s="7">
        <v>325000</v>
      </c>
      <c r="S3622" s="7">
        <v>65000</v>
      </c>
      <c r="T3622" s="7">
        <f>R3622-S3622</f>
        <v>0</v>
      </c>
      <c r="U3622" s="7">
        <f>T3622*O3622</f>
        <v>0</v>
      </c>
    </row>
    <row r="3623" spans="1:21">
      <c r="A3623" s="4" t="s">
        <v>4842</v>
      </c>
      <c r="B3623" s="4" t="s">
        <v>48</v>
      </c>
      <c r="C3623" s="5">
        <v>45977.36021990741</v>
      </c>
      <c r="D3623" s="5">
        <v>45981</v>
      </c>
      <c r="E3623" s="6">
        <f>IF(AND(C3623&lt;&gt;"",D3623&lt;&gt;""),D3623-C3623,"")</f>
        <v>0</v>
      </c>
      <c r="F3623" s="4" t="s">
        <v>4720</v>
      </c>
      <c r="G3623" s="4" t="s">
        <v>4412</v>
      </c>
      <c r="H3623" s="4" t="s">
        <v>32</v>
      </c>
      <c r="I3623" s="4" t="s">
        <v>33</v>
      </c>
      <c r="J3623" s="4">
        <v>2</v>
      </c>
      <c r="K3623" s="4">
        <v>0</v>
      </c>
      <c r="L3623" s="4">
        <f>J3623+K3623</f>
        <v>0</v>
      </c>
      <c r="M3623" s="4"/>
      <c r="N3623" s="4"/>
      <c r="O3623" s="4">
        <v>0</v>
      </c>
      <c r="P3623" s="4"/>
      <c r="Q3623" s="4"/>
      <c r="R3623" s="7">
        <v>0</v>
      </c>
      <c r="S3623" s="7">
        <v>0</v>
      </c>
      <c r="T3623" s="7">
        <f>R3623-S3623</f>
        <v>0</v>
      </c>
      <c r="U3623" s="7">
        <f>T3623*O3623</f>
        <v>0</v>
      </c>
    </row>
    <row r="3624" spans="1:21">
      <c r="A3624" s="4" t="s">
        <v>4843</v>
      </c>
      <c r="B3624" s="4" t="s">
        <v>122</v>
      </c>
      <c r="C3624" s="5">
        <v>45977.36434027777</v>
      </c>
      <c r="D3624" s="5">
        <v>45979</v>
      </c>
      <c r="E3624" s="6">
        <f>IF(AND(C3624&lt;&gt;"",D3624&lt;&gt;""),D3624-C3624,"")</f>
        <v>0</v>
      </c>
      <c r="F3624" s="4" t="s">
        <v>4609</v>
      </c>
      <c r="G3624" s="4" t="s">
        <v>4610</v>
      </c>
      <c r="H3624" s="4" t="s">
        <v>32</v>
      </c>
      <c r="I3624" s="4" t="s">
        <v>33</v>
      </c>
      <c r="J3624" s="4">
        <v>3</v>
      </c>
      <c r="K3624" s="4">
        <v>0</v>
      </c>
      <c r="L3624" s="4">
        <f>J3624+K3624</f>
        <v>0</v>
      </c>
      <c r="M3624" s="4"/>
      <c r="N3624" s="4"/>
      <c r="O3624" s="4">
        <v>0</v>
      </c>
      <c r="P3624" s="4"/>
      <c r="Q3624" s="4"/>
      <c r="R3624" s="7">
        <v>0</v>
      </c>
      <c r="S3624" s="7">
        <v>0</v>
      </c>
      <c r="T3624" s="7">
        <f>R3624-S3624</f>
        <v>0</v>
      </c>
      <c r="U3624" s="7">
        <f>T3624*O3624</f>
        <v>0</v>
      </c>
    </row>
    <row r="3625" spans="1:21">
      <c r="A3625" s="4" t="s">
        <v>4844</v>
      </c>
      <c r="B3625" s="4" t="s">
        <v>48</v>
      </c>
      <c r="C3625" s="5">
        <v>45977.39708333334</v>
      </c>
      <c r="D3625" s="5">
        <v>45979</v>
      </c>
      <c r="E3625" s="6">
        <f>IF(AND(C3625&lt;&gt;"",D3625&lt;&gt;""),D3625-C3625,"")</f>
        <v>0</v>
      </c>
      <c r="F3625" s="4" t="s">
        <v>64</v>
      </c>
      <c r="G3625" s="4" t="s">
        <v>31</v>
      </c>
      <c r="H3625" s="4" t="s">
        <v>32</v>
      </c>
      <c r="I3625" s="4" t="s">
        <v>33</v>
      </c>
      <c r="J3625" s="4">
        <v>1</v>
      </c>
      <c r="K3625" s="4">
        <v>1</v>
      </c>
      <c r="L3625" s="4">
        <f>J3625+K3625</f>
        <v>0</v>
      </c>
      <c r="M3625" s="4"/>
      <c r="N3625" s="4"/>
      <c r="O3625" s="4">
        <v>0</v>
      </c>
      <c r="P3625" s="4"/>
      <c r="Q3625" s="4"/>
      <c r="R3625" s="7">
        <v>0</v>
      </c>
      <c r="S3625" s="7">
        <v>0</v>
      </c>
      <c r="T3625" s="7">
        <f>R3625-S3625</f>
        <v>0</v>
      </c>
      <c r="U3625" s="7">
        <f>T3625*O3625</f>
        <v>0</v>
      </c>
    </row>
    <row r="3626" spans="1:21">
      <c r="A3626" s="4" t="s">
        <v>4845</v>
      </c>
      <c r="B3626" s="4" t="s">
        <v>39</v>
      </c>
      <c r="C3626" s="5">
        <v>45977.54164351852</v>
      </c>
      <c r="D3626" s="5">
        <v>45977</v>
      </c>
      <c r="E3626" s="6">
        <f>IF(AND(C3626&lt;&gt;"",D3626&lt;&gt;""),D3626-C3626,"")</f>
        <v>0</v>
      </c>
      <c r="F3626" s="4" t="s">
        <v>4834</v>
      </c>
      <c r="G3626" s="4" t="s">
        <v>4835</v>
      </c>
      <c r="H3626" s="4" t="s">
        <v>190</v>
      </c>
      <c r="I3626" s="4" t="s">
        <v>56</v>
      </c>
      <c r="J3626" s="4">
        <v>0</v>
      </c>
      <c r="K3626" s="4">
        <v>0</v>
      </c>
      <c r="L3626" s="4">
        <f>J3626+K3626</f>
        <v>0</v>
      </c>
      <c r="M3626" s="4" t="s">
        <v>3630</v>
      </c>
      <c r="N3626" s="4"/>
      <c r="O3626" s="4">
        <v>1</v>
      </c>
      <c r="P3626" s="4" t="s">
        <v>135</v>
      </c>
      <c r="Q3626" s="4"/>
      <c r="R3626" s="7">
        <v>15000</v>
      </c>
      <c r="S3626" s="7">
        <v>0</v>
      </c>
      <c r="T3626" s="7">
        <f>R3626-S3626</f>
        <v>0</v>
      </c>
      <c r="U3626" s="7">
        <f>T3626*O3626</f>
        <v>0</v>
      </c>
    </row>
    <row r="3627" spans="1:21">
      <c r="A3627" s="4" t="s">
        <v>4845</v>
      </c>
      <c r="B3627" s="4" t="s">
        <v>39</v>
      </c>
      <c r="C3627" s="5">
        <v>45977.54164351852</v>
      </c>
      <c r="D3627" s="5">
        <v>45977</v>
      </c>
      <c r="E3627" s="6">
        <f>IF(AND(C3627&lt;&gt;"",D3627&lt;&gt;""),D3627-C3627,"")</f>
        <v>0</v>
      </c>
      <c r="F3627" s="4" t="s">
        <v>4834</v>
      </c>
      <c r="G3627" s="4" t="s">
        <v>4835</v>
      </c>
      <c r="H3627" s="4" t="s">
        <v>190</v>
      </c>
      <c r="I3627" s="4" t="s">
        <v>56</v>
      </c>
      <c r="J3627" s="4">
        <v>0</v>
      </c>
      <c r="K3627" s="4">
        <v>0</v>
      </c>
      <c r="L3627" s="4">
        <f>J3627+K3627</f>
        <v>0</v>
      </c>
      <c r="M3627" s="4" t="s">
        <v>4846</v>
      </c>
      <c r="N3627" s="4" t="s">
        <v>4847</v>
      </c>
      <c r="O3627" s="4">
        <v>1</v>
      </c>
      <c r="P3627" s="4" t="s">
        <v>135</v>
      </c>
      <c r="Q3627" s="4"/>
      <c r="R3627" s="7">
        <v>-5000</v>
      </c>
      <c r="S3627" s="7">
        <v>0</v>
      </c>
      <c r="T3627" s="7">
        <f>R3627-S3627</f>
        <v>0</v>
      </c>
      <c r="U3627" s="7">
        <f>T3627*O3627</f>
        <v>0</v>
      </c>
    </row>
    <row r="3628" spans="1:21">
      <c r="A3628" s="4" t="s">
        <v>4848</v>
      </c>
      <c r="B3628" s="4" t="s">
        <v>39</v>
      </c>
      <c r="C3628" s="5">
        <v>45977.5428587963</v>
      </c>
      <c r="D3628" s="5">
        <v>45977</v>
      </c>
      <c r="E3628" s="6">
        <f>IF(AND(C3628&lt;&gt;"",D3628&lt;&gt;""),D3628-C3628,"")</f>
        <v>0</v>
      </c>
      <c r="F3628" s="4" t="s">
        <v>4837</v>
      </c>
      <c r="G3628" s="4" t="s">
        <v>4838</v>
      </c>
      <c r="H3628" s="4" t="s">
        <v>32</v>
      </c>
      <c r="I3628" s="4" t="s">
        <v>33</v>
      </c>
      <c r="J3628" s="4">
        <v>0</v>
      </c>
      <c r="K3628" s="4">
        <v>0</v>
      </c>
      <c r="L3628" s="4">
        <f>J3628+K3628</f>
        <v>0</v>
      </c>
      <c r="M3628" s="4" t="s">
        <v>370</v>
      </c>
      <c r="N3628" s="4"/>
      <c r="O3628" s="4">
        <v>1</v>
      </c>
      <c r="P3628" s="4" t="s">
        <v>135</v>
      </c>
      <c r="Q3628" s="4"/>
      <c r="R3628" s="7">
        <v>10000000</v>
      </c>
      <c r="S3628" s="7">
        <v>0</v>
      </c>
      <c r="T3628" s="7">
        <f>R3628-S3628</f>
        <v>0</v>
      </c>
      <c r="U3628" s="7">
        <f>T3628*O3628</f>
        <v>0</v>
      </c>
    </row>
    <row r="3629" spans="1:21">
      <c r="A3629" s="4" t="s">
        <v>4849</v>
      </c>
      <c r="B3629" s="4" t="s">
        <v>48</v>
      </c>
      <c r="C3629" s="5">
        <v>45977.58707175926</v>
      </c>
      <c r="D3629" s="5">
        <v>45979</v>
      </c>
      <c r="E3629" s="6">
        <f>IF(AND(C3629&lt;&gt;"",D3629&lt;&gt;""),D3629-C3629,"")</f>
        <v>0</v>
      </c>
      <c r="F3629" s="4" t="s">
        <v>64</v>
      </c>
      <c r="G3629" s="4" t="s">
        <v>31</v>
      </c>
      <c r="H3629" s="4" t="s">
        <v>32</v>
      </c>
      <c r="I3629" s="4" t="s">
        <v>33</v>
      </c>
      <c r="J3629" s="4">
        <v>1</v>
      </c>
      <c r="K3629" s="4">
        <v>0</v>
      </c>
      <c r="L3629" s="4">
        <f>J3629+K3629</f>
        <v>0</v>
      </c>
      <c r="M3629" s="4"/>
      <c r="N3629" s="4"/>
      <c r="O3629" s="4">
        <v>0</v>
      </c>
      <c r="P3629" s="4"/>
      <c r="Q3629" s="4"/>
      <c r="R3629" s="7">
        <v>0</v>
      </c>
      <c r="S3629" s="7">
        <v>0</v>
      </c>
      <c r="T3629" s="7">
        <f>R3629-S3629</f>
        <v>0</v>
      </c>
      <c r="U3629" s="7">
        <f>T3629*O3629</f>
        <v>0</v>
      </c>
    </row>
    <row r="3630" spans="1:21">
      <c r="A3630" s="4" t="s">
        <v>4850</v>
      </c>
      <c r="B3630" s="4" t="s">
        <v>48</v>
      </c>
      <c r="C3630" s="5">
        <v>45977.59054398148</v>
      </c>
      <c r="D3630" s="5">
        <v>45980</v>
      </c>
      <c r="E3630" s="6">
        <f>IF(AND(C3630&lt;&gt;"",D3630&lt;&gt;""),D3630-C3630,"")</f>
        <v>0</v>
      </c>
      <c r="F3630" s="4" t="s">
        <v>64</v>
      </c>
      <c r="G3630" s="4" t="s">
        <v>31</v>
      </c>
      <c r="H3630" s="4" t="s">
        <v>32</v>
      </c>
      <c r="I3630" s="4" t="s">
        <v>33</v>
      </c>
      <c r="J3630" s="4">
        <v>1</v>
      </c>
      <c r="K3630" s="4">
        <v>0</v>
      </c>
      <c r="L3630" s="4">
        <f>J3630+K3630</f>
        <v>0</v>
      </c>
      <c r="M3630" s="4"/>
      <c r="N3630" s="4"/>
      <c r="O3630" s="4">
        <v>0</v>
      </c>
      <c r="P3630" s="4"/>
      <c r="Q3630" s="4"/>
      <c r="R3630" s="7">
        <v>0</v>
      </c>
      <c r="S3630" s="7">
        <v>0</v>
      </c>
      <c r="T3630" s="7">
        <f>R3630-S3630</f>
        <v>0</v>
      </c>
      <c r="U3630" s="7">
        <f>T3630*O3630</f>
        <v>0</v>
      </c>
    </row>
    <row r="3631" spans="1:21">
      <c r="A3631" s="4" t="s">
        <v>4851</v>
      </c>
      <c r="B3631" s="4" t="s">
        <v>39</v>
      </c>
      <c r="C3631" s="5">
        <v>45977.59276620371</v>
      </c>
      <c r="D3631" s="5">
        <v>45977</v>
      </c>
      <c r="E3631" s="6">
        <f>IF(AND(C3631&lt;&gt;"",D3631&lt;&gt;""),D3631-C3631,"")</f>
        <v>0</v>
      </c>
      <c r="F3631" s="4" t="s">
        <v>30</v>
      </c>
      <c r="G3631" s="4" t="s">
        <v>31</v>
      </c>
      <c r="H3631" s="4" t="s">
        <v>32</v>
      </c>
      <c r="I3631" s="4" t="s">
        <v>33</v>
      </c>
      <c r="J3631" s="4">
        <v>1</v>
      </c>
      <c r="K3631" s="4">
        <v>0</v>
      </c>
      <c r="L3631" s="4">
        <f>J3631+K3631</f>
        <v>0</v>
      </c>
      <c r="M3631" s="4" t="s">
        <v>80</v>
      </c>
      <c r="N3631" s="4"/>
      <c r="O3631" s="4">
        <v>1</v>
      </c>
      <c r="P3631" s="4" t="s">
        <v>135</v>
      </c>
      <c r="Q3631" s="4" t="s">
        <v>44</v>
      </c>
      <c r="R3631" s="7">
        <v>610000</v>
      </c>
      <c r="S3631" s="7">
        <v>0</v>
      </c>
      <c r="T3631" s="7">
        <f>R3631-S3631</f>
        <v>0</v>
      </c>
      <c r="U3631" s="7">
        <f>T3631*O3631</f>
        <v>0</v>
      </c>
    </row>
    <row r="3632" spans="1:21">
      <c r="A3632" s="4" t="s">
        <v>4852</v>
      </c>
      <c r="B3632" s="4" t="s">
        <v>39</v>
      </c>
      <c r="C3632" s="5">
        <v>45977.59674768519</v>
      </c>
      <c r="D3632" s="5">
        <v>45977</v>
      </c>
      <c r="E3632" s="6">
        <f>IF(AND(C3632&lt;&gt;"",D3632&lt;&gt;""),D3632-C3632,"")</f>
        <v>0</v>
      </c>
      <c r="F3632" s="4" t="s">
        <v>4837</v>
      </c>
      <c r="G3632" s="4" t="s">
        <v>4838</v>
      </c>
      <c r="H3632" s="4" t="s">
        <v>32</v>
      </c>
      <c r="I3632" s="4" t="s">
        <v>33</v>
      </c>
      <c r="J3632" s="4">
        <v>0</v>
      </c>
      <c r="K3632" s="4">
        <v>0</v>
      </c>
      <c r="L3632" s="4">
        <f>J3632+K3632</f>
        <v>0</v>
      </c>
      <c r="M3632" s="4" t="s">
        <v>370</v>
      </c>
      <c r="N3632" s="4"/>
      <c r="O3632" s="4">
        <v>1</v>
      </c>
      <c r="P3632" s="4" t="s">
        <v>135</v>
      </c>
      <c r="Q3632" s="4" t="s">
        <v>44</v>
      </c>
      <c r="R3632" s="7">
        <v>1000000</v>
      </c>
      <c r="S3632" s="7">
        <v>0</v>
      </c>
      <c r="T3632" s="7">
        <f>R3632-S3632</f>
        <v>0</v>
      </c>
      <c r="U3632" s="7">
        <f>T3632*O3632</f>
        <v>0</v>
      </c>
    </row>
    <row r="3633" spans="1:21">
      <c r="A3633" s="4" t="s">
        <v>4853</v>
      </c>
      <c r="B3633" s="4" t="s">
        <v>39</v>
      </c>
      <c r="C3633" s="5">
        <v>45977.59873842593</v>
      </c>
      <c r="D3633" s="5">
        <v>45977</v>
      </c>
      <c r="E3633" s="6">
        <f>IF(AND(C3633&lt;&gt;"",D3633&lt;&gt;""),D3633-C3633,"")</f>
        <v>0</v>
      </c>
      <c r="F3633" s="4" t="s">
        <v>4854</v>
      </c>
      <c r="G3633" s="4" t="s">
        <v>4855</v>
      </c>
      <c r="H3633" s="4" t="s">
        <v>32</v>
      </c>
      <c r="I3633" s="4" t="s">
        <v>33</v>
      </c>
      <c r="J3633" s="4">
        <v>0</v>
      </c>
      <c r="K3633" s="4">
        <v>0</v>
      </c>
      <c r="L3633" s="4">
        <f>J3633+K3633</f>
        <v>0</v>
      </c>
      <c r="M3633" s="4" t="s">
        <v>370</v>
      </c>
      <c r="N3633" s="4"/>
      <c r="O3633" s="4">
        <v>1</v>
      </c>
      <c r="P3633" s="4" t="s">
        <v>135</v>
      </c>
      <c r="Q3633" s="4" t="s">
        <v>44</v>
      </c>
      <c r="R3633" s="7">
        <v>1000000</v>
      </c>
      <c r="S3633" s="7">
        <v>0</v>
      </c>
      <c r="T3633" s="7">
        <f>R3633-S3633</f>
        <v>0</v>
      </c>
      <c r="U3633" s="7">
        <f>T3633*O3633</f>
        <v>0</v>
      </c>
    </row>
    <row r="3634" spans="1:21">
      <c r="A3634" s="4" t="s">
        <v>4856</v>
      </c>
      <c r="B3634" s="4" t="s">
        <v>48</v>
      </c>
      <c r="C3634" s="5">
        <v>45977.62306712963</v>
      </c>
      <c r="D3634" s="5">
        <v>45977</v>
      </c>
      <c r="E3634" s="6">
        <f>IF(AND(C3634&lt;&gt;"",D3634&lt;&gt;""),D3634-C3634,"")</f>
        <v>0</v>
      </c>
      <c r="F3634" s="4" t="s">
        <v>4720</v>
      </c>
      <c r="G3634" s="4" t="s">
        <v>4412</v>
      </c>
      <c r="H3634" s="4" t="s">
        <v>32</v>
      </c>
      <c r="I3634" s="4" t="s">
        <v>33</v>
      </c>
      <c r="J3634" s="4">
        <v>1</v>
      </c>
      <c r="K3634" s="4">
        <v>0</v>
      </c>
      <c r="L3634" s="4">
        <f>J3634+K3634</f>
        <v>0</v>
      </c>
      <c r="M3634" s="4"/>
      <c r="N3634" s="4"/>
      <c r="O3634" s="4">
        <v>0</v>
      </c>
      <c r="P3634" s="4"/>
      <c r="Q3634" s="4"/>
      <c r="R3634" s="7">
        <v>0</v>
      </c>
      <c r="S3634" s="7">
        <v>0</v>
      </c>
      <c r="T3634" s="7">
        <f>R3634-S3634</f>
        <v>0</v>
      </c>
      <c r="U3634" s="7">
        <f>T3634*O3634</f>
        <v>0</v>
      </c>
    </row>
    <row r="3635" spans="1:21">
      <c r="A3635" s="4" t="s">
        <v>4857</v>
      </c>
      <c r="B3635" s="4" t="s">
        <v>39</v>
      </c>
      <c r="C3635" s="5">
        <v>45977.65413194444</v>
      </c>
      <c r="D3635" s="5">
        <v>45977</v>
      </c>
      <c r="E3635" s="6">
        <f>IF(AND(C3635&lt;&gt;"",D3635&lt;&gt;""),D3635-C3635,"")</f>
        <v>0</v>
      </c>
      <c r="F3635" s="4" t="s">
        <v>4858</v>
      </c>
      <c r="G3635" s="4" t="s">
        <v>4859</v>
      </c>
      <c r="H3635" s="4" t="s">
        <v>32</v>
      </c>
      <c r="I3635" s="4" t="s">
        <v>33</v>
      </c>
      <c r="J3635" s="4">
        <v>0</v>
      </c>
      <c r="K3635" s="4">
        <v>0</v>
      </c>
      <c r="L3635" s="4">
        <f>J3635+K3635</f>
        <v>0</v>
      </c>
      <c r="M3635" s="4" t="s">
        <v>370</v>
      </c>
      <c r="N3635" s="4"/>
      <c r="O3635" s="4">
        <v>1</v>
      </c>
      <c r="P3635" s="4" t="s">
        <v>135</v>
      </c>
      <c r="Q3635" s="4" t="s">
        <v>44</v>
      </c>
      <c r="R3635" s="7">
        <v>1200000</v>
      </c>
      <c r="S3635" s="7">
        <v>0</v>
      </c>
      <c r="T3635" s="7">
        <f>R3635-S3635</f>
        <v>0</v>
      </c>
      <c r="U3635" s="7">
        <f>T3635*O3635</f>
        <v>0</v>
      </c>
    </row>
    <row r="3636" spans="1:21">
      <c r="A3636" s="4" t="s">
        <v>4860</v>
      </c>
      <c r="B3636" s="4" t="s">
        <v>39</v>
      </c>
      <c r="C3636" s="5">
        <v>45977.66799768519</v>
      </c>
      <c r="D3636" s="5">
        <v>45977</v>
      </c>
      <c r="E3636" s="6">
        <f>IF(AND(C3636&lt;&gt;"",D3636&lt;&gt;""),D3636-C3636,"")</f>
        <v>0</v>
      </c>
      <c r="F3636" s="4" t="s">
        <v>162</v>
      </c>
      <c r="G3636" s="4" t="s">
        <v>163</v>
      </c>
      <c r="H3636" s="4" t="s">
        <v>32</v>
      </c>
      <c r="I3636" s="4" t="s">
        <v>33</v>
      </c>
      <c r="J3636" s="4">
        <v>1</v>
      </c>
      <c r="K3636" s="4">
        <v>0</v>
      </c>
      <c r="L3636" s="4">
        <f>J3636+K3636</f>
        <v>0</v>
      </c>
      <c r="M3636" s="4" t="s">
        <v>80</v>
      </c>
      <c r="N3636" s="4"/>
      <c r="O3636" s="4">
        <v>1</v>
      </c>
      <c r="P3636" s="4" t="s">
        <v>135</v>
      </c>
      <c r="Q3636" s="4" t="s">
        <v>44</v>
      </c>
      <c r="R3636" s="7">
        <v>610000</v>
      </c>
      <c r="S3636" s="7">
        <v>61000</v>
      </c>
      <c r="T3636" s="7">
        <f>R3636-S3636</f>
        <v>0</v>
      </c>
      <c r="U3636" s="7">
        <f>T3636*O3636</f>
        <v>0</v>
      </c>
    </row>
    <row r="3637" spans="1:21">
      <c r="A3637" s="4" t="s">
        <v>4860</v>
      </c>
      <c r="B3637" s="4" t="s">
        <v>39</v>
      </c>
      <c r="C3637" s="5">
        <v>45977.66799768519</v>
      </c>
      <c r="D3637" s="5">
        <v>45977</v>
      </c>
      <c r="E3637" s="6">
        <f>IF(AND(C3637&lt;&gt;"",D3637&lt;&gt;""),D3637-C3637,"")</f>
        <v>0</v>
      </c>
      <c r="F3637" s="4" t="s">
        <v>162</v>
      </c>
      <c r="G3637" s="4" t="s">
        <v>163</v>
      </c>
      <c r="H3637" s="4" t="s">
        <v>32</v>
      </c>
      <c r="I3637" s="4" t="s">
        <v>33</v>
      </c>
      <c r="J3637" s="4">
        <v>1</v>
      </c>
      <c r="K3637" s="4">
        <v>0</v>
      </c>
      <c r="L3637" s="4">
        <f>J3637+K3637</f>
        <v>0</v>
      </c>
      <c r="M3637" s="4" t="s">
        <v>42</v>
      </c>
      <c r="N3637" s="4"/>
      <c r="O3637" s="4">
        <v>1</v>
      </c>
      <c r="P3637" s="4" t="s">
        <v>135</v>
      </c>
      <c r="Q3637" s="4" t="s">
        <v>44</v>
      </c>
      <c r="R3637" s="7">
        <v>370000</v>
      </c>
      <c r="S3637" s="7">
        <v>0</v>
      </c>
      <c r="T3637" s="7">
        <f>R3637-S3637</f>
        <v>0</v>
      </c>
      <c r="U3637" s="7">
        <f>T3637*O3637</f>
        <v>0</v>
      </c>
    </row>
    <row r="3638" spans="1:21">
      <c r="A3638" s="4" t="s">
        <v>4860</v>
      </c>
      <c r="B3638" s="4" t="s">
        <v>39</v>
      </c>
      <c r="C3638" s="5">
        <v>45977.66799768519</v>
      </c>
      <c r="D3638" s="5">
        <v>45977</v>
      </c>
      <c r="E3638" s="6">
        <f>IF(AND(C3638&lt;&gt;"",D3638&lt;&gt;""),D3638-C3638,"")</f>
        <v>0</v>
      </c>
      <c r="F3638" s="4" t="s">
        <v>162</v>
      </c>
      <c r="G3638" s="4" t="s">
        <v>163</v>
      </c>
      <c r="H3638" s="4" t="s">
        <v>32</v>
      </c>
      <c r="I3638" s="4" t="s">
        <v>33</v>
      </c>
      <c r="J3638" s="4">
        <v>0</v>
      </c>
      <c r="K3638" s="4">
        <v>1</v>
      </c>
      <c r="L3638" s="4">
        <f>J3638+K3638</f>
        <v>0</v>
      </c>
      <c r="M3638" s="4" t="s">
        <v>81</v>
      </c>
      <c r="N3638" s="4"/>
      <c r="O3638" s="4">
        <v>1</v>
      </c>
      <c r="P3638" s="4" t="s">
        <v>135</v>
      </c>
      <c r="Q3638" s="4" t="s">
        <v>44</v>
      </c>
      <c r="R3638" s="7">
        <v>495000</v>
      </c>
      <c r="S3638" s="7">
        <v>49500</v>
      </c>
      <c r="T3638" s="7">
        <f>R3638-S3638</f>
        <v>0</v>
      </c>
      <c r="U3638" s="7">
        <f>T3638*O3638</f>
        <v>0</v>
      </c>
    </row>
    <row r="3639" spans="1:21">
      <c r="A3639" s="4" t="s">
        <v>4861</v>
      </c>
      <c r="B3639" s="4" t="s">
        <v>39</v>
      </c>
      <c r="C3639" s="5">
        <v>45977.72616898148</v>
      </c>
      <c r="D3639" s="5">
        <v>45977</v>
      </c>
      <c r="E3639" s="6">
        <f>IF(AND(C3639&lt;&gt;"",D3639&lt;&gt;""),D3639-C3639,"")</f>
        <v>0</v>
      </c>
      <c r="F3639" s="4" t="s">
        <v>4862</v>
      </c>
      <c r="G3639" s="4" t="s">
        <v>4863</v>
      </c>
      <c r="H3639" s="4" t="s">
        <v>32</v>
      </c>
      <c r="I3639" s="4" t="s">
        <v>33</v>
      </c>
      <c r="J3639" s="4">
        <v>0</v>
      </c>
      <c r="K3639" s="4">
        <v>0</v>
      </c>
      <c r="L3639" s="4">
        <f>J3639+K3639</f>
        <v>0</v>
      </c>
      <c r="M3639" s="4" t="s">
        <v>370</v>
      </c>
      <c r="N3639" s="4"/>
      <c r="O3639" s="4">
        <v>1</v>
      </c>
      <c r="P3639" s="4" t="s">
        <v>135</v>
      </c>
      <c r="Q3639" s="4" t="s">
        <v>44</v>
      </c>
      <c r="R3639" s="7">
        <v>1200000</v>
      </c>
      <c r="S3639" s="7">
        <v>0</v>
      </c>
      <c r="T3639" s="7">
        <f>R3639-S3639</f>
        <v>0</v>
      </c>
      <c r="U3639" s="7">
        <f>T3639*O3639</f>
        <v>0</v>
      </c>
    </row>
    <row r="3640" spans="1:21">
      <c r="A3640" s="4" t="s">
        <v>4864</v>
      </c>
      <c r="B3640" s="4" t="s">
        <v>39</v>
      </c>
      <c r="C3640" s="5">
        <v>45977.72665509259</v>
      </c>
      <c r="D3640" s="5">
        <v>45977</v>
      </c>
      <c r="E3640" s="6">
        <f>IF(AND(C3640&lt;&gt;"",D3640&lt;&gt;""),D3640-C3640,"")</f>
        <v>0</v>
      </c>
      <c r="F3640" s="4" t="s">
        <v>4862</v>
      </c>
      <c r="G3640" s="4" t="s">
        <v>4863</v>
      </c>
      <c r="H3640" s="4" t="s">
        <v>32</v>
      </c>
      <c r="I3640" s="4" t="s">
        <v>33</v>
      </c>
      <c r="J3640" s="4">
        <v>0</v>
      </c>
      <c r="K3640" s="4">
        <v>0</v>
      </c>
      <c r="L3640" s="4">
        <f>J3640+K3640</f>
        <v>0</v>
      </c>
      <c r="M3640" s="4" t="s">
        <v>370</v>
      </c>
      <c r="N3640" s="4"/>
      <c r="O3640" s="4">
        <v>1</v>
      </c>
      <c r="P3640" s="4" t="s">
        <v>135</v>
      </c>
      <c r="Q3640" s="4" t="s">
        <v>44</v>
      </c>
      <c r="R3640" s="7">
        <v>4000000</v>
      </c>
      <c r="S3640" s="7">
        <v>0</v>
      </c>
      <c r="T3640" s="7">
        <f>R3640-S3640</f>
        <v>0</v>
      </c>
      <c r="U3640" s="7">
        <f>T3640*O3640</f>
        <v>0</v>
      </c>
    </row>
    <row r="3641" spans="1:21">
      <c r="A3641" s="4" t="s">
        <v>4865</v>
      </c>
      <c r="B3641" s="4" t="s">
        <v>39</v>
      </c>
      <c r="C3641" s="5">
        <v>45977.73831018519</v>
      </c>
      <c r="D3641" s="5">
        <v>45977</v>
      </c>
      <c r="E3641" s="6">
        <f>IF(AND(C3641&lt;&gt;"",D3641&lt;&gt;""),D3641-C3641,"")</f>
        <v>0</v>
      </c>
      <c r="F3641" s="4" t="s">
        <v>4862</v>
      </c>
      <c r="G3641" s="4" t="s">
        <v>4863</v>
      </c>
      <c r="H3641" s="4" t="s">
        <v>32</v>
      </c>
      <c r="I3641" s="4" t="s">
        <v>33</v>
      </c>
      <c r="J3641" s="4">
        <v>0</v>
      </c>
      <c r="K3641" s="4">
        <v>0</v>
      </c>
      <c r="L3641" s="4">
        <f>J3641+K3641</f>
        <v>0</v>
      </c>
      <c r="M3641" s="4" t="s">
        <v>3630</v>
      </c>
      <c r="N3641" s="4"/>
      <c r="O3641" s="4">
        <v>-2</v>
      </c>
      <c r="P3641" s="4" t="s">
        <v>135</v>
      </c>
      <c r="Q3641" s="4"/>
      <c r="R3641" s="7">
        <v>15000</v>
      </c>
      <c r="S3641" s="7">
        <v>0</v>
      </c>
      <c r="T3641" s="7">
        <f>R3641-S3641</f>
        <v>0</v>
      </c>
      <c r="U3641" s="7">
        <f>T3641*O3641</f>
        <v>0</v>
      </c>
    </row>
    <row r="3642" spans="1:21">
      <c r="A3642" s="4" t="s">
        <v>4865</v>
      </c>
      <c r="B3642" s="4" t="s">
        <v>39</v>
      </c>
      <c r="C3642" s="5">
        <v>45977.73831018519</v>
      </c>
      <c r="D3642" s="5">
        <v>45977</v>
      </c>
      <c r="E3642" s="6">
        <f>IF(AND(C3642&lt;&gt;"",D3642&lt;&gt;""),D3642-C3642,"")</f>
        <v>0</v>
      </c>
      <c r="F3642" s="4" t="s">
        <v>4862</v>
      </c>
      <c r="G3642" s="4" t="s">
        <v>4863</v>
      </c>
      <c r="H3642" s="4" t="s">
        <v>32</v>
      </c>
      <c r="I3642" s="4" t="s">
        <v>33</v>
      </c>
      <c r="J3642" s="4">
        <v>0</v>
      </c>
      <c r="K3642" s="4">
        <v>0</v>
      </c>
      <c r="L3642" s="4">
        <f>J3642+K3642</f>
        <v>0</v>
      </c>
      <c r="M3642" s="4" t="s">
        <v>2560</v>
      </c>
      <c r="N3642" s="4"/>
      <c r="O3642" s="4">
        <v>1</v>
      </c>
      <c r="P3642" s="4" t="s">
        <v>135</v>
      </c>
      <c r="Q3642" s="4"/>
      <c r="R3642" s="7">
        <v>30000</v>
      </c>
      <c r="S3642" s="7">
        <v>0</v>
      </c>
      <c r="T3642" s="7">
        <f>R3642-S3642</f>
        <v>0</v>
      </c>
      <c r="U3642" s="7">
        <f>T3642*O3642</f>
        <v>0</v>
      </c>
    </row>
    <row r="3643" spans="1:21">
      <c r="A3643" s="4" t="s">
        <v>4866</v>
      </c>
      <c r="B3643" s="4" t="s">
        <v>39</v>
      </c>
      <c r="C3643" s="5">
        <v>45977.73979166667</v>
      </c>
      <c r="D3643" s="5">
        <v>45977</v>
      </c>
      <c r="E3643" s="6">
        <f>IF(AND(C3643&lt;&gt;"",D3643&lt;&gt;""),D3643-C3643,"")</f>
        <v>0</v>
      </c>
      <c r="F3643" s="4" t="s">
        <v>4862</v>
      </c>
      <c r="G3643" s="4" t="s">
        <v>4863</v>
      </c>
      <c r="H3643" s="4" t="s">
        <v>32</v>
      </c>
      <c r="I3643" s="4" t="s">
        <v>33</v>
      </c>
      <c r="J3643" s="4">
        <v>0</v>
      </c>
      <c r="K3643" s="4">
        <v>0</v>
      </c>
      <c r="L3643" s="4">
        <f>J3643+K3643</f>
        <v>0</v>
      </c>
      <c r="M3643" s="4" t="s">
        <v>370</v>
      </c>
      <c r="N3643" s="4"/>
      <c r="O3643" s="4">
        <v>1</v>
      </c>
      <c r="P3643" s="4" t="s">
        <v>135</v>
      </c>
      <c r="Q3643" s="4"/>
      <c r="R3643" s="7">
        <v>2000000</v>
      </c>
      <c r="S3643" s="7">
        <v>0</v>
      </c>
      <c r="T3643" s="7">
        <f>R3643-S3643</f>
        <v>0</v>
      </c>
      <c r="U3643" s="7">
        <f>T3643*O3643</f>
        <v>0</v>
      </c>
    </row>
    <row r="3644" spans="1:21">
      <c r="A3644" s="4" t="s">
        <v>4867</v>
      </c>
      <c r="B3644" s="4" t="s">
        <v>39</v>
      </c>
      <c r="C3644" s="5">
        <v>45977.74776620371</v>
      </c>
      <c r="D3644" s="5">
        <v>45977</v>
      </c>
      <c r="E3644" s="6">
        <f>IF(AND(C3644&lt;&gt;"",D3644&lt;&gt;""),D3644-C3644,"")</f>
        <v>0</v>
      </c>
      <c r="F3644" s="4" t="s">
        <v>4868</v>
      </c>
      <c r="G3644" s="4" t="s">
        <v>4869</v>
      </c>
      <c r="H3644" s="4" t="s">
        <v>32</v>
      </c>
      <c r="I3644" s="4" t="s">
        <v>33</v>
      </c>
      <c r="J3644" s="4">
        <v>0</v>
      </c>
      <c r="K3644" s="4">
        <v>0</v>
      </c>
      <c r="L3644" s="4">
        <f>J3644+K3644</f>
        <v>0</v>
      </c>
      <c r="M3644" s="4" t="s">
        <v>370</v>
      </c>
      <c r="N3644" s="4"/>
      <c r="O3644" s="4">
        <v>1</v>
      </c>
      <c r="P3644" s="4" t="s">
        <v>135</v>
      </c>
      <c r="Q3644" s="4" t="s">
        <v>44</v>
      </c>
      <c r="R3644" s="7">
        <v>1000000</v>
      </c>
      <c r="S3644" s="7">
        <v>0</v>
      </c>
      <c r="T3644" s="7">
        <f>R3644-S3644</f>
        <v>0</v>
      </c>
      <c r="U3644" s="7">
        <f>T3644*O3644</f>
        <v>0</v>
      </c>
    </row>
    <row r="3645" spans="1:21">
      <c r="A3645" s="4" t="s">
        <v>4870</v>
      </c>
      <c r="B3645" s="4" t="s">
        <v>39</v>
      </c>
      <c r="C3645" s="5">
        <v>45977.74866898148</v>
      </c>
      <c r="D3645" s="5">
        <v>45977</v>
      </c>
      <c r="E3645" s="6">
        <f>IF(AND(C3645&lt;&gt;"",D3645&lt;&gt;""),D3645-C3645,"")</f>
        <v>0</v>
      </c>
      <c r="F3645" s="4" t="s">
        <v>4868</v>
      </c>
      <c r="G3645" s="4" t="s">
        <v>4869</v>
      </c>
      <c r="H3645" s="4" t="s">
        <v>32</v>
      </c>
      <c r="I3645" s="4" t="s">
        <v>33</v>
      </c>
      <c r="J3645" s="4">
        <v>0</v>
      </c>
      <c r="K3645" s="4">
        <v>0</v>
      </c>
      <c r="L3645" s="4">
        <f>J3645+K3645</f>
        <v>0</v>
      </c>
      <c r="M3645" s="4" t="s">
        <v>370</v>
      </c>
      <c r="N3645" s="4"/>
      <c r="O3645" s="4">
        <v>1</v>
      </c>
      <c r="P3645" s="4" t="s">
        <v>135</v>
      </c>
      <c r="Q3645" s="4" t="s">
        <v>44</v>
      </c>
      <c r="R3645" s="7">
        <v>1200000</v>
      </c>
      <c r="S3645" s="7">
        <v>0</v>
      </c>
      <c r="T3645" s="7">
        <f>R3645-S3645</f>
        <v>0</v>
      </c>
      <c r="U3645" s="7">
        <f>T3645*O3645</f>
        <v>0</v>
      </c>
    </row>
    <row r="3646" spans="1:21">
      <c r="A3646" s="4" t="s">
        <v>4871</v>
      </c>
      <c r="B3646" s="4" t="s">
        <v>48</v>
      </c>
      <c r="C3646" s="5">
        <v>45978.12141203704</v>
      </c>
      <c r="D3646" s="5">
        <v>45979</v>
      </c>
      <c r="E3646" s="6">
        <f>IF(AND(C3646&lt;&gt;"",D3646&lt;&gt;""),D3646-C3646,"")</f>
        <v>0</v>
      </c>
      <c r="F3646" s="4" t="s">
        <v>64</v>
      </c>
      <c r="G3646" s="4" t="s">
        <v>4872</v>
      </c>
      <c r="H3646" s="4" t="s">
        <v>32</v>
      </c>
      <c r="I3646" s="4" t="s">
        <v>33</v>
      </c>
      <c r="J3646" s="4">
        <v>2</v>
      </c>
      <c r="K3646" s="4">
        <v>2</v>
      </c>
      <c r="L3646" s="4">
        <f>J3646+K3646</f>
        <v>0</v>
      </c>
      <c r="M3646" s="4"/>
      <c r="N3646" s="4"/>
      <c r="O3646" s="4">
        <v>0</v>
      </c>
      <c r="P3646" s="4"/>
      <c r="Q3646" s="4"/>
      <c r="R3646" s="7">
        <v>0</v>
      </c>
      <c r="S3646" s="7">
        <v>0</v>
      </c>
      <c r="T3646" s="7">
        <f>R3646-S3646</f>
        <v>0</v>
      </c>
      <c r="U3646" s="7">
        <f>T3646*O3646</f>
        <v>0</v>
      </c>
    </row>
    <row r="3647" spans="1:21">
      <c r="A3647" s="4" t="s">
        <v>4873</v>
      </c>
      <c r="B3647" s="4" t="s">
        <v>48</v>
      </c>
      <c r="C3647" s="5">
        <v>45978.12422453704</v>
      </c>
      <c r="D3647" s="5">
        <v>45978</v>
      </c>
      <c r="E3647" s="6">
        <f>IF(AND(C3647&lt;&gt;"",D3647&lt;&gt;""),D3647-C3647,"")</f>
        <v>0</v>
      </c>
      <c r="F3647" s="4" t="s">
        <v>64</v>
      </c>
      <c r="G3647" s="4" t="s">
        <v>4874</v>
      </c>
      <c r="H3647" s="4" t="s">
        <v>32</v>
      </c>
      <c r="I3647" s="4" t="s">
        <v>33</v>
      </c>
      <c r="J3647" s="4">
        <v>2</v>
      </c>
      <c r="K3647" s="4">
        <v>2</v>
      </c>
      <c r="L3647" s="4">
        <f>J3647+K3647</f>
        <v>0</v>
      </c>
      <c r="M3647" s="4"/>
      <c r="N3647" s="4"/>
      <c r="O3647" s="4">
        <v>0</v>
      </c>
      <c r="P3647" s="4"/>
      <c r="Q3647" s="4"/>
      <c r="R3647" s="7">
        <v>0</v>
      </c>
      <c r="S3647" s="7">
        <v>0</v>
      </c>
      <c r="T3647" s="7">
        <f>R3647-S3647</f>
        <v>0</v>
      </c>
      <c r="U3647" s="7">
        <f>T3647*O3647</f>
        <v>0</v>
      </c>
    </row>
    <row r="3648" spans="1:21">
      <c r="A3648" s="4" t="s">
        <v>4875</v>
      </c>
      <c r="B3648" s="4" t="s">
        <v>48</v>
      </c>
      <c r="C3648" s="5">
        <v>45978.1299537037</v>
      </c>
      <c r="D3648" s="5">
        <v>45978</v>
      </c>
      <c r="E3648" s="6">
        <f>IF(AND(C3648&lt;&gt;"",D3648&lt;&gt;""),D3648-C3648,"")</f>
        <v>0</v>
      </c>
      <c r="F3648" s="4" t="s">
        <v>64</v>
      </c>
      <c r="G3648" s="4" t="s">
        <v>4876</v>
      </c>
      <c r="H3648" s="4" t="s">
        <v>32</v>
      </c>
      <c r="I3648" s="4" t="s">
        <v>33</v>
      </c>
      <c r="J3648" s="4">
        <v>3</v>
      </c>
      <c r="K3648" s="4">
        <v>2</v>
      </c>
      <c r="L3648" s="4">
        <f>J3648+K3648</f>
        <v>0</v>
      </c>
      <c r="M3648" s="4"/>
      <c r="N3648" s="4"/>
      <c r="O3648" s="4">
        <v>0</v>
      </c>
      <c r="P3648" s="4"/>
      <c r="Q3648" s="4"/>
      <c r="R3648" s="7">
        <v>0</v>
      </c>
      <c r="S3648" s="7">
        <v>0</v>
      </c>
      <c r="T3648" s="7">
        <f>R3648-S3648</f>
        <v>0</v>
      </c>
      <c r="U3648" s="7">
        <f>T3648*O3648</f>
        <v>0</v>
      </c>
    </row>
    <row r="3649" spans="1:21">
      <c r="A3649" s="4" t="s">
        <v>4877</v>
      </c>
      <c r="B3649" s="4" t="s">
        <v>48</v>
      </c>
      <c r="C3649" s="5">
        <v>45978.13322916667</v>
      </c>
      <c r="D3649" s="5">
        <v>45978</v>
      </c>
      <c r="E3649" s="6">
        <f>IF(AND(C3649&lt;&gt;"",D3649&lt;&gt;""),D3649-C3649,"")</f>
        <v>0</v>
      </c>
      <c r="F3649" s="4" t="s">
        <v>64</v>
      </c>
      <c r="G3649" s="4" t="s">
        <v>4878</v>
      </c>
      <c r="H3649" s="4" t="s">
        <v>32</v>
      </c>
      <c r="I3649" s="4" t="s">
        <v>33</v>
      </c>
      <c r="J3649" s="4">
        <v>5</v>
      </c>
      <c r="K3649" s="4">
        <v>3</v>
      </c>
      <c r="L3649" s="4">
        <f>J3649+K3649</f>
        <v>0</v>
      </c>
      <c r="M3649" s="4"/>
      <c r="N3649" s="4"/>
      <c r="O3649" s="4">
        <v>0</v>
      </c>
      <c r="P3649" s="4"/>
      <c r="Q3649" s="4"/>
      <c r="R3649" s="7">
        <v>0</v>
      </c>
      <c r="S3649" s="7">
        <v>0</v>
      </c>
      <c r="T3649" s="7">
        <f>R3649-S3649</f>
        <v>0</v>
      </c>
      <c r="U3649" s="7">
        <f>T3649*O3649</f>
        <v>0</v>
      </c>
    </row>
    <row r="3650" spans="1:21">
      <c r="A3650" s="4" t="s">
        <v>4879</v>
      </c>
      <c r="B3650" s="4" t="s">
        <v>48</v>
      </c>
      <c r="C3650" s="5">
        <v>45978.13663194444</v>
      </c>
      <c r="D3650" s="5">
        <v>45978</v>
      </c>
      <c r="E3650" s="6">
        <f>IF(AND(C3650&lt;&gt;"",D3650&lt;&gt;""),D3650-C3650,"")</f>
        <v>0</v>
      </c>
      <c r="F3650" s="4" t="s">
        <v>64</v>
      </c>
      <c r="G3650" s="4" t="s">
        <v>4880</v>
      </c>
      <c r="H3650" s="4" t="s">
        <v>32</v>
      </c>
      <c r="I3650" s="4" t="s">
        <v>33</v>
      </c>
      <c r="J3650" s="4">
        <v>4</v>
      </c>
      <c r="K3650" s="4">
        <v>2</v>
      </c>
      <c r="L3650" s="4">
        <f>J3650+K3650</f>
        <v>0</v>
      </c>
      <c r="M3650" s="4"/>
      <c r="N3650" s="4"/>
      <c r="O3650" s="4">
        <v>0</v>
      </c>
      <c r="P3650" s="4"/>
      <c r="Q3650" s="4"/>
      <c r="R3650" s="7">
        <v>0</v>
      </c>
      <c r="S3650" s="7">
        <v>0</v>
      </c>
      <c r="T3650" s="7">
        <f>R3650-S3650</f>
        <v>0</v>
      </c>
      <c r="U3650" s="7">
        <f>T3650*O3650</f>
        <v>0</v>
      </c>
    </row>
    <row r="3651" spans="1:21">
      <c r="A3651" s="4" t="s">
        <v>4881</v>
      </c>
      <c r="B3651" s="4" t="s">
        <v>39</v>
      </c>
      <c r="C3651" s="5">
        <v>45978.17085648148</v>
      </c>
      <c r="D3651" s="5">
        <v>45978</v>
      </c>
      <c r="E3651" s="6">
        <f>IF(AND(C3651&lt;&gt;"",D3651&lt;&gt;""),D3651-C3651,"")</f>
        <v>0</v>
      </c>
      <c r="F3651" s="4" t="s">
        <v>4882</v>
      </c>
      <c r="G3651" s="4" t="s">
        <v>4883</v>
      </c>
      <c r="H3651" s="4" t="s">
        <v>32</v>
      </c>
      <c r="I3651" s="4" t="s">
        <v>33</v>
      </c>
      <c r="J3651" s="4">
        <v>0</v>
      </c>
      <c r="K3651" s="4">
        <v>0</v>
      </c>
      <c r="L3651" s="4">
        <f>J3651+K3651</f>
        <v>0</v>
      </c>
      <c r="M3651" s="4" t="s">
        <v>3630</v>
      </c>
      <c r="N3651" s="4"/>
      <c r="O3651" s="4">
        <v>1</v>
      </c>
      <c r="P3651" s="4" t="s">
        <v>135</v>
      </c>
      <c r="Q3651" s="4" t="s">
        <v>44</v>
      </c>
      <c r="R3651" s="7">
        <v>15000</v>
      </c>
      <c r="S3651" s="7">
        <v>0</v>
      </c>
      <c r="T3651" s="7">
        <f>R3651-S3651</f>
        <v>0</v>
      </c>
      <c r="U3651" s="7">
        <f>T3651*O3651</f>
        <v>0</v>
      </c>
    </row>
    <row r="3652" spans="1:21">
      <c r="A3652" s="4" t="s">
        <v>4881</v>
      </c>
      <c r="B3652" s="4" t="s">
        <v>39</v>
      </c>
      <c r="C3652" s="5">
        <v>45978.17085648148</v>
      </c>
      <c r="D3652" s="5">
        <v>45978</v>
      </c>
      <c r="E3652" s="6">
        <f>IF(AND(C3652&lt;&gt;"",D3652&lt;&gt;""),D3652-C3652,"")</f>
        <v>0</v>
      </c>
      <c r="F3652" s="4" t="s">
        <v>4882</v>
      </c>
      <c r="G3652" s="4" t="s">
        <v>4883</v>
      </c>
      <c r="H3652" s="4" t="s">
        <v>32</v>
      </c>
      <c r="I3652" s="4" t="s">
        <v>33</v>
      </c>
      <c r="J3652" s="4">
        <v>0</v>
      </c>
      <c r="K3652" s="4">
        <v>0</v>
      </c>
      <c r="L3652" s="4">
        <f>J3652+K3652</f>
        <v>0</v>
      </c>
      <c r="M3652" s="4" t="s">
        <v>4884</v>
      </c>
      <c r="N3652" s="4" t="s">
        <v>4885</v>
      </c>
      <c r="O3652" s="4">
        <v>1</v>
      </c>
      <c r="P3652" s="4" t="s">
        <v>135</v>
      </c>
      <c r="Q3652" s="4" t="s">
        <v>44</v>
      </c>
      <c r="R3652" s="7">
        <v>-5000</v>
      </c>
      <c r="S3652" s="7">
        <v>0</v>
      </c>
      <c r="T3652" s="7">
        <f>R3652-S3652</f>
        <v>0</v>
      </c>
      <c r="U3652" s="7">
        <f>T3652*O3652</f>
        <v>0</v>
      </c>
    </row>
    <row r="3653" spans="1:21">
      <c r="A3653" s="4" t="s">
        <v>4886</v>
      </c>
      <c r="B3653" s="4" t="s">
        <v>122</v>
      </c>
      <c r="C3653" s="5">
        <v>45978.18378472222</v>
      </c>
      <c r="D3653" s="5">
        <v>45978</v>
      </c>
      <c r="E3653" s="6">
        <f>IF(AND(C3653&lt;&gt;"",D3653&lt;&gt;""),D3653-C3653,"")</f>
        <v>0</v>
      </c>
      <c r="F3653" s="4" t="s">
        <v>30</v>
      </c>
      <c r="G3653" s="4" t="s">
        <v>31</v>
      </c>
      <c r="H3653" s="4" t="s">
        <v>32</v>
      </c>
      <c r="I3653" s="4" t="s">
        <v>33</v>
      </c>
      <c r="J3653" s="4">
        <v>1</v>
      </c>
      <c r="K3653" s="4">
        <v>0</v>
      </c>
      <c r="L3653" s="4">
        <f>J3653+K3653</f>
        <v>0</v>
      </c>
      <c r="M3653" s="4"/>
      <c r="N3653" s="4"/>
      <c r="O3653" s="4">
        <v>0</v>
      </c>
      <c r="P3653" s="4"/>
      <c r="Q3653" s="4"/>
      <c r="R3653" s="7">
        <v>0</v>
      </c>
      <c r="S3653" s="7">
        <v>0</v>
      </c>
      <c r="T3653" s="7">
        <f>R3653-S3653</f>
        <v>0</v>
      </c>
      <c r="U3653" s="7">
        <f>T3653*O3653</f>
        <v>0</v>
      </c>
    </row>
    <row r="3654" spans="1:21">
      <c r="A3654" s="4" t="s">
        <v>4887</v>
      </c>
      <c r="B3654" s="4" t="s">
        <v>39</v>
      </c>
      <c r="C3654" s="5">
        <v>45978.18956018519</v>
      </c>
      <c r="D3654" s="5">
        <v>45978</v>
      </c>
      <c r="E3654" s="6">
        <f>IF(AND(C3654&lt;&gt;"",D3654&lt;&gt;""),D3654-C3654,"")</f>
        <v>0</v>
      </c>
      <c r="F3654" s="4" t="s">
        <v>4888</v>
      </c>
      <c r="G3654" s="4" t="s">
        <v>4889</v>
      </c>
      <c r="H3654" s="4" t="s">
        <v>32</v>
      </c>
      <c r="I3654" s="4" t="s">
        <v>33</v>
      </c>
      <c r="J3654" s="4">
        <v>0</v>
      </c>
      <c r="K3654" s="4">
        <v>0</v>
      </c>
      <c r="L3654" s="4">
        <f>J3654+K3654</f>
        <v>0</v>
      </c>
      <c r="M3654" s="4" t="s">
        <v>3630</v>
      </c>
      <c r="N3654" s="4"/>
      <c r="O3654" s="4">
        <v>1</v>
      </c>
      <c r="P3654" s="4" t="s">
        <v>135</v>
      </c>
      <c r="Q3654" s="4"/>
      <c r="R3654" s="7">
        <v>15000</v>
      </c>
      <c r="S3654" s="7">
        <v>0</v>
      </c>
      <c r="T3654" s="7">
        <f>R3654-S3654</f>
        <v>0</v>
      </c>
      <c r="U3654" s="7">
        <f>T3654*O3654</f>
        <v>0</v>
      </c>
    </row>
    <row r="3655" spans="1:21">
      <c r="A3655" s="4" t="s">
        <v>4890</v>
      </c>
      <c r="B3655" s="4" t="s">
        <v>39</v>
      </c>
      <c r="C3655" s="5">
        <v>45978.20547453704</v>
      </c>
      <c r="D3655" s="5">
        <v>45978</v>
      </c>
      <c r="E3655" s="6">
        <f>IF(AND(C3655&lt;&gt;"",D3655&lt;&gt;""),D3655-C3655,"")</f>
        <v>0</v>
      </c>
      <c r="F3655" s="4" t="s">
        <v>114</v>
      </c>
      <c r="G3655" s="4"/>
      <c r="H3655" s="4"/>
      <c r="I3655" s="4" t="s">
        <v>56</v>
      </c>
      <c r="J3655" s="4">
        <v>1</v>
      </c>
      <c r="K3655" s="4">
        <v>0</v>
      </c>
      <c r="L3655" s="4">
        <f>J3655+K3655</f>
        <v>0</v>
      </c>
      <c r="M3655" s="4" t="s">
        <v>42</v>
      </c>
      <c r="N3655" s="4"/>
      <c r="O3655" s="4">
        <v>1</v>
      </c>
      <c r="P3655" s="4" t="s">
        <v>135</v>
      </c>
      <c r="Q3655" s="4" t="s">
        <v>44</v>
      </c>
      <c r="R3655" s="7">
        <v>370000</v>
      </c>
      <c r="S3655" s="7">
        <v>0</v>
      </c>
      <c r="T3655" s="7">
        <f>R3655-S3655</f>
        <v>0</v>
      </c>
      <c r="U3655" s="7">
        <f>T3655*O3655</f>
        <v>0</v>
      </c>
    </row>
    <row r="3656" spans="1:21">
      <c r="A3656" s="4" t="s">
        <v>4891</v>
      </c>
      <c r="B3656" s="4" t="s">
        <v>39</v>
      </c>
      <c r="C3656" s="5">
        <v>45978.20572916666</v>
      </c>
      <c r="D3656" s="5">
        <v>45978</v>
      </c>
      <c r="E3656" s="6">
        <f>IF(AND(C3656&lt;&gt;"",D3656&lt;&gt;""),D3656-C3656,"")</f>
        <v>0</v>
      </c>
      <c r="F3656" s="4" t="s">
        <v>4095</v>
      </c>
      <c r="G3656" s="4" t="s">
        <v>4892</v>
      </c>
      <c r="H3656" s="4" t="s">
        <v>32</v>
      </c>
      <c r="I3656" s="4" t="s">
        <v>33</v>
      </c>
      <c r="J3656" s="4">
        <v>0</v>
      </c>
      <c r="K3656" s="4">
        <v>0</v>
      </c>
      <c r="L3656" s="4">
        <f>J3656+K3656</f>
        <v>0</v>
      </c>
      <c r="M3656" s="4" t="s">
        <v>731</v>
      </c>
      <c r="N3656" s="4"/>
      <c r="O3656" s="4">
        <v>1</v>
      </c>
      <c r="P3656" s="4" t="s">
        <v>135</v>
      </c>
      <c r="Q3656" s="4" t="s">
        <v>44</v>
      </c>
      <c r="R3656" s="7">
        <v>420000</v>
      </c>
      <c r="S3656" s="7">
        <v>0</v>
      </c>
      <c r="T3656" s="7">
        <f>R3656-S3656</f>
        <v>0</v>
      </c>
      <c r="U3656" s="7">
        <f>T3656*O3656</f>
        <v>0</v>
      </c>
    </row>
    <row r="3657" spans="1:21">
      <c r="A3657" s="4" t="s">
        <v>4893</v>
      </c>
      <c r="B3657" s="4" t="s">
        <v>39</v>
      </c>
      <c r="C3657" s="5">
        <v>45978.22574074074</v>
      </c>
      <c r="D3657" s="5">
        <v>45978</v>
      </c>
      <c r="E3657" s="6">
        <f>IF(AND(C3657&lt;&gt;"",D3657&lt;&gt;""),D3657-C3657,"")</f>
        <v>0</v>
      </c>
      <c r="F3657" s="4" t="s">
        <v>3620</v>
      </c>
      <c r="G3657" s="4" t="s">
        <v>4894</v>
      </c>
      <c r="H3657" s="4" t="s">
        <v>190</v>
      </c>
      <c r="I3657" s="4" t="s">
        <v>56</v>
      </c>
      <c r="J3657" s="4">
        <v>0</v>
      </c>
      <c r="K3657" s="4">
        <v>0</v>
      </c>
      <c r="L3657" s="4">
        <f>J3657+K3657</f>
        <v>0</v>
      </c>
      <c r="M3657" s="4" t="s">
        <v>731</v>
      </c>
      <c r="N3657" s="4"/>
      <c r="O3657" s="4">
        <v>1</v>
      </c>
      <c r="P3657" s="4" t="s">
        <v>135</v>
      </c>
      <c r="Q3657" s="4"/>
      <c r="R3657" s="7">
        <v>420000</v>
      </c>
      <c r="S3657" s="7">
        <v>0</v>
      </c>
      <c r="T3657" s="7">
        <f>R3657-S3657</f>
        <v>0</v>
      </c>
      <c r="U3657" s="7">
        <f>T3657*O3657</f>
        <v>0</v>
      </c>
    </row>
    <row r="3658" spans="1:21">
      <c r="A3658" s="4" t="s">
        <v>4895</v>
      </c>
      <c r="B3658" s="4" t="s">
        <v>39</v>
      </c>
      <c r="C3658" s="5">
        <v>45978.23571759259</v>
      </c>
      <c r="D3658" s="5">
        <v>45978</v>
      </c>
      <c r="E3658" s="6">
        <f>IF(AND(C3658&lt;&gt;"",D3658&lt;&gt;""),D3658-C3658,"")</f>
        <v>0</v>
      </c>
      <c r="F3658" s="4" t="s">
        <v>4896</v>
      </c>
      <c r="G3658" s="4" t="s">
        <v>4897</v>
      </c>
      <c r="H3658" s="4" t="s">
        <v>32</v>
      </c>
      <c r="I3658" s="4" t="s">
        <v>33</v>
      </c>
      <c r="J3658" s="4">
        <v>2</v>
      </c>
      <c r="K3658" s="4">
        <v>0</v>
      </c>
      <c r="L3658" s="4">
        <f>J3658+K3658</f>
        <v>0</v>
      </c>
      <c r="M3658" s="4" t="s">
        <v>80</v>
      </c>
      <c r="N3658" s="4"/>
      <c r="O3658" s="4">
        <v>2</v>
      </c>
      <c r="P3658" s="4" t="s">
        <v>135</v>
      </c>
      <c r="Q3658" s="4" t="s">
        <v>44</v>
      </c>
      <c r="R3658" s="7">
        <v>610000</v>
      </c>
      <c r="S3658" s="7">
        <v>0</v>
      </c>
      <c r="T3658" s="7">
        <f>R3658-S3658</f>
        <v>0</v>
      </c>
      <c r="U3658" s="7">
        <f>T3658*O3658</f>
        <v>0</v>
      </c>
    </row>
    <row r="3659" spans="1:21">
      <c r="A3659" s="4" t="s">
        <v>4898</v>
      </c>
      <c r="B3659" s="4" t="s">
        <v>39</v>
      </c>
      <c r="C3659" s="5">
        <v>45978.25559027777</v>
      </c>
      <c r="D3659" s="5">
        <v>45978</v>
      </c>
      <c r="E3659" s="6">
        <f>IF(AND(C3659&lt;&gt;"",D3659&lt;&gt;""),D3659-C3659,"")</f>
        <v>0</v>
      </c>
      <c r="F3659" s="4" t="s">
        <v>4899</v>
      </c>
      <c r="G3659" s="4" t="s">
        <v>4900</v>
      </c>
      <c r="H3659" s="4" t="s">
        <v>32</v>
      </c>
      <c r="I3659" s="4" t="s">
        <v>33</v>
      </c>
      <c r="J3659" s="4">
        <v>0</v>
      </c>
      <c r="K3659" s="4">
        <v>0</v>
      </c>
      <c r="L3659" s="4">
        <f>J3659+K3659</f>
        <v>0</v>
      </c>
      <c r="M3659" s="4" t="s">
        <v>3630</v>
      </c>
      <c r="N3659" s="4"/>
      <c r="O3659" s="4">
        <v>2</v>
      </c>
      <c r="P3659" s="4" t="s">
        <v>43</v>
      </c>
      <c r="Q3659" s="4"/>
      <c r="R3659" s="7">
        <v>15000</v>
      </c>
      <c r="S3659" s="7">
        <v>6000</v>
      </c>
      <c r="T3659" s="7">
        <f>R3659-S3659</f>
        <v>0</v>
      </c>
      <c r="U3659" s="7">
        <f>T3659*O3659</f>
        <v>0</v>
      </c>
    </row>
    <row r="3660" spans="1:21">
      <c r="A3660" s="4" t="s">
        <v>4898</v>
      </c>
      <c r="B3660" s="4" t="s">
        <v>39</v>
      </c>
      <c r="C3660" s="5">
        <v>45978.25559027777</v>
      </c>
      <c r="D3660" s="5">
        <v>45978</v>
      </c>
      <c r="E3660" s="6">
        <f>IF(AND(C3660&lt;&gt;"",D3660&lt;&gt;""),D3660-C3660,"")</f>
        <v>0</v>
      </c>
      <c r="F3660" s="4" t="s">
        <v>4899</v>
      </c>
      <c r="G3660" s="4" t="s">
        <v>4900</v>
      </c>
      <c r="H3660" s="4" t="s">
        <v>32</v>
      </c>
      <c r="I3660" s="4" t="s">
        <v>33</v>
      </c>
      <c r="J3660" s="4">
        <v>0</v>
      </c>
      <c r="K3660" s="4">
        <v>0</v>
      </c>
      <c r="L3660" s="4">
        <f>J3660+K3660</f>
        <v>0</v>
      </c>
      <c r="M3660" s="4" t="s">
        <v>3630</v>
      </c>
      <c r="N3660" s="4"/>
      <c r="O3660" s="4">
        <v>2</v>
      </c>
      <c r="P3660" s="4" t="s">
        <v>43</v>
      </c>
      <c r="Q3660" s="4"/>
      <c r="R3660" s="7">
        <v>15000</v>
      </c>
      <c r="S3660" s="7">
        <v>6000</v>
      </c>
      <c r="T3660" s="7">
        <f>R3660-S3660</f>
        <v>0</v>
      </c>
      <c r="U3660" s="7">
        <f>T3660*O3660</f>
        <v>0</v>
      </c>
    </row>
    <row r="3661" spans="1:21">
      <c r="A3661" s="4" t="s">
        <v>4901</v>
      </c>
      <c r="B3661" s="4" t="s">
        <v>48</v>
      </c>
      <c r="C3661" s="5">
        <v>45978.36193287037</v>
      </c>
      <c r="D3661" s="5">
        <v>45978</v>
      </c>
      <c r="E3661" s="6">
        <f>IF(AND(C3661&lt;&gt;"",D3661&lt;&gt;""),D3661-C3661,"")</f>
        <v>0</v>
      </c>
      <c r="F3661" s="4" t="s">
        <v>4902</v>
      </c>
      <c r="G3661" s="4" t="s">
        <v>4903</v>
      </c>
      <c r="H3661" s="4" t="s">
        <v>32</v>
      </c>
      <c r="I3661" s="4" t="s">
        <v>33</v>
      </c>
      <c r="J3661" s="4">
        <v>2</v>
      </c>
      <c r="K3661" s="4">
        <v>2</v>
      </c>
      <c r="L3661" s="4">
        <f>J3661+K3661</f>
        <v>0</v>
      </c>
      <c r="M3661" s="4"/>
      <c r="N3661" s="4"/>
      <c r="O3661" s="4">
        <v>0</v>
      </c>
      <c r="P3661" s="4"/>
      <c r="Q3661" s="4"/>
      <c r="R3661" s="7">
        <v>0</v>
      </c>
      <c r="S3661" s="7">
        <v>0</v>
      </c>
      <c r="T3661" s="7">
        <f>R3661-S3661</f>
        <v>0</v>
      </c>
      <c r="U3661" s="7">
        <f>T3661*O3661</f>
        <v>0</v>
      </c>
    </row>
    <row r="3662" spans="1:21">
      <c r="A3662" s="4" t="s">
        <v>4904</v>
      </c>
      <c r="B3662" s="4" t="s">
        <v>48</v>
      </c>
      <c r="C3662" s="5">
        <v>45978.37671296296</v>
      </c>
      <c r="D3662" s="5">
        <v>45978</v>
      </c>
      <c r="E3662" s="6">
        <f>IF(AND(C3662&lt;&gt;"",D3662&lt;&gt;""),D3662-C3662,"")</f>
        <v>0</v>
      </c>
      <c r="F3662" s="4" t="s">
        <v>64</v>
      </c>
      <c r="G3662" s="4" t="s">
        <v>31</v>
      </c>
      <c r="H3662" s="4" t="s">
        <v>32</v>
      </c>
      <c r="I3662" s="4" t="s">
        <v>33</v>
      </c>
      <c r="J3662" s="4">
        <v>12</v>
      </c>
      <c r="K3662" s="4">
        <v>3</v>
      </c>
      <c r="L3662" s="4">
        <f>J3662+K3662</f>
        <v>0</v>
      </c>
      <c r="M3662" s="4"/>
      <c r="N3662" s="4"/>
      <c r="O3662" s="4">
        <v>0</v>
      </c>
      <c r="P3662" s="4"/>
      <c r="Q3662" s="4"/>
      <c r="R3662" s="7">
        <v>0</v>
      </c>
      <c r="S3662" s="7">
        <v>0</v>
      </c>
      <c r="T3662" s="7">
        <f>R3662-S3662</f>
        <v>0</v>
      </c>
      <c r="U3662" s="7">
        <f>T3662*O3662</f>
        <v>0</v>
      </c>
    </row>
    <row r="3663" spans="1:21">
      <c r="A3663" s="4" t="s">
        <v>4905</v>
      </c>
      <c r="B3663" s="4" t="s">
        <v>48</v>
      </c>
      <c r="C3663" s="5">
        <v>45978.37861111111</v>
      </c>
      <c r="D3663" s="5">
        <v>45979</v>
      </c>
      <c r="E3663" s="6">
        <f>IF(AND(C3663&lt;&gt;"",D3663&lt;&gt;""),D3663-C3663,"")</f>
        <v>0</v>
      </c>
      <c r="F3663" s="4" t="s">
        <v>4720</v>
      </c>
      <c r="G3663" s="4" t="s">
        <v>4412</v>
      </c>
      <c r="H3663" s="4" t="s">
        <v>32</v>
      </c>
      <c r="I3663" s="4" t="s">
        <v>33</v>
      </c>
      <c r="J3663" s="4">
        <v>1</v>
      </c>
      <c r="K3663" s="4">
        <v>1</v>
      </c>
      <c r="L3663" s="4">
        <f>J3663+K3663</f>
        <v>0</v>
      </c>
      <c r="M3663" s="4"/>
      <c r="N3663" s="4"/>
      <c r="O3663" s="4">
        <v>0</v>
      </c>
      <c r="P3663" s="4"/>
      <c r="Q3663" s="4"/>
      <c r="R3663" s="7">
        <v>0</v>
      </c>
      <c r="S3663" s="7">
        <v>0</v>
      </c>
      <c r="T3663" s="7">
        <f>R3663-S3663</f>
        <v>0</v>
      </c>
      <c r="U3663" s="7">
        <f>T3663*O3663</f>
        <v>0</v>
      </c>
    </row>
    <row r="3664" spans="1:21">
      <c r="A3664" s="4" t="s">
        <v>4906</v>
      </c>
      <c r="B3664" s="4" t="s">
        <v>48</v>
      </c>
      <c r="C3664" s="5">
        <v>45978.38563657407</v>
      </c>
      <c r="D3664" s="5">
        <v>45979</v>
      </c>
      <c r="E3664" s="6">
        <f>IF(AND(C3664&lt;&gt;"",D3664&lt;&gt;""),D3664-C3664,"")</f>
        <v>0</v>
      </c>
      <c r="F3664" s="4" t="s">
        <v>4720</v>
      </c>
      <c r="G3664" s="4" t="s">
        <v>4412</v>
      </c>
      <c r="H3664" s="4" t="s">
        <v>32</v>
      </c>
      <c r="I3664" s="4" t="s">
        <v>33</v>
      </c>
      <c r="J3664" s="4">
        <v>3</v>
      </c>
      <c r="K3664" s="4">
        <v>0</v>
      </c>
      <c r="L3664" s="4">
        <f>J3664+K3664</f>
        <v>0</v>
      </c>
      <c r="M3664" s="4"/>
      <c r="N3664" s="4"/>
      <c r="O3664" s="4">
        <v>0</v>
      </c>
      <c r="P3664" s="4"/>
      <c r="Q3664" s="4"/>
      <c r="R3664" s="7">
        <v>0</v>
      </c>
      <c r="S3664" s="7">
        <v>0</v>
      </c>
      <c r="T3664" s="7">
        <f>R3664-S3664</f>
        <v>0</v>
      </c>
      <c r="U3664" s="7">
        <f>T3664*O3664</f>
        <v>0</v>
      </c>
    </row>
    <row r="3665" spans="1:21">
      <c r="A3665" s="4" t="s">
        <v>4907</v>
      </c>
      <c r="B3665" s="4" t="s">
        <v>48</v>
      </c>
      <c r="C3665" s="5">
        <v>45978.38770833334</v>
      </c>
      <c r="D3665" s="5">
        <v>45979</v>
      </c>
      <c r="E3665" s="6">
        <f>IF(AND(C3665&lt;&gt;"",D3665&lt;&gt;""),D3665-C3665,"")</f>
        <v>0</v>
      </c>
      <c r="F3665" s="4" t="s">
        <v>4720</v>
      </c>
      <c r="G3665" s="4" t="s">
        <v>4412</v>
      </c>
      <c r="H3665" s="4" t="s">
        <v>32</v>
      </c>
      <c r="I3665" s="4" t="s">
        <v>33</v>
      </c>
      <c r="J3665" s="4">
        <v>4</v>
      </c>
      <c r="K3665" s="4">
        <v>2</v>
      </c>
      <c r="L3665" s="4">
        <f>J3665+K3665</f>
        <v>0</v>
      </c>
      <c r="M3665" s="4"/>
      <c r="N3665" s="4"/>
      <c r="O3665" s="4">
        <v>0</v>
      </c>
      <c r="P3665" s="4"/>
      <c r="Q3665" s="4"/>
      <c r="R3665" s="7">
        <v>0</v>
      </c>
      <c r="S3665" s="7">
        <v>0</v>
      </c>
      <c r="T3665" s="7">
        <f>R3665-S3665</f>
        <v>0</v>
      </c>
      <c r="U3665" s="7">
        <f>T3665*O3665</f>
        <v>0</v>
      </c>
    </row>
    <row r="3666" spans="1:21">
      <c r="A3666" s="4" t="s">
        <v>4908</v>
      </c>
      <c r="B3666" s="4" t="s">
        <v>48</v>
      </c>
      <c r="C3666" s="5">
        <v>45978.38869212963</v>
      </c>
      <c r="D3666" s="5">
        <v>45978</v>
      </c>
      <c r="E3666" s="6">
        <f>IF(AND(C3666&lt;&gt;"",D3666&lt;&gt;""),D3666-C3666,"")</f>
        <v>0</v>
      </c>
      <c r="F3666" s="4" t="s">
        <v>4720</v>
      </c>
      <c r="G3666" s="4" t="s">
        <v>4412</v>
      </c>
      <c r="H3666" s="4" t="s">
        <v>32</v>
      </c>
      <c r="I3666" s="4" t="s">
        <v>33</v>
      </c>
      <c r="J3666" s="4">
        <v>4</v>
      </c>
      <c r="K3666" s="4">
        <v>2</v>
      </c>
      <c r="L3666" s="4">
        <f>J3666+K3666</f>
        <v>0</v>
      </c>
      <c r="M3666" s="4"/>
      <c r="N3666" s="4"/>
      <c r="O3666" s="4">
        <v>0</v>
      </c>
      <c r="P3666" s="4"/>
      <c r="Q3666" s="4"/>
      <c r="R3666" s="7">
        <v>0</v>
      </c>
      <c r="S3666" s="7">
        <v>0</v>
      </c>
      <c r="T3666" s="7">
        <f>R3666-S3666</f>
        <v>0</v>
      </c>
      <c r="U3666" s="7">
        <f>T3666*O3666</f>
        <v>0</v>
      </c>
    </row>
    <row r="3667" spans="1:21">
      <c r="A3667" s="4" t="s">
        <v>4909</v>
      </c>
      <c r="B3667" s="4" t="s">
        <v>48</v>
      </c>
      <c r="C3667" s="5">
        <v>45978.40998842593</v>
      </c>
      <c r="D3667" s="5">
        <v>45978</v>
      </c>
      <c r="E3667" s="6">
        <f>IF(AND(C3667&lt;&gt;"",D3667&lt;&gt;""),D3667-C3667,"")</f>
        <v>0</v>
      </c>
      <c r="F3667" s="4" t="s">
        <v>4720</v>
      </c>
      <c r="G3667" s="4" t="s">
        <v>4412</v>
      </c>
      <c r="H3667" s="4" t="s">
        <v>32</v>
      </c>
      <c r="I3667" s="4" t="s">
        <v>33</v>
      </c>
      <c r="J3667" s="4">
        <v>4</v>
      </c>
      <c r="K3667" s="4">
        <v>2</v>
      </c>
      <c r="L3667" s="4">
        <f>J3667+K3667</f>
        <v>0</v>
      </c>
      <c r="M3667" s="4"/>
      <c r="N3667" s="4"/>
      <c r="O3667" s="4">
        <v>0</v>
      </c>
      <c r="P3667" s="4"/>
      <c r="Q3667" s="4"/>
      <c r="R3667" s="7">
        <v>0</v>
      </c>
      <c r="S3667" s="7">
        <v>0</v>
      </c>
      <c r="T3667" s="7">
        <f>R3667-S3667</f>
        <v>0</v>
      </c>
      <c r="U3667" s="7">
        <f>T3667*O3667</f>
        <v>0</v>
      </c>
    </row>
    <row r="3668" spans="1:21">
      <c r="A3668" s="4" t="s">
        <v>4910</v>
      </c>
      <c r="B3668" s="4" t="s">
        <v>48</v>
      </c>
      <c r="C3668" s="5">
        <v>45978.41240740741</v>
      </c>
      <c r="D3668" s="5">
        <v>45978</v>
      </c>
      <c r="E3668" s="6">
        <f>IF(AND(C3668&lt;&gt;"",D3668&lt;&gt;""),D3668-C3668,"")</f>
        <v>0</v>
      </c>
      <c r="F3668" s="4" t="s">
        <v>4720</v>
      </c>
      <c r="G3668" s="4" t="s">
        <v>4412</v>
      </c>
      <c r="H3668" s="4" t="s">
        <v>32</v>
      </c>
      <c r="I3668" s="4" t="s">
        <v>33</v>
      </c>
      <c r="J3668" s="4">
        <v>2</v>
      </c>
      <c r="K3668" s="4">
        <v>2</v>
      </c>
      <c r="L3668" s="4">
        <f>J3668+K3668</f>
        <v>0</v>
      </c>
      <c r="M3668" s="4"/>
      <c r="N3668" s="4"/>
      <c r="O3668" s="4">
        <v>0</v>
      </c>
      <c r="P3668" s="4"/>
      <c r="Q3668" s="4"/>
      <c r="R3668" s="7">
        <v>0</v>
      </c>
      <c r="S3668" s="7">
        <v>0</v>
      </c>
      <c r="T3668" s="7">
        <f>R3668-S3668</f>
        <v>0</v>
      </c>
      <c r="U3668" s="7">
        <f>T3668*O3668</f>
        <v>0</v>
      </c>
    </row>
    <row r="3669" spans="1:21">
      <c r="A3669" s="4" t="s">
        <v>4911</v>
      </c>
      <c r="B3669" s="4" t="s">
        <v>48</v>
      </c>
      <c r="C3669" s="5">
        <v>45978.415</v>
      </c>
      <c r="D3669" s="5">
        <v>45978</v>
      </c>
      <c r="E3669" s="6">
        <f>IF(AND(C3669&lt;&gt;"",D3669&lt;&gt;""),D3669-C3669,"")</f>
        <v>0</v>
      </c>
      <c r="F3669" s="4" t="s">
        <v>219</v>
      </c>
      <c r="G3669" s="4" t="s">
        <v>4912</v>
      </c>
      <c r="H3669" s="4" t="s">
        <v>32</v>
      </c>
      <c r="I3669" s="4" t="s">
        <v>33</v>
      </c>
      <c r="J3669" s="4">
        <v>1</v>
      </c>
      <c r="K3669" s="4">
        <v>0</v>
      </c>
      <c r="L3669" s="4">
        <f>J3669+K3669</f>
        <v>0</v>
      </c>
      <c r="M3669" s="4"/>
      <c r="N3669" s="4"/>
      <c r="O3669" s="4">
        <v>0</v>
      </c>
      <c r="P3669" s="4"/>
      <c r="Q3669" s="4"/>
      <c r="R3669" s="7">
        <v>0</v>
      </c>
      <c r="S3669" s="7">
        <v>0</v>
      </c>
      <c r="T3669" s="7">
        <f>R3669-S3669</f>
        <v>0</v>
      </c>
      <c r="U3669" s="7">
        <f>T3669*O3669</f>
        <v>0</v>
      </c>
    </row>
    <row r="3670" spans="1:21">
      <c r="A3670" s="4" t="s">
        <v>4913</v>
      </c>
      <c r="B3670" s="4" t="s">
        <v>48</v>
      </c>
      <c r="C3670" s="5">
        <v>45978.41642361111</v>
      </c>
      <c r="D3670" s="5">
        <v>45978</v>
      </c>
      <c r="E3670" s="6">
        <f>IF(AND(C3670&lt;&gt;"",D3670&lt;&gt;""),D3670-C3670,"")</f>
        <v>0</v>
      </c>
      <c r="F3670" s="4" t="s">
        <v>219</v>
      </c>
      <c r="G3670" s="4" t="s">
        <v>4912</v>
      </c>
      <c r="H3670" s="4" t="s">
        <v>32</v>
      </c>
      <c r="I3670" s="4" t="s">
        <v>33</v>
      </c>
      <c r="J3670" s="4">
        <v>4</v>
      </c>
      <c r="K3670" s="4">
        <v>2</v>
      </c>
      <c r="L3670" s="4">
        <f>J3670+K3670</f>
        <v>0</v>
      </c>
      <c r="M3670" s="4"/>
      <c r="N3670" s="4"/>
      <c r="O3670" s="4">
        <v>0</v>
      </c>
      <c r="P3670" s="4"/>
      <c r="Q3670" s="4"/>
      <c r="R3670" s="7">
        <v>0</v>
      </c>
      <c r="S3670" s="7">
        <v>0</v>
      </c>
      <c r="T3670" s="7">
        <f>R3670-S3670</f>
        <v>0</v>
      </c>
      <c r="U3670" s="7">
        <f>T3670*O3670</f>
        <v>0</v>
      </c>
    </row>
    <row r="3671" spans="1:21">
      <c r="A3671" s="4" t="s">
        <v>4914</v>
      </c>
      <c r="B3671" s="4" t="s">
        <v>48</v>
      </c>
      <c r="C3671" s="5">
        <v>45978.41922453704</v>
      </c>
      <c r="D3671" s="5">
        <v>45978</v>
      </c>
      <c r="E3671" s="6">
        <f>IF(AND(C3671&lt;&gt;"",D3671&lt;&gt;""),D3671-C3671,"")</f>
        <v>0</v>
      </c>
      <c r="F3671" s="4" t="s">
        <v>219</v>
      </c>
      <c r="G3671" s="4" t="s">
        <v>4912</v>
      </c>
      <c r="H3671" s="4" t="s">
        <v>32</v>
      </c>
      <c r="I3671" s="4" t="s">
        <v>33</v>
      </c>
      <c r="J3671" s="4">
        <v>5</v>
      </c>
      <c r="K3671" s="4">
        <v>2</v>
      </c>
      <c r="L3671" s="4">
        <f>J3671+K3671</f>
        <v>0</v>
      </c>
      <c r="M3671" s="4"/>
      <c r="N3671" s="4"/>
      <c r="O3671" s="4">
        <v>0</v>
      </c>
      <c r="P3671" s="4"/>
      <c r="Q3671" s="4"/>
      <c r="R3671" s="7">
        <v>0</v>
      </c>
      <c r="S3671" s="7">
        <v>0</v>
      </c>
      <c r="T3671" s="7">
        <f>R3671-S3671</f>
        <v>0</v>
      </c>
      <c r="U3671" s="7">
        <f>T3671*O3671</f>
        <v>0</v>
      </c>
    </row>
    <row r="3672" spans="1:21">
      <c r="A3672" s="4" t="s">
        <v>4915</v>
      </c>
      <c r="B3672" s="4" t="s">
        <v>48</v>
      </c>
      <c r="C3672" s="5">
        <v>45978.42239583333</v>
      </c>
      <c r="D3672" s="5">
        <v>45979</v>
      </c>
      <c r="E3672" s="6">
        <f>IF(AND(C3672&lt;&gt;"",D3672&lt;&gt;""),D3672-C3672,"")</f>
        <v>0</v>
      </c>
      <c r="F3672" s="4" t="s">
        <v>4720</v>
      </c>
      <c r="G3672" s="4" t="s">
        <v>4412</v>
      </c>
      <c r="H3672" s="4" t="s">
        <v>32</v>
      </c>
      <c r="I3672" s="4" t="s">
        <v>33</v>
      </c>
      <c r="J3672" s="4">
        <v>2</v>
      </c>
      <c r="K3672" s="4">
        <v>3</v>
      </c>
      <c r="L3672" s="4">
        <f>J3672+K3672</f>
        <v>0</v>
      </c>
      <c r="M3672" s="4"/>
      <c r="N3672" s="4"/>
      <c r="O3672" s="4">
        <v>0</v>
      </c>
      <c r="P3672" s="4"/>
      <c r="Q3672" s="4"/>
      <c r="R3672" s="7">
        <v>0</v>
      </c>
      <c r="S3672" s="7">
        <v>0</v>
      </c>
      <c r="T3672" s="7">
        <f>R3672-S3672</f>
        <v>0</v>
      </c>
      <c r="U3672" s="7">
        <f>T3672*O3672</f>
        <v>0</v>
      </c>
    </row>
    <row r="3673" spans="1:21">
      <c r="A3673" s="4" t="s">
        <v>4916</v>
      </c>
      <c r="B3673" s="4" t="s">
        <v>48</v>
      </c>
      <c r="C3673" s="5">
        <v>45978.42949074074</v>
      </c>
      <c r="D3673" s="5">
        <v>45978</v>
      </c>
      <c r="E3673" s="6">
        <f>IF(AND(C3673&lt;&gt;"",D3673&lt;&gt;""),D3673-C3673,"")</f>
        <v>0</v>
      </c>
      <c r="F3673" s="4" t="s">
        <v>4720</v>
      </c>
      <c r="G3673" s="4" t="s">
        <v>4412</v>
      </c>
      <c r="H3673" s="4" t="s">
        <v>32</v>
      </c>
      <c r="I3673" s="4" t="s">
        <v>33</v>
      </c>
      <c r="J3673" s="4">
        <v>2</v>
      </c>
      <c r="K3673" s="4">
        <v>2</v>
      </c>
      <c r="L3673" s="4">
        <f>J3673+K3673</f>
        <v>0</v>
      </c>
      <c r="M3673" s="4"/>
      <c r="N3673" s="4"/>
      <c r="O3673" s="4">
        <v>0</v>
      </c>
      <c r="P3673" s="4"/>
      <c r="Q3673" s="4"/>
      <c r="R3673" s="7">
        <v>0</v>
      </c>
      <c r="S3673" s="7">
        <v>0</v>
      </c>
      <c r="T3673" s="7">
        <f>R3673-S3673</f>
        <v>0</v>
      </c>
      <c r="U3673" s="7">
        <f>T3673*O3673</f>
        <v>0</v>
      </c>
    </row>
    <row r="3674" spans="1:21">
      <c r="A3674" s="4" t="s">
        <v>4917</v>
      </c>
      <c r="B3674" s="4" t="s">
        <v>48</v>
      </c>
      <c r="C3674" s="5">
        <v>45978.4799537037</v>
      </c>
      <c r="D3674" s="5">
        <v>45978</v>
      </c>
      <c r="E3674" s="6">
        <f>IF(AND(C3674&lt;&gt;"",D3674&lt;&gt;""),D3674-C3674,"")</f>
        <v>0</v>
      </c>
      <c r="F3674" s="4" t="s">
        <v>4720</v>
      </c>
      <c r="G3674" s="4" t="s">
        <v>4412</v>
      </c>
      <c r="H3674" s="4" t="s">
        <v>32</v>
      </c>
      <c r="I3674" s="4" t="s">
        <v>33</v>
      </c>
      <c r="J3674" s="4">
        <v>1</v>
      </c>
      <c r="K3674" s="4">
        <v>1</v>
      </c>
      <c r="L3674" s="4">
        <f>J3674+K3674</f>
        <v>0</v>
      </c>
      <c r="M3674" s="4"/>
      <c r="N3674" s="4"/>
      <c r="O3674" s="4">
        <v>0</v>
      </c>
      <c r="P3674" s="4"/>
      <c r="Q3674" s="4"/>
      <c r="R3674" s="7">
        <v>0</v>
      </c>
      <c r="S3674" s="7">
        <v>0</v>
      </c>
      <c r="T3674" s="7">
        <f>R3674-S3674</f>
        <v>0</v>
      </c>
      <c r="U3674" s="7">
        <f>T3674*O3674</f>
        <v>0</v>
      </c>
    </row>
    <row r="3675" spans="1:21">
      <c r="A3675" s="4" t="s">
        <v>4918</v>
      </c>
      <c r="B3675" s="4" t="s">
        <v>48</v>
      </c>
      <c r="C3675" s="5">
        <v>45978.50141203704</v>
      </c>
      <c r="D3675" s="5">
        <v>45978</v>
      </c>
      <c r="E3675" s="6">
        <f>IF(AND(C3675&lt;&gt;"",D3675&lt;&gt;""),D3675-C3675,"")</f>
        <v>0</v>
      </c>
      <c r="F3675" s="4" t="s">
        <v>4720</v>
      </c>
      <c r="G3675" s="4" t="s">
        <v>4412</v>
      </c>
      <c r="H3675" s="4" t="s">
        <v>32</v>
      </c>
      <c r="I3675" s="4" t="s">
        <v>33</v>
      </c>
      <c r="J3675" s="4">
        <v>2</v>
      </c>
      <c r="K3675" s="4">
        <v>0</v>
      </c>
      <c r="L3675" s="4">
        <f>J3675+K3675</f>
        <v>0</v>
      </c>
      <c r="M3675" s="4"/>
      <c r="N3675" s="4"/>
      <c r="O3675" s="4">
        <v>0</v>
      </c>
      <c r="P3675" s="4"/>
      <c r="Q3675" s="4"/>
      <c r="R3675" s="7">
        <v>0</v>
      </c>
      <c r="S3675" s="7">
        <v>0</v>
      </c>
      <c r="T3675" s="7">
        <f>R3675-S3675</f>
        <v>0</v>
      </c>
      <c r="U3675" s="7">
        <f>T3675*O3675</f>
        <v>0</v>
      </c>
    </row>
    <row r="3676" spans="1:21">
      <c r="A3676" s="4" t="s">
        <v>4919</v>
      </c>
      <c r="B3676" s="4" t="s">
        <v>48</v>
      </c>
      <c r="C3676" s="5">
        <v>45978.72293981481</v>
      </c>
      <c r="D3676" s="5">
        <v>45980</v>
      </c>
      <c r="E3676" s="6">
        <f>IF(AND(C3676&lt;&gt;"",D3676&lt;&gt;""),D3676-C3676,"")</f>
        <v>0</v>
      </c>
      <c r="F3676" s="4" t="s">
        <v>4720</v>
      </c>
      <c r="G3676" s="4" t="s">
        <v>4412</v>
      </c>
      <c r="H3676" s="4" t="s">
        <v>32</v>
      </c>
      <c r="I3676" s="4" t="s">
        <v>33</v>
      </c>
      <c r="J3676" s="4">
        <v>1</v>
      </c>
      <c r="K3676" s="4">
        <v>1</v>
      </c>
      <c r="L3676" s="4">
        <f>J3676+K3676</f>
        <v>0</v>
      </c>
      <c r="M3676" s="4"/>
      <c r="N3676" s="4"/>
      <c r="O3676" s="4">
        <v>0</v>
      </c>
      <c r="P3676" s="4"/>
      <c r="Q3676" s="4"/>
      <c r="R3676" s="7">
        <v>0</v>
      </c>
      <c r="S3676" s="7">
        <v>0</v>
      </c>
      <c r="T3676" s="7">
        <f>R3676-S3676</f>
        <v>0</v>
      </c>
      <c r="U3676" s="7">
        <f>T3676*O3676</f>
        <v>0</v>
      </c>
    </row>
    <row r="3677" spans="1:21">
      <c r="A3677" s="4" t="s">
        <v>4920</v>
      </c>
      <c r="B3677" s="4" t="s">
        <v>48</v>
      </c>
      <c r="C3677" s="5">
        <v>45979.02413194445</v>
      </c>
      <c r="D3677" s="5">
        <v>45981</v>
      </c>
      <c r="E3677" s="6">
        <f>IF(AND(C3677&lt;&gt;"",D3677&lt;&gt;""),D3677-C3677,"")</f>
        <v>0</v>
      </c>
      <c r="F3677" s="4" t="s">
        <v>64</v>
      </c>
      <c r="G3677" s="4" t="s">
        <v>4412</v>
      </c>
      <c r="H3677" s="4" t="s">
        <v>32</v>
      </c>
      <c r="I3677" s="4" t="s">
        <v>33</v>
      </c>
      <c r="J3677" s="4">
        <v>1</v>
      </c>
      <c r="K3677" s="4">
        <v>1</v>
      </c>
      <c r="L3677" s="4">
        <f>J3677+K3677</f>
        <v>0</v>
      </c>
      <c r="M3677" s="4"/>
      <c r="N3677" s="4"/>
      <c r="O3677" s="4">
        <v>0</v>
      </c>
      <c r="P3677" s="4"/>
      <c r="Q3677" s="4"/>
      <c r="R3677" s="7">
        <v>0</v>
      </c>
      <c r="S3677" s="7">
        <v>0</v>
      </c>
      <c r="T3677" s="7">
        <f>R3677-S3677</f>
        <v>0</v>
      </c>
      <c r="U3677" s="7">
        <f>T3677*O3677</f>
        <v>0</v>
      </c>
    </row>
    <row r="3678" spans="1:21">
      <c r="A3678" s="4" t="s">
        <v>4921</v>
      </c>
      <c r="B3678" s="4" t="s">
        <v>48</v>
      </c>
      <c r="C3678" s="5">
        <v>45979.02679398148</v>
      </c>
      <c r="D3678" s="5">
        <v>45981</v>
      </c>
      <c r="E3678" s="6">
        <f>IF(AND(C3678&lt;&gt;"",D3678&lt;&gt;""),D3678-C3678,"")</f>
        <v>0</v>
      </c>
      <c r="F3678" s="4" t="s">
        <v>64</v>
      </c>
      <c r="G3678" s="4" t="s">
        <v>4412</v>
      </c>
      <c r="H3678" s="4" t="s">
        <v>32</v>
      </c>
      <c r="I3678" s="4" t="s">
        <v>33</v>
      </c>
      <c r="J3678" s="4">
        <v>3</v>
      </c>
      <c r="K3678" s="4">
        <v>0</v>
      </c>
      <c r="L3678" s="4">
        <f>J3678+K3678</f>
        <v>0</v>
      </c>
      <c r="M3678" s="4"/>
      <c r="N3678" s="4"/>
      <c r="O3678" s="4">
        <v>0</v>
      </c>
      <c r="P3678" s="4"/>
      <c r="Q3678" s="4"/>
      <c r="R3678" s="7">
        <v>0</v>
      </c>
      <c r="S3678" s="7">
        <v>0</v>
      </c>
      <c r="T3678" s="7">
        <f>R3678-S3678</f>
        <v>0</v>
      </c>
      <c r="U3678" s="7">
        <f>T3678*O3678</f>
        <v>0</v>
      </c>
    </row>
    <row r="3679" spans="1:21">
      <c r="A3679" s="4" t="s">
        <v>4922</v>
      </c>
      <c r="B3679" s="4" t="s">
        <v>48</v>
      </c>
      <c r="C3679" s="5">
        <v>45979.11173611111</v>
      </c>
      <c r="D3679" s="5">
        <v>45981</v>
      </c>
      <c r="E3679" s="6">
        <f>IF(AND(C3679&lt;&gt;"",D3679&lt;&gt;""),D3679-C3679,"")</f>
        <v>0</v>
      </c>
      <c r="F3679" s="4" t="s">
        <v>64</v>
      </c>
      <c r="G3679" s="4" t="s">
        <v>4412</v>
      </c>
      <c r="H3679" s="4" t="s">
        <v>32</v>
      </c>
      <c r="I3679" s="4" t="s">
        <v>33</v>
      </c>
      <c r="J3679" s="4">
        <v>1</v>
      </c>
      <c r="K3679" s="4">
        <v>1</v>
      </c>
      <c r="L3679" s="4">
        <f>J3679+K3679</f>
        <v>0</v>
      </c>
      <c r="M3679" s="4"/>
      <c r="N3679" s="4"/>
      <c r="O3679" s="4">
        <v>0</v>
      </c>
      <c r="P3679" s="4"/>
      <c r="Q3679" s="4"/>
      <c r="R3679" s="7">
        <v>0</v>
      </c>
      <c r="S3679" s="7">
        <v>0</v>
      </c>
      <c r="T3679" s="7">
        <f>R3679-S3679</f>
        <v>0</v>
      </c>
      <c r="U3679" s="7">
        <f>T3679*O3679</f>
        <v>0</v>
      </c>
    </row>
    <row r="3680" spans="1:21">
      <c r="A3680" s="4" t="s">
        <v>4923</v>
      </c>
      <c r="B3680" s="4" t="s">
        <v>48</v>
      </c>
      <c r="C3680" s="5">
        <v>45979.21929398148</v>
      </c>
      <c r="D3680" s="5">
        <v>45981</v>
      </c>
      <c r="E3680" s="6">
        <f>IF(AND(C3680&lt;&gt;"",D3680&lt;&gt;""),D3680-C3680,"")</f>
        <v>0</v>
      </c>
      <c r="F3680" s="4" t="s">
        <v>30</v>
      </c>
      <c r="G3680" s="4" t="s">
        <v>31</v>
      </c>
      <c r="H3680" s="4" t="s">
        <v>32</v>
      </c>
      <c r="I3680" s="4" t="s">
        <v>33</v>
      </c>
      <c r="J3680" s="4">
        <v>2</v>
      </c>
      <c r="K3680" s="4">
        <v>0</v>
      </c>
      <c r="L3680" s="4">
        <f>J3680+K3680</f>
        <v>0</v>
      </c>
      <c r="M3680" s="4"/>
      <c r="N3680" s="4"/>
      <c r="O3680" s="4">
        <v>0</v>
      </c>
      <c r="P3680" s="4"/>
      <c r="Q3680" s="4"/>
      <c r="R3680" s="7">
        <v>0</v>
      </c>
      <c r="S3680" s="7">
        <v>0</v>
      </c>
      <c r="T3680" s="7">
        <f>R3680-S3680</f>
        <v>0</v>
      </c>
      <c r="U3680" s="7">
        <f>T3680*O3680</f>
        <v>0</v>
      </c>
    </row>
    <row r="3681" spans="1:21">
      <c r="A3681" s="4" t="s">
        <v>4924</v>
      </c>
      <c r="B3681" s="4" t="s">
        <v>48</v>
      </c>
      <c r="C3681" s="5">
        <v>45979.2372337963</v>
      </c>
      <c r="D3681" s="5">
        <v>45981</v>
      </c>
      <c r="E3681" s="6">
        <f>IF(AND(C3681&lt;&gt;"",D3681&lt;&gt;""),D3681-C3681,"")</f>
        <v>0</v>
      </c>
      <c r="F3681" s="4" t="s">
        <v>2408</v>
      </c>
      <c r="G3681" s="4" t="s">
        <v>4925</v>
      </c>
      <c r="H3681" s="4" t="s">
        <v>32</v>
      </c>
      <c r="I3681" s="4" t="s">
        <v>33</v>
      </c>
      <c r="J3681" s="4">
        <v>1</v>
      </c>
      <c r="K3681" s="4">
        <v>0</v>
      </c>
      <c r="L3681" s="4">
        <f>J3681+K3681</f>
        <v>0</v>
      </c>
      <c r="M3681" s="4"/>
      <c r="N3681" s="4"/>
      <c r="O3681" s="4">
        <v>0</v>
      </c>
      <c r="P3681" s="4"/>
      <c r="Q3681" s="4"/>
      <c r="R3681" s="7">
        <v>0</v>
      </c>
      <c r="S3681" s="7">
        <v>0</v>
      </c>
      <c r="T3681" s="7">
        <f>R3681-S3681</f>
        <v>0</v>
      </c>
      <c r="U3681" s="7">
        <f>T3681*O3681</f>
        <v>0</v>
      </c>
    </row>
    <row r="3682" spans="1:21">
      <c r="A3682" s="4" t="s">
        <v>4926</v>
      </c>
      <c r="B3682" s="4" t="s">
        <v>48</v>
      </c>
      <c r="C3682" s="5">
        <v>45979.26033564815</v>
      </c>
      <c r="D3682" s="5">
        <v>45981</v>
      </c>
      <c r="E3682" s="6">
        <f>IF(AND(C3682&lt;&gt;"",D3682&lt;&gt;""),D3682-C3682,"")</f>
        <v>0</v>
      </c>
      <c r="F3682" s="4" t="s">
        <v>30</v>
      </c>
      <c r="G3682" s="4" t="s">
        <v>31</v>
      </c>
      <c r="H3682" s="4" t="s">
        <v>32</v>
      </c>
      <c r="I3682" s="4" t="s">
        <v>33</v>
      </c>
      <c r="J3682" s="4">
        <v>1</v>
      </c>
      <c r="K3682" s="4">
        <v>0</v>
      </c>
      <c r="L3682" s="4">
        <f>J3682+K3682</f>
        <v>0</v>
      </c>
      <c r="M3682" s="4"/>
      <c r="N3682" s="4"/>
      <c r="O3682" s="4">
        <v>0</v>
      </c>
      <c r="P3682" s="4"/>
      <c r="Q3682" s="4"/>
      <c r="R3682" s="7">
        <v>0</v>
      </c>
      <c r="S3682" s="7">
        <v>0</v>
      </c>
      <c r="T3682" s="7">
        <f>R3682-S3682</f>
        <v>0</v>
      </c>
      <c r="U3682" s="7">
        <f>T3682*O3682</f>
        <v>0</v>
      </c>
    </row>
    <row r="3683" spans="1:21">
      <c r="A3683" s="4" t="s">
        <v>4927</v>
      </c>
      <c r="B3683" s="4" t="s">
        <v>48</v>
      </c>
      <c r="C3683" s="5">
        <v>45979.26115740741</v>
      </c>
      <c r="D3683" s="5">
        <v>45980</v>
      </c>
      <c r="E3683" s="6">
        <f>IF(AND(C3683&lt;&gt;"",D3683&lt;&gt;""),D3683-C3683,"")</f>
        <v>0</v>
      </c>
      <c r="F3683" s="4" t="s">
        <v>30</v>
      </c>
      <c r="G3683" s="4" t="s">
        <v>31</v>
      </c>
      <c r="H3683" s="4" t="s">
        <v>32</v>
      </c>
      <c r="I3683" s="4" t="s">
        <v>33</v>
      </c>
      <c r="J3683" s="4">
        <v>1</v>
      </c>
      <c r="K3683" s="4">
        <v>0</v>
      </c>
      <c r="L3683" s="4">
        <f>J3683+K3683</f>
        <v>0</v>
      </c>
      <c r="M3683" s="4"/>
      <c r="N3683" s="4"/>
      <c r="O3683" s="4">
        <v>0</v>
      </c>
      <c r="P3683" s="4"/>
      <c r="Q3683" s="4"/>
      <c r="R3683" s="7">
        <v>0</v>
      </c>
      <c r="S3683" s="7">
        <v>0</v>
      </c>
      <c r="T3683" s="7">
        <f>R3683-S3683</f>
        <v>0</v>
      </c>
      <c r="U3683" s="7">
        <f>T3683*O3683</f>
        <v>0</v>
      </c>
    </row>
    <row r="3684" spans="1:21">
      <c r="A3684" s="4" t="s">
        <v>4928</v>
      </c>
      <c r="B3684" s="4" t="s">
        <v>48</v>
      </c>
      <c r="C3684" s="5">
        <v>45979.2624537037</v>
      </c>
      <c r="D3684" s="5">
        <v>45980</v>
      </c>
      <c r="E3684" s="6">
        <f>IF(AND(C3684&lt;&gt;"",D3684&lt;&gt;""),D3684-C3684,"")</f>
        <v>0</v>
      </c>
      <c r="F3684" s="4" t="s">
        <v>4929</v>
      </c>
      <c r="G3684" s="4" t="s">
        <v>4930</v>
      </c>
      <c r="H3684" s="4"/>
      <c r="I3684" s="4" t="s">
        <v>56</v>
      </c>
      <c r="J3684" s="4">
        <v>1</v>
      </c>
      <c r="K3684" s="4">
        <v>0</v>
      </c>
      <c r="L3684" s="4">
        <f>J3684+K3684</f>
        <v>0</v>
      </c>
      <c r="M3684" s="4"/>
      <c r="N3684" s="4"/>
      <c r="O3684" s="4">
        <v>0</v>
      </c>
      <c r="P3684" s="4"/>
      <c r="Q3684" s="4"/>
      <c r="R3684" s="7">
        <v>0</v>
      </c>
      <c r="S3684" s="7">
        <v>0</v>
      </c>
      <c r="T3684" s="7">
        <f>R3684-S3684</f>
        <v>0</v>
      </c>
      <c r="U3684" s="7">
        <f>T3684*O3684</f>
        <v>0</v>
      </c>
    </row>
    <row r="3685" spans="1:21">
      <c r="A3685" s="4" t="s">
        <v>4931</v>
      </c>
      <c r="B3685" s="4" t="s">
        <v>48</v>
      </c>
      <c r="C3685" s="5">
        <v>45979.26782407407</v>
      </c>
      <c r="D3685" s="5">
        <v>45979</v>
      </c>
      <c r="E3685" s="6">
        <f>IF(AND(C3685&lt;&gt;"",D3685&lt;&gt;""),D3685-C3685,"")</f>
        <v>0</v>
      </c>
      <c r="F3685" s="4" t="s">
        <v>30</v>
      </c>
      <c r="G3685" s="4" t="s">
        <v>31</v>
      </c>
      <c r="H3685" s="4" t="s">
        <v>32</v>
      </c>
      <c r="I3685" s="4" t="s">
        <v>33</v>
      </c>
      <c r="J3685" s="4">
        <v>1</v>
      </c>
      <c r="K3685" s="4">
        <v>0</v>
      </c>
      <c r="L3685" s="4">
        <f>J3685+K3685</f>
        <v>0</v>
      </c>
      <c r="M3685" s="4"/>
      <c r="N3685" s="4"/>
      <c r="O3685" s="4">
        <v>0</v>
      </c>
      <c r="P3685" s="4"/>
      <c r="Q3685" s="4"/>
      <c r="R3685" s="7">
        <v>0</v>
      </c>
      <c r="S3685" s="7">
        <v>0</v>
      </c>
      <c r="T3685" s="7">
        <f>R3685-S3685</f>
        <v>0</v>
      </c>
      <c r="U3685" s="7">
        <f>T3685*O3685</f>
        <v>0</v>
      </c>
    </row>
    <row r="3686" spans="1:21">
      <c r="A3686" s="4" t="s">
        <v>4932</v>
      </c>
      <c r="B3686" s="4" t="s">
        <v>48</v>
      </c>
      <c r="C3686" s="5">
        <v>45979.27528935186</v>
      </c>
      <c r="D3686" s="5">
        <v>45979</v>
      </c>
      <c r="E3686" s="6">
        <f>IF(AND(C3686&lt;&gt;"",D3686&lt;&gt;""),D3686-C3686,"")</f>
        <v>0</v>
      </c>
      <c r="F3686" s="4" t="s">
        <v>1343</v>
      </c>
      <c r="G3686" s="4" t="s">
        <v>4933</v>
      </c>
      <c r="H3686" s="4"/>
      <c r="I3686" s="4" t="s">
        <v>56</v>
      </c>
      <c r="J3686" s="4">
        <v>1</v>
      </c>
      <c r="K3686" s="4">
        <v>0</v>
      </c>
      <c r="L3686" s="4">
        <f>J3686+K3686</f>
        <v>0</v>
      </c>
      <c r="M3686" s="4"/>
      <c r="N3686" s="4"/>
      <c r="O3686" s="4">
        <v>0</v>
      </c>
      <c r="P3686" s="4"/>
      <c r="Q3686" s="4"/>
      <c r="R3686" s="7">
        <v>0</v>
      </c>
      <c r="S3686" s="7">
        <v>0</v>
      </c>
      <c r="T3686" s="7">
        <f>R3686-S3686</f>
        <v>0</v>
      </c>
      <c r="U3686" s="7">
        <f>T3686*O3686</f>
        <v>0</v>
      </c>
    </row>
    <row r="3687" spans="1:21">
      <c r="A3687" s="4" t="s">
        <v>4934</v>
      </c>
      <c r="B3687" s="4" t="s">
        <v>48</v>
      </c>
      <c r="C3687" s="5">
        <v>45979.28118055555</v>
      </c>
      <c r="D3687" s="5">
        <v>45981</v>
      </c>
      <c r="E3687" s="6">
        <f>IF(AND(C3687&lt;&gt;"",D3687&lt;&gt;""),D3687-C3687,"")</f>
        <v>0</v>
      </c>
      <c r="F3687" s="4" t="s">
        <v>4935</v>
      </c>
      <c r="G3687" s="4" t="s">
        <v>4936</v>
      </c>
      <c r="H3687" s="4"/>
      <c r="I3687" s="4" t="s">
        <v>56</v>
      </c>
      <c r="J3687" s="4">
        <v>1</v>
      </c>
      <c r="K3687" s="4">
        <v>0</v>
      </c>
      <c r="L3687" s="4">
        <f>J3687+K3687</f>
        <v>0</v>
      </c>
      <c r="M3687" s="4"/>
      <c r="N3687" s="4"/>
      <c r="O3687" s="4">
        <v>0</v>
      </c>
      <c r="P3687" s="4"/>
      <c r="Q3687" s="4"/>
      <c r="R3687" s="7">
        <v>0</v>
      </c>
      <c r="S3687" s="7">
        <v>0</v>
      </c>
      <c r="T3687" s="7">
        <f>R3687-S3687</f>
        <v>0</v>
      </c>
      <c r="U3687" s="7">
        <f>T3687*O3687</f>
        <v>0</v>
      </c>
    </row>
    <row r="3688" spans="1:21">
      <c r="A3688" s="4" t="s">
        <v>4937</v>
      </c>
      <c r="B3688" s="4" t="s">
        <v>48</v>
      </c>
      <c r="C3688" s="5">
        <v>45979.28398148148</v>
      </c>
      <c r="D3688" s="5">
        <v>45981</v>
      </c>
      <c r="E3688" s="6">
        <f>IF(AND(C3688&lt;&gt;"",D3688&lt;&gt;""),D3688-C3688,"")</f>
        <v>0</v>
      </c>
      <c r="F3688" s="4" t="s">
        <v>4938</v>
      </c>
      <c r="G3688" s="4" t="s">
        <v>4939</v>
      </c>
      <c r="H3688" s="4"/>
      <c r="I3688" s="4" t="s">
        <v>56</v>
      </c>
      <c r="J3688" s="4">
        <v>1</v>
      </c>
      <c r="K3688" s="4">
        <v>0</v>
      </c>
      <c r="L3688" s="4">
        <f>J3688+K3688</f>
        <v>0</v>
      </c>
      <c r="M3688" s="4"/>
      <c r="N3688" s="4"/>
      <c r="O3688" s="4">
        <v>0</v>
      </c>
      <c r="P3688" s="4"/>
      <c r="Q3688" s="4"/>
      <c r="R3688" s="7">
        <v>0</v>
      </c>
      <c r="S3688" s="7">
        <v>0</v>
      </c>
      <c r="T3688" s="7">
        <f>R3688-S3688</f>
        <v>0</v>
      </c>
      <c r="U3688" s="7">
        <f>T3688*O3688</f>
        <v>0</v>
      </c>
    </row>
    <row r="3689" spans="1:21">
      <c r="A3689" s="4" t="s">
        <v>4940</v>
      </c>
      <c r="B3689" s="4" t="s">
        <v>48</v>
      </c>
      <c r="C3689" s="5">
        <v>45979.28537037037</v>
      </c>
      <c r="D3689" s="5">
        <v>45981</v>
      </c>
      <c r="E3689" s="6">
        <f>IF(AND(C3689&lt;&gt;"",D3689&lt;&gt;""),D3689-C3689,"")</f>
        <v>0</v>
      </c>
      <c r="F3689" s="4" t="s">
        <v>4941</v>
      </c>
      <c r="G3689" s="4" t="s">
        <v>4942</v>
      </c>
      <c r="H3689" s="4"/>
      <c r="I3689" s="4" t="s">
        <v>56</v>
      </c>
      <c r="J3689" s="4">
        <v>1</v>
      </c>
      <c r="K3689" s="4">
        <v>0</v>
      </c>
      <c r="L3689" s="4">
        <f>J3689+K3689</f>
        <v>0</v>
      </c>
      <c r="M3689" s="4"/>
      <c r="N3689" s="4"/>
      <c r="O3689" s="4">
        <v>0</v>
      </c>
      <c r="P3689" s="4"/>
      <c r="Q3689" s="4"/>
      <c r="R3689" s="7">
        <v>0</v>
      </c>
      <c r="S3689" s="7">
        <v>0</v>
      </c>
      <c r="T3689" s="7">
        <f>R3689-S3689</f>
        <v>0</v>
      </c>
      <c r="U3689" s="7">
        <f>T3689*O3689</f>
        <v>0</v>
      </c>
    </row>
    <row r="3690" spans="1:21">
      <c r="A3690" s="4" t="s">
        <v>4943</v>
      </c>
      <c r="B3690" s="4" t="s">
        <v>48</v>
      </c>
      <c r="C3690" s="5">
        <v>45979.28646990741</v>
      </c>
      <c r="D3690" s="5">
        <v>45985</v>
      </c>
      <c r="E3690" s="6">
        <f>IF(AND(C3690&lt;&gt;"",D3690&lt;&gt;""),D3690-C3690,"")</f>
        <v>0</v>
      </c>
      <c r="F3690" s="4" t="s">
        <v>4944</v>
      </c>
      <c r="G3690" s="4" t="s">
        <v>4945</v>
      </c>
      <c r="H3690" s="4"/>
      <c r="I3690" s="4" t="s">
        <v>56</v>
      </c>
      <c r="J3690" s="4">
        <v>1</v>
      </c>
      <c r="K3690" s="4">
        <v>0</v>
      </c>
      <c r="L3690" s="4">
        <f>J3690+K3690</f>
        <v>0</v>
      </c>
      <c r="M3690" s="4"/>
      <c r="N3690" s="4"/>
      <c r="O3690" s="4">
        <v>0</v>
      </c>
      <c r="P3690" s="4"/>
      <c r="Q3690" s="4"/>
      <c r="R3690" s="7">
        <v>0</v>
      </c>
      <c r="S3690" s="7">
        <v>0</v>
      </c>
      <c r="T3690" s="7">
        <f>R3690-S3690</f>
        <v>0</v>
      </c>
      <c r="U3690" s="7">
        <f>T3690*O3690</f>
        <v>0</v>
      </c>
    </row>
    <row r="3691" spans="1:21">
      <c r="A3691" s="4" t="s">
        <v>4946</v>
      </c>
      <c r="B3691" s="4" t="s">
        <v>48</v>
      </c>
      <c r="C3691" s="5">
        <v>45979.29465277777</v>
      </c>
      <c r="D3691" s="5">
        <v>45981</v>
      </c>
      <c r="E3691" s="6">
        <f>IF(AND(C3691&lt;&gt;"",D3691&lt;&gt;""),D3691-C3691,"")</f>
        <v>0</v>
      </c>
      <c r="F3691" s="4" t="s">
        <v>64</v>
      </c>
      <c r="G3691" s="4" t="s">
        <v>4412</v>
      </c>
      <c r="H3691" s="4" t="s">
        <v>32</v>
      </c>
      <c r="I3691" s="4" t="s">
        <v>33</v>
      </c>
      <c r="J3691" s="4">
        <v>1</v>
      </c>
      <c r="K3691" s="4">
        <v>0</v>
      </c>
      <c r="L3691" s="4">
        <f>J3691+K3691</f>
        <v>0</v>
      </c>
      <c r="M3691" s="4"/>
      <c r="N3691" s="4"/>
      <c r="O3691" s="4">
        <v>0</v>
      </c>
      <c r="P3691" s="4"/>
      <c r="Q3691" s="4"/>
      <c r="R3691" s="7">
        <v>0</v>
      </c>
      <c r="S3691" s="7">
        <v>0</v>
      </c>
      <c r="T3691" s="7">
        <f>R3691-S3691</f>
        <v>0</v>
      </c>
      <c r="U3691" s="7">
        <f>T3691*O3691</f>
        <v>0</v>
      </c>
    </row>
    <row r="3692" spans="1:21">
      <c r="A3692" s="4" t="s">
        <v>4947</v>
      </c>
      <c r="B3692" s="4" t="s">
        <v>48</v>
      </c>
      <c r="C3692" s="5">
        <v>45979.36596064815</v>
      </c>
      <c r="D3692" s="5">
        <v>45983</v>
      </c>
      <c r="E3692" s="6">
        <f>IF(AND(C3692&lt;&gt;"",D3692&lt;&gt;""),D3692-C3692,"")</f>
        <v>0</v>
      </c>
      <c r="F3692" s="4" t="s">
        <v>64</v>
      </c>
      <c r="G3692" s="4" t="s">
        <v>4412</v>
      </c>
      <c r="H3692" s="4" t="s">
        <v>32</v>
      </c>
      <c r="I3692" s="4" t="s">
        <v>33</v>
      </c>
      <c r="J3692" s="4">
        <v>1</v>
      </c>
      <c r="K3692" s="4">
        <v>0</v>
      </c>
      <c r="L3692" s="4">
        <f>J3692+K3692</f>
        <v>0</v>
      </c>
      <c r="M3692" s="4"/>
      <c r="N3692" s="4"/>
      <c r="O3692" s="4">
        <v>0</v>
      </c>
      <c r="P3692" s="4"/>
      <c r="Q3692" s="4"/>
      <c r="R3692" s="7">
        <v>0</v>
      </c>
      <c r="S3692" s="7">
        <v>0</v>
      </c>
      <c r="T3692" s="7">
        <f>R3692-S3692</f>
        <v>0</v>
      </c>
      <c r="U3692" s="7">
        <f>T3692*O3692</f>
        <v>0</v>
      </c>
    </row>
    <row r="3693" spans="1:21">
      <c r="A3693" s="4" t="s">
        <v>4948</v>
      </c>
      <c r="B3693" s="4" t="s">
        <v>48</v>
      </c>
      <c r="C3693" s="5">
        <v>45979.4099537037</v>
      </c>
      <c r="D3693" s="5">
        <v>45987</v>
      </c>
      <c r="E3693" s="6">
        <f>IF(AND(C3693&lt;&gt;"",D3693&lt;&gt;""),D3693-C3693,"")</f>
        <v>0</v>
      </c>
      <c r="F3693" s="4" t="s">
        <v>64</v>
      </c>
      <c r="G3693" s="4" t="s">
        <v>4412</v>
      </c>
      <c r="H3693" s="4" t="s">
        <v>32</v>
      </c>
      <c r="I3693" s="4" t="s">
        <v>33</v>
      </c>
      <c r="J3693" s="4">
        <v>2</v>
      </c>
      <c r="K3693" s="4">
        <v>0</v>
      </c>
      <c r="L3693" s="4">
        <f>J3693+K3693</f>
        <v>0</v>
      </c>
      <c r="M3693" s="4"/>
      <c r="N3693" s="4"/>
      <c r="O3693" s="4">
        <v>0</v>
      </c>
      <c r="P3693" s="4"/>
      <c r="Q3693" s="4"/>
      <c r="R3693" s="7">
        <v>0</v>
      </c>
      <c r="S3693" s="7">
        <v>0</v>
      </c>
      <c r="T3693" s="7">
        <f>R3693-S3693</f>
        <v>0</v>
      </c>
      <c r="U3693" s="7">
        <f>T3693*O3693</f>
        <v>0</v>
      </c>
    </row>
    <row r="3694" spans="1:21">
      <c r="A3694" s="4" t="s">
        <v>4949</v>
      </c>
      <c r="B3694" s="4" t="s">
        <v>39</v>
      </c>
      <c r="C3694" s="5">
        <v>45979.45839120371</v>
      </c>
      <c r="D3694" s="5">
        <v>45979</v>
      </c>
      <c r="E3694" s="6">
        <f>IF(AND(C3694&lt;&gt;"",D3694&lt;&gt;""),D3694-C3694,"")</f>
        <v>0</v>
      </c>
      <c r="F3694" s="4" t="s">
        <v>3981</v>
      </c>
      <c r="G3694" s="4" t="s">
        <v>4950</v>
      </c>
      <c r="H3694" s="4" t="s">
        <v>32</v>
      </c>
      <c r="I3694" s="4" t="s">
        <v>33</v>
      </c>
      <c r="J3694" s="4">
        <v>0</v>
      </c>
      <c r="K3694" s="4">
        <v>0</v>
      </c>
      <c r="L3694" s="4">
        <f>J3694+K3694</f>
        <v>0</v>
      </c>
      <c r="M3694" s="4" t="s">
        <v>3803</v>
      </c>
      <c r="N3694" s="4"/>
      <c r="O3694" s="4">
        <v>1</v>
      </c>
      <c r="P3694" s="4" t="s">
        <v>135</v>
      </c>
      <c r="Q3694" s="4"/>
      <c r="R3694" s="7">
        <v>114000</v>
      </c>
      <c r="S3694" s="7">
        <v>0</v>
      </c>
      <c r="T3694" s="7">
        <f>R3694-S3694</f>
        <v>0</v>
      </c>
      <c r="U3694" s="7">
        <f>T3694*O3694</f>
        <v>0</v>
      </c>
    </row>
    <row r="3695" spans="1:21">
      <c r="A3695" s="4" t="s">
        <v>4949</v>
      </c>
      <c r="B3695" s="4" t="s">
        <v>39</v>
      </c>
      <c r="C3695" s="5">
        <v>45979.45839120371</v>
      </c>
      <c r="D3695" s="5">
        <v>45979</v>
      </c>
      <c r="E3695" s="6">
        <f>IF(AND(C3695&lt;&gt;"",D3695&lt;&gt;""),D3695-C3695,"")</f>
        <v>0</v>
      </c>
      <c r="F3695" s="4" t="s">
        <v>3981</v>
      </c>
      <c r="G3695" s="4" t="s">
        <v>4950</v>
      </c>
      <c r="H3695" s="4" t="s">
        <v>32</v>
      </c>
      <c r="I3695" s="4" t="s">
        <v>33</v>
      </c>
      <c r="J3695" s="4">
        <v>0</v>
      </c>
      <c r="K3695" s="4">
        <v>0</v>
      </c>
      <c r="L3695" s="4">
        <f>J3695+K3695</f>
        <v>0</v>
      </c>
      <c r="M3695" s="4" t="s">
        <v>3416</v>
      </c>
      <c r="N3695" s="4"/>
      <c r="O3695" s="4">
        <v>1</v>
      </c>
      <c r="P3695" s="4" t="s">
        <v>135</v>
      </c>
      <c r="Q3695" s="4"/>
      <c r="R3695" s="7">
        <v>163000</v>
      </c>
      <c r="S3695" s="7">
        <v>0</v>
      </c>
      <c r="T3695" s="7">
        <f>R3695-S3695</f>
        <v>0</v>
      </c>
      <c r="U3695" s="7">
        <f>T3695*O3695</f>
        <v>0</v>
      </c>
    </row>
    <row r="3696" spans="1:21">
      <c r="A3696" s="4" t="s">
        <v>4951</v>
      </c>
      <c r="B3696" s="4" t="s">
        <v>39</v>
      </c>
      <c r="C3696" s="5">
        <v>45979.48690972223</v>
      </c>
      <c r="D3696" s="5">
        <v>45983</v>
      </c>
      <c r="E3696" s="6">
        <f>IF(AND(C3696&lt;&gt;"",D3696&lt;&gt;""),D3696-C3696,"")</f>
        <v>0</v>
      </c>
      <c r="F3696" s="4" t="s">
        <v>201</v>
      </c>
      <c r="G3696" s="4" t="s">
        <v>202</v>
      </c>
      <c r="H3696" s="4" t="s">
        <v>32</v>
      </c>
      <c r="I3696" s="4" t="s">
        <v>33</v>
      </c>
      <c r="J3696" s="4">
        <v>5</v>
      </c>
      <c r="K3696" s="4">
        <v>0</v>
      </c>
      <c r="L3696" s="4">
        <f>J3696+K3696</f>
        <v>0</v>
      </c>
      <c r="M3696" s="4"/>
      <c r="N3696" s="4"/>
      <c r="O3696" s="4">
        <v>0</v>
      </c>
      <c r="P3696" s="4"/>
      <c r="Q3696" s="4"/>
      <c r="R3696" s="7">
        <v>0</v>
      </c>
      <c r="S3696" s="7">
        <v>0</v>
      </c>
      <c r="T3696" s="7">
        <f>R3696-S3696</f>
        <v>0</v>
      </c>
      <c r="U3696" s="7">
        <f>T3696*O3696</f>
        <v>0</v>
      </c>
    </row>
    <row r="3697" spans="1:21">
      <c r="A3697" s="4" t="s">
        <v>4952</v>
      </c>
      <c r="B3697" s="4" t="s">
        <v>48</v>
      </c>
      <c r="C3697" s="5">
        <v>45979.63131944444</v>
      </c>
      <c r="D3697" s="5">
        <v>45979</v>
      </c>
      <c r="E3697" s="6">
        <f>IF(AND(C3697&lt;&gt;"",D3697&lt;&gt;""),D3697-C3697,"")</f>
        <v>0</v>
      </c>
      <c r="F3697" s="4" t="s">
        <v>64</v>
      </c>
      <c r="G3697" s="4" t="s">
        <v>4412</v>
      </c>
      <c r="H3697" s="4" t="s">
        <v>32</v>
      </c>
      <c r="I3697" s="4" t="s">
        <v>33</v>
      </c>
      <c r="J3697" s="4">
        <v>12</v>
      </c>
      <c r="K3697" s="4">
        <v>3</v>
      </c>
      <c r="L3697" s="4">
        <f>J3697+K3697</f>
        <v>0</v>
      </c>
      <c r="M3697" s="4"/>
      <c r="N3697" s="4"/>
      <c r="O3697" s="4">
        <v>0</v>
      </c>
      <c r="P3697" s="4"/>
      <c r="Q3697" s="4"/>
      <c r="R3697" s="7">
        <v>0</v>
      </c>
      <c r="S3697" s="7">
        <v>0</v>
      </c>
      <c r="T3697" s="7">
        <f>R3697-S3697</f>
        <v>0</v>
      </c>
      <c r="U3697" s="7">
        <f>T3697*O3697</f>
        <v>0</v>
      </c>
    </row>
    <row r="3698" spans="1:21">
      <c r="A3698" s="4" t="s">
        <v>4953</v>
      </c>
      <c r="B3698" s="4" t="s">
        <v>48</v>
      </c>
      <c r="C3698" s="5">
        <v>45979.66631944444</v>
      </c>
      <c r="D3698" s="5">
        <v>45981</v>
      </c>
      <c r="E3698" s="6">
        <f>IF(AND(C3698&lt;&gt;"",D3698&lt;&gt;""),D3698-C3698,"")</f>
        <v>0</v>
      </c>
      <c r="F3698" s="4" t="s">
        <v>64</v>
      </c>
      <c r="G3698" s="4" t="s">
        <v>4412</v>
      </c>
      <c r="H3698" s="4" t="s">
        <v>32</v>
      </c>
      <c r="I3698" s="4" t="s">
        <v>33</v>
      </c>
      <c r="J3698" s="4">
        <v>2</v>
      </c>
      <c r="K3698" s="4">
        <v>0</v>
      </c>
      <c r="L3698" s="4">
        <f>J3698+K3698</f>
        <v>0</v>
      </c>
      <c r="M3698" s="4"/>
      <c r="N3698" s="4"/>
      <c r="O3698" s="4">
        <v>0</v>
      </c>
      <c r="P3698" s="4"/>
      <c r="Q3698" s="4"/>
      <c r="R3698" s="7">
        <v>0</v>
      </c>
      <c r="S3698" s="7">
        <v>0</v>
      </c>
      <c r="T3698" s="7">
        <f>R3698-S3698</f>
        <v>0</v>
      </c>
      <c r="U3698" s="7">
        <f>T3698*O3698</f>
        <v>0</v>
      </c>
    </row>
    <row r="3699" spans="1:21">
      <c r="A3699" s="4" t="s">
        <v>4954</v>
      </c>
      <c r="B3699" s="4" t="s">
        <v>122</v>
      </c>
      <c r="C3699" s="5">
        <v>45979.67908564815</v>
      </c>
      <c r="D3699" s="5">
        <v>45979</v>
      </c>
      <c r="E3699" s="6">
        <f>IF(AND(C3699&lt;&gt;"",D3699&lt;&gt;""),D3699-C3699,"")</f>
        <v>0</v>
      </c>
      <c r="F3699" s="4" t="s">
        <v>201</v>
      </c>
      <c r="G3699" s="4" t="s">
        <v>202</v>
      </c>
      <c r="H3699" s="4" t="s">
        <v>32</v>
      </c>
      <c r="I3699" s="4" t="s">
        <v>33</v>
      </c>
      <c r="J3699" s="4">
        <v>1</v>
      </c>
      <c r="K3699" s="4">
        <v>0</v>
      </c>
      <c r="L3699" s="4">
        <f>J3699+K3699</f>
        <v>0</v>
      </c>
      <c r="M3699" s="4"/>
      <c r="N3699" s="4"/>
      <c r="O3699" s="4">
        <v>0</v>
      </c>
      <c r="P3699" s="4"/>
      <c r="Q3699" s="4"/>
      <c r="R3699" s="7">
        <v>0</v>
      </c>
      <c r="S3699" s="7">
        <v>0</v>
      </c>
      <c r="T3699" s="7">
        <f>R3699-S3699</f>
        <v>0</v>
      </c>
      <c r="U3699" s="7">
        <f>T3699*O3699</f>
        <v>0</v>
      </c>
    </row>
    <row r="3700" spans="1:21">
      <c r="A3700" s="4" t="s">
        <v>4955</v>
      </c>
      <c r="B3700" s="4" t="s">
        <v>48</v>
      </c>
      <c r="C3700" s="5">
        <v>45980.12505787037</v>
      </c>
      <c r="D3700" s="5">
        <v>45981</v>
      </c>
      <c r="E3700" s="6">
        <f>IF(AND(C3700&lt;&gt;"",D3700&lt;&gt;""),D3700-C3700,"")</f>
        <v>0</v>
      </c>
      <c r="F3700" s="4" t="s">
        <v>64</v>
      </c>
      <c r="G3700" s="4" t="s">
        <v>4412</v>
      </c>
      <c r="H3700" s="4" t="s">
        <v>32</v>
      </c>
      <c r="I3700" s="4" t="s">
        <v>33</v>
      </c>
      <c r="J3700" s="4">
        <v>12</v>
      </c>
      <c r="K3700" s="4">
        <v>3</v>
      </c>
      <c r="L3700" s="4">
        <f>J3700+K3700</f>
        <v>0</v>
      </c>
      <c r="M3700" s="4"/>
      <c r="N3700" s="4"/>
      <c r="O3700" s="4">
        <v>0</v>
      </c>
      <c r="P3700" s="4"/>
      <c r="Q3700" s="4"/>
      <c r="R3700" s="7">
        <v>0</v>
      </c>
      <c r="S3700" s="7">
        <v>0</v>
      </c>
      <c r="T3700" s="7">
        <f>R3700-S3700</f>
        <v>0</v>
      </c>
      <c r="U3700" s="7">
        <f>T3700*O3700</f>
        <v>0</v>
      </c>
    </row>
    <row r="3701" spans="1:21">
      <c r="A3701" s="4" t="s">
        <v>4956</v>
      </c>
      <c r="B3701" s="4" t="s">
        <v>39</v>
      </c>
      <c r="C3701" s="5">
        <v>45980.18755787037</v>
      </c>
      <c r="D3701" s="5">
        <v>45980</v>
      </c>
      <c r="E3701" s="6">
        <f>IF(AND(C3701&lt;&gt;"",D3701&lt;&gt;""),D3701-C3701,"")</f>
        <v>0</v>
      </c>
      <c r="F3701" s="4" t="s">
        <v>4957</v>
      </c>
      <c r="G3701" s="4" t="s">
        <v>4958</v>
      </c>
      <c r="H3701" s="4" t="s">
        <v>32</v>
      </c>
      <c r="I3701" s="4" t="s">
        <v>33</v>
      </c>
      <c r="J3701" s="4">
        <v>0</v>
      </c>
      <c r="K3701" s="4">
        <v>0</v>
      </c>
      <c r="L3701" s="4">
        <f>J3701+K3701</f>
        <v>0</v>
      </c>
      <c r="M3701" s="4" t="s">
        <v>3630</v>
      </c>
      <c r="N3701" s="4"/>
      <c r="O3701" s="4">
        <v>3</v>
      </c>
      <c r="P3701" s="4" t="s">
        <v>43</v>
      </c>
      <c r="Q3701" s="4" t="s">
        <v>44</v>
      </c>
      <c r="R3701" s="7">
        <v>15000</v>
      </c>
      <c r="S3701" s="7">
        <v>0</v>
      </c>
      <c r="T3701" s="7">
        <f>R3701-S3701</f>
        <v>0</v>
      </c>
      <c r="U3701" s="7">
        <f>T3701*O3701</f>
        <v>0</v>
      </c>
    </row>
    <row r="3702" spans="1:21">
      <c r="A3702" s="4" t="s">
        <v>4959</v>
      </c>
      <c r="B3702" s="4" t="s">
        <v>48</v>
      </c>
      <c r="C3702" s="5">
        <v>45980.20134259259</v>
      </c>
      <c r="D3702" s="5">
        <v>45980</v>
      </c>
      <c r="E3702" s="6">
        <f>IF(AND(C3702&lt;&gt;"",D3702&lt;&gt;""),D3702-C3702,"")</f>
        <v>0</v>
      </c>
      <c r="F3702" s="4" t="s">
        <v>64</v>
      </c>
      <c r="G3702" s="4" t="s">
        <v>4412</v>
      </c>
      <c r="H3702" s="4" t="s">
        <v>32</v>
      </c>
      <c r="I3702" s="4" t="s">
        <v>33</v>
      </c>
      <c r="J3702" s="4">
        <v>1</v>
      </c>
      <c r="K3702" s="4">
        <v>0</v>
      </c>
      <c r="L3702" s="4">
        <f>J3702+K3702</f>
        <v>0</v>
      </c>
      <c r="M3702" s="4"/>
      <c r="N3702" s="4"/>
      <c r="O3702" s="4">
        <v>0</v>
      </c>
      <c r="P3702" s="4"/>
      <c r="Q3702" s="4"/>
      <c r="R3702" s="7">
        <v>0</v>
      </c>
      <c r="S3702" s="7">
        <v>0</v>
      </c>
      <c r="T3702" s="7">
        <f>R3702-S3702</f>
        <v>0</v>
      </c>
      <c r="U3702" s="7">
        <f>T3702*O3702</f>
        <v>0</v>
      </c>
    </row>
    <row r="3703" spans="1:21">
      <c r="A3703" s="4" t="s">
        <v>4960</v>
      </c>
      <c r="B3703" s="4" t="s">
        <v>48</v>
      </c>
      <c r="C3703" s="5">
        <v>45980.20276620371</v>
      </c>
      <c r="D3703" s="5">
        <v>45980</v>
      </c>
      <c r="E3703" s="6">
        <f>IF(AND(C3703&lt;&gt;"",D3703&lt;&gt;""),D3703-C3703,"")</f>
        <v>0</v>
      </c>
      <c r="F3703" s="4" t="s">
        <v>30</v>
      </c>
      <c r="G3703" s="4" t="s">
        <v>31</v>
      </c>
      <c r="H3703" s="4" t="s">
        <v>32</v>
      </c>
      <c r="I3703" s="4" t="s">
        <v>33</v>
      </c>
      <c r="J3703" s="4">
        <v>3</v>
      </c>
      <c r="K3703" s="4">
        <v>0</v>
      </c>
      <c r="L3703" s="4">
        <f>J3703+K3703</f>
        <v>0</v>
      </c>
      <c r="M3703" s="4"/>
      <c r="N3703" s="4"/>
      <c r="O3703" s="4">
        <v>0</v>
      </c>
      <c r="P3703" s="4"/>
      <c r="Q3703" s="4"/>
      <c r="R3703" s="7">
        <v>0</v>
      </c>
      <c r="S3703" s="7">
        <v>0</v>
      </c>
      <c r="T3703" s="7">
        <f>R3703-S3703</f>
        <v>0</v>
      </c>
      <c r="U3703" s="7">
        <f>T3703*O3703</f>
        <v>0</v>
      </c>
    </row>
    <row r="3704" spans="1:21">
      <c r="A3704" s="4" t="s">
        <v>4961</v>
      </c>
      <c r="B3704" s="4" t="s">
        <v>48</v>
      </c>
      <c r="C3704" s="5">
        <v>45980.23856481481</v>
      </c>
      <c r="D3704" s="5">
        <v>45981</v>
      </c>
      <c r="E3704" s="6">
        <f>IF(AND(C3704&lt;&gt;"",D3704&lt;&gt;""),D3704-C3704,"")</f>
        <v>0</v>
      </c>
      <c r="F3704" s="4" t="s">
        <v>64</v>
      </c>
      <c r="G3704" s="4" t="s">
        <v>4962</v>
      </c>
      <c r="H3704" s="4" t="s">
        <v>32</v>
      </c>
      <c r="I3704" s="4" t="s">
        <v>33</v>
      </c>
      <c r="J3704" s="4">
        <v>1</v>
      </c>
      <c r="K3704" s="4">
        <v>0</v>
      </c>
      <c r="L3704" s="4">
        <f>J3704+K3704</f>
        <v>0</v>
      </c>
      <c r="M3704" s="4"/>
      <c r="N3704" s="4"/>
      <c r="O3704" s="4">
        <v>0</v>
      </c>
      <c r="P3704" s="4"/>
      <c r="Q3704" s="4"/>
      <c r="R3704" s="7">
        <v>0</v>
      </c>
      <c r="S3704" s="7">
        <v>0</v>
      </c>
      <c r="T3704" s="7">
        <f>R3704-S3704</f>
        <v>0</v>
      </c>
      <c r="U3704" s="7">
        <f>T3704*O3704</f>
        <v>0</v>
      </c>
    </row>
    <row r="3705" spans="1:21">
      <c r="A3705" s="4" t="s">
        <v>4963</v>
      </c>
      <c r="B3705" s="4" t="s">
        <v>39</v>
      </c>
      <c r="C3705" s="5">
        <v>45980.26048611111</v>
      </c>
      <c r="D3705" s="5">
        <v>45980</v>
      </c>
      <c r="E3705" s="6">
        <f>IF(AND(C3705&lt;&gt;"",D3705&lt;&gt;""),D3705-C3705,"")</f>
        <v>0</v>
      </c>
      <c r="F3705" s="4" t="s">
        <v>868</v>
      </c>
      <c r="G3705" s="4" t="s">
        <v>4964</v>
      </c>
      <c r="H3705" s="4" t="s">
        <v>32</v>
      </c>
      <c r="I3705" s="4" t="s">
        <v>33</v>
      </c>
      <c r="J3705" s="4">
        <v>0</v>
      </c>
      <c r="K3705" s="4">
        <v>0</v>
      </c>
      <c r="L3705" s="4">
        <f>J3705+K3705</f>
        <v>0</v>
      </c>
      <c r="M3705" s="4" t="s">
        <v>3630</v>
      </c>
      <c r="N3705" s="4"/>
      <c r="O3705" s="4">
        <v>1</v>
      </c>
      <c r="P3705" s="4" t="s">
        <v>43</v>
      </c>
      <c r="Q3705" s="4" t="s">
        <v>44</v>
      </c>
      <c r="R3705" s="7">
        <v>15000</v>
      </c>
      <c r="S3705" s="7">
        <v>0</v>
      </c>
      <c r="T3705" s="7">
        <f>R3705-S3705</f>
        <v>0</v>
      </c>
      <c r="U3705" s="7">
        <f>T3705*O3705</f>
        <v>0</v>
      </c>
    </row>
    <row r="3706" spans="1:21">
      <c r="A3706" s="4" t="s">
        <v>4965</v>
      </c>
      <c r="B3706" s="4" t="s">
        <v>39</v>
      </c>
      <c r="C3706" s="5">
        <v>45980.26086805556</v>
      </c>
      <c r="D3706" s="5">
        <v>45980</v>
      </c>
      <c r="E3706" s="6">
        <f>IF(AND(C3706&lt;&gt;"",D3706&lt;&gt;""),D3706-C3706,"")</f>
        <v>0</v>
      </c>
      <c r="F3706" s="4" t="s">
        <v>868</v>
      </c>
      <c r="G3706" s="4" t="s">
        <v>4966</v>
      </c>
      <c r="H3706" s="4" t="s">
        <v>32</v>
      </c>
      <c r="I3706" s="4" t="s">
        <v>33</v>
      </c>
      <c r="J3706" s="4">
        <v>0</v>
      </c>
      <c r="K3706" s="4">
        <v>0</v>
      </c>
      <c r="L3706" s="4">
        <f>J3706+K3706</f>
        <v>0</v>
      </c>
      <c r="M3706" s="4" t="s">
        <v>3630</v>
      </c>
      <c r="N3706" s="4"/>
      <c r="O3706" s="4">
        <v>1</v>
      </c>
      <c r="P3706" s="4" t="s">
        <v>43</v>
      </c>
      <c r="Q3706" s="4" t="s">
        <v>44</v>
      </c>
      <c r="R3706" s="7">
        <v>15000</v>
      </c>
      <c r="S3706" s="7">
        <v>0</v>
      </c>
      <c r="T3706" s="7">
        <f>R3706-S3706</f>
        <v>0</v>
      </c>
      <c r="U3706" s="7">
        <f>T3706*O3706</f>
        <v>0</v>
      </c>
    </row>
    <row r="3707" spans="1:21">
      <c r="A3707" s="4" t="s">
        <v>4967</v>
      </c>
      <c r="B3707" s="4" t="s">
        <v>122</v>
      </c>
      <c r="C3707" s="5">
        <v>45981.19692129629</v>
      </c>
      <c r="D3707" s="5">
        <v>45982</v>
      </c>
      <c r="E3707" s="6">
        <f>IF(AND(C3707&lt;&gt;"",D3707&lt;&gt;""),D3707-C3707,"")</f>
        <v>0</v>
      </c>
      <c r="F3707" s="4" t="s">
        <v>30</v>
      </c>
      <c r="G3707" s="4" t="s">
        <v>31</v>
      </c>
      <c r="H3707" s="4" t="s">
        <v>32</v>
      </c>
      <c r="I3707" s="4" t="s">
        <v>33</v>
      </c>
      <c r="J3707" s="4">
        <v>4</v>
      </c>
      <c r="K3707" s="4">
        <v>0</v>
      </c>
      <c r="L3707" s="4">
        <f>J3707+K3707</f>
        <v>0</v>
      </c>
      <c r="M3707" s="4"/>
      <c r="N3707" s="4"/>
      <c r="O3707" s="4">
        <v>0</v>
      </c>
      <c r="P3707" s="4"/>
      <c r="Q3707" s="4"/>
      <c r="R3707" s="7">
        <v>0</v>
      </c>
      <c r="S3707" s="7">
        <v>0</v>
      </c>
      <c r="T3707" s="7">
        <f>R3707-S3707</f>
        <v>0</v>
      </c>
      <c r="U3707" s="7">
        <f>T3707*O3707</f>
        <v>0</v>
      </c>
    </row>
    <row r="3708" spans="1:21">
      <c r="A3708" s="4" t="s">
        <v>4968</v>
      </c>
      <c r="B3708" s="4" t="s">
        <v>122</v>
      </c>
      <c r="C3708" s="5">
        <v>45981.1978125</v>
      </c>
      <c r="D3708" s="5">
        <v>45981</v>
      </c>
      <c r="E3708" s="6">
        <f>IF(AND(C3708&lt;&gt;"",D3708&lt;&gt;""),D3708-C3708,"")</f>
        <v>0</v>
      </c>
      <c r="F3708" s="4" t="s">
        <v>30</v>
      </c>
      <c r="G3708" s="4" t="s">
        <v>31</v>
      </c>
      <c r="H3708" s="4" t="s">
        <v>32</v>
      </c>
      <c r="I3708" s="4" t="s">
        <v>33</v>
      </c>
      <c r="J3708" s="4">
        <v>4</v>
      </c>
      <c r="K3708" s="4">
        <v>0</v>
      </c>
      <c r="L3708" s="4">
        <f>J3708+K3708</f>
        <v>0</v>
      </c>
      <c r="M3708" s="4"/>
      <c r="N3708" s="4"/>
      <c r="O3708" s="4">
        <v>0</v>
      </c>
      <c r="P3708" s="4"/>
      <c r="Q3708" s="4"/>
      <c r="R3708" s="7">
        <v>0</v>
      </c>
      <c r="S3708" s="7">
        <v>0</v>
      </c>
      <c r="T3708" s="7">
        <f>R3708-S3708</f>
        <v>0</v>
      </c>
      <c r="U3708" s="7">
        <f>T3708*O3708</f>
        <v>0</v>
      </c>
    </row>
    <row r="3709" spans="1:21">
      <c r="A3709" s="4" t="s">
        <v>4969</v>
      </c>
      <c r="B3709" s="4" t="s">
        <v>122</v>
      </c>
      <c r="C3709" s="5">
        <v>45981.19840277778</v>
      </c>
      <c r="D3709" s="5">
        <v>45981</v>
      </c>
      <c r="E3709" s="6">
        <f>IF(AND(C3709&lt;&gt;"",D3709&lt;&gt;""),D3709-C3709,"")</f>
        <v>0</v>
      </c>
      <c r="F3709" s="4" t="s">
        <v>30</v>
      </c>
      <c r="G3709" s="4" t="s">
        <v>31</v>
      </c>
      <c r="H3709" s="4" t="s">
        <v>32</v>
      </c>
      <c r="I3709" s="4" t="s">
        <v>33</v>
      </c>
      <c r="J3709" s="4">
        <v>4</v>
      </c>
      <c r="K3709" s="4">
        <v>0</v>
      </c>
      <c r="L3709" s="4">
        <f>J3709+K3709</f>
        <v>0</v>
      </c>
      <c r="M3709" s="4"/>
      <c r="N3709" s="4"/>
      <c r="O3709" s="4">
        <v>0</v>
      </c>
      <c r="P3709" s="4"/>
      <c r="Q3709" s="4"/>
      <c r="R3709" s="7">
        <v>0</v>
      </c>
      <c r="S3709" s="7">
        <v>0</v>
      </c>
      <c r="T3709" s="7">
        <f>R3709-S3709</f>
        <v>0</v>
      </c>
      <c r="U3709" s="7">
        <f>T3709*O3709</f>
        <v>0</v>
      </c>
    </row>
    <row r="3710" spans="1:21">
      <c r="A3710" s="4" t="s">
        <v>4970</v>
      </c>
      <c r="B3710" s="4" t="s">
        <v>122</v>
      </c>
      <c r="C3710" s="5">
        <v>45981.22248842593</v>
      </c>
      <c r="D3710" s="5">
        <v>45981</v>
      </c>
      <c r="E3710" s="6">
        <f>IF(AND(C3710&lt;&gt;"",D3710&lt;&gt;""),D3710-C3710,"")</f>
        <v>0</v>
      </c>
      <c r="F3710" s="4" t="s">
        <v>30</v>
      </c>
      <c r="G3710" s="4" t="s">
        <v>31</v>
      </c>
      <c r="H3710" s="4" t="s">
        <v>32</v>
      </c>
      <c r="I3710" s="4" t="s">
        <v>33</v>
      </c>
      <c r="J3710" s="4">
        <v>4</v>
      </c>
      <c r="K3710" s="4">
        <v>0</v>
      </c>
      <c r="L3710" s="4">
        <f>J3710+K3710</f>
        <v>0</v>
      </c>
      <c r="M3710" s="4"/>
      <c r="N3710" s="4"/>
      <c r="O3710" s="4">
        <v>0</v>
      </c>
      <c r="P3710" s="4"/>
      <c r="Q3710" s="4"/>
      <c r="R3710" s="7">
        <v>0</v>
      </c>
      <c r="S3710" s="7">
        <v>0</v>
      </c>
      <c r="T3710" s="7">
        <f>R3710-S3710</f>
        <v>0</v>
      </c>
      <c r="U3710" s="7">
        <f>T3710*O3710</f>
        <v>0</v>
      </c>
    </row>
    <row r="3711" spans="1:21">
      <c r="A3711" s="4" t="s">
        <v>4971</v>
      </c>
      <c r="B3711" s="4" t="s">
        <v>29</v>
      </c>
      <c r="C3711" s="5">
        <v>45981.35776620371</v>
      </c>
      <c r="D3711" s="5">
        <v>45982</v>
      </c>
      <c r="E3711" s="6">
        <f>IF(AND(C3711&lt;&gt;"",D3711&lt;&gt;""),D3711-C3711,"")</f>
        <v>0</v>
      </c>
      <c r="F3711" s="4" t="s">
        <v>64</v>
      </c>
      <c r="G3711" s="4" t="s">
        <v>4412</v>
      </c>
      <c r="H3711" s="4" t="s">
        <v>32</v>
      </c>
      <c r="I3711" s="4" t="s">
        <v>33</v>
      </c>
      <c r="J3711" s="4">
        <v>1</v>
      </c>
      <c r="K3711" s="4">
        <v>0</v>
      </c>
      <c r="L3711" s="4">
        <f>J3711+K3711</f>
        <v>0</v>
      </c>
      <c r="M3711" s="4"/>
      <c r="N3711" s="4"/>
      <c r="O3711" s="4">
        <v>0</v>
      </c>
      <c r="P3711" s="4"/>
      <c r="Q3711" s="4"/>
      <c r="R3711" s="7">
        <v>0</v>
      </c>
      <c r="S3711" s="7">
        <v>0</v>
      </c>
      <c r="T3711" s="7">
        <f>R3711-S3711</f>
        <v>0</v>
      </c>
      <c r="U3711" s="7">
        <f>T3711*O3711</f>
        <v>0</v>
      </c>
    </row>
    <row r="3712" spans="1:21">
      <c r="A3712" s="4" t="s">
        <v>4972</v>
      </c>
      <c r="B3712" s="4" t="s">
        <v>39</v>
      </c>
      <c r="C3712" s="5">
        <v>45983.45365740741</v>
      </c>
      <c r="D3712" s="5">
        <v>45983</v>
      </c>
      <c r="E3712" s="6">
        <f>IF(AND(C3712&lt;&gt;"",D3712&lt;&gt;""),D3712-C3712,"")</f>
        <v>0</v>
      </c>
      <c r="F3712" s="4" t="s">
        <v>1176</v>
      </c>
      <c r="G3712" s="4" t="s">
        <v>4973</v>
      </c>
      <c r="H3712" s="4" t="s">
        <v>32</v>
      </c>
      <c r="I3712" s="4" t="s">
        <v>33</v>
      </c>
      <c r="J3712" s="4">
        <v>0</v>
      </c>
      <c r="K3712" s="4">
        <v>0</v>
      </c>
      <c r="L3712" s="4">
        <f>J3712+K3712</f>
        <v>0</v>
      </c>
      <c r="M3712" s="4" t="s">
        <v>3630</v>
      </c>
      <c r="N3712" s="4"/>
      <c r="O3712" s="4">
        <v>1</v>
      </c>
      <c r="P3712" s="4" t="s">
        <v>135</v>
      </c>
      <c r="Q3712" s="4" t="s">
        <v>44</v>
      </c>
      <c r="R3712" s="7">
        <v>15000</v>
      </c>
      <c r="S3712" s="7">
        <v>7500</v>
      </c>
      <c r="T3712" s="7">
        <f>R3712-S3712</f>
        <v>0</v>
      </c>
      <c r="U3712" s="7">
        <f>T3712*O3712</f>
        <v>0</v>
      </c>
    </row>
    <row r="3713" spans="1:21">
      <c r="A3713" s="4" t="s">
        <v>4972</v>
      </c>
      <c r="B3713" s="4" t="s">
        <v>39</v>
      </c>
      <c r="C3713" s="5">
        <v>45983.45365740741</v>
      </c>
      <c r="D3713" s="5">
        <v>45983</v>
      </c>
      <c r="E3713" s="6">
        <f>IF(AND(C3713&lt;&gt;"",D3713&lt;&gt;""),D3713-C3713,"")</f>
        <v>0</v>
      </c>
      <c r="F3713" s="4" t="s">
        <v>1176</v>
      </c>
      <c r="G3713" s="4" t="s">
        <v>4973</v>
      </c>
      <c r="H3713" s="4" t="s">
        <v>32</v>
      </c>
      <c r="I3713" s="4" t="s">
        <v>33</v>
      </c>
      <c r="J3713" s="4">
        <v>0</v>
      </c>
      <c r="K3713" s="4">
        <v>0</v>
      </c>
      <c r="L3713" s="4">
        <f>J3713+K3713</f>
        <v>0</v>
      </c>
      <c r="M3713" s="4" t="s">
        <v>3630</v>
      </c>
      <c r="N3713" s="4"/>
      <c r="O3713" s="4">
        <v>1</v>
      </c>
      <c r="P3713" s="4" t="s">
        <v>135</v>
      </c>
      <c r="Q3713" s="4" t="s">
        <v>44</v>
      </c>
      <c r="R3713" s="7">
        <v>15000</v>
      </c>
      <c r="S3713" s="7">
        <v>7500</v>
      </c>
      <c r="T3713" s="7">
        <f>R3713-S3713</f>
        <v>0</v>
      </c>
      <c r="U3713" s="7">
        <f>T3713*O3713</f>
        <v>0</v>
      </c>
    </row>
    <row r="3714" spans="1:21">
      <c r="A3714" s="4" t="s">
        <v>4974</v>
      </c>
      <c r="B3714" s="4" t="s">
        <v>39</v>
      </c>
      <c r="C3714" s="5">
        <v>45983.5355324074</v>
      </c>
      <c r="D3714" s="5">
        <v>45983</v>
      </c>
      <c r="E3714" s="6">
        <f>IF(AND(C3714&lt;&gt;"",D3714&lt;&gt;""),D3714-C3714,"")</f>
        <v>0</v>
      </c>
      <c r="F3714" s="4" t="s">
        <v>4154</v>
      </c>
      <c r="G3714" s="4" t="s">
        <v>4204</v>
      </c>
      <c r="H3714" s="4" t="s">
        <v>32</v>
      </c>
      <c r="I3714" s="4" t="s">
        <v>33</v>
      </c>
      <c r="J3714" s="4">
        <v>1</v>
      </c>
      <c r="K3714" s="4">
        <v>0</v>
      </c>
      <c r="L3714" s="4">
        <f>J3714+K3714</f>
        <v>0</v>
      </c>
      <c r="M3714" s="4" t="s">
        <v>80</v>
      </c>
      <c r="N3714" s="4"/>
      <c r="O3714" s="4">
        <v>1</v>
      </c>
      <c r="P3714" s="4" t="s">
        <v>135</v>
      </c>
      <c r="Q3714" s="4" t="s">
        <v>44</v>
      </c>
      <c r="R3714" s="7">
        <v>610000</v>
      </c>
      <c r="S3714" s="7">
        <v>0</v>
      </c>
      <c r="T3714" s="7">
        <f>R3714-S3714</f>
        <v>0</v>
      </c>
      <c r="U3714" s="7">
        <f>T3714*O3714</f>
        <v>0</v>
      </c>
    </row>
    <row r="3715" spans="1:21">
      <c r="A3715" s="4" t="s">
        <v>4974</v>
      </c>
      <c r="B3715" s="4" t="s">
        <v>39</v>
      </c>
      <c r="C3715" s="5">
        <v>45983.5355324074</v>
      </c>
      <c r="D3715" s="5">
        <v>45983</v>
      </c>
      <c r="E3715" s="6">
        <f>IF(AND(C3715&lt;&gt;"",D3715&lt;&gt;""),D3715-C3715,"")</f>
        <v>0</v>
      </c>
      <c r="F3715" s="4" t="s">
        <v>4154</v>
      </c>
      <c r="G3715" s="4" t="s">
        <v>4204</v>
      </c>
      <c r="H3715" s="4" t="s">
        <v>32</v>
      </c>
      <c r="I3715" s="4" t="s">
        <v>33</v>
      </c>
      <c r="J3715" s="4">
        <v>1</v>
      </c>
      <c r="K3715" s="4">
        <v>0</v>
      </c>
      <c r="L3715" s="4">
        <f>J3715+K3715</f>
        <v>0</v>
      </c>
      <c r="M3715" s="4" t="s">
        <v>80</v>
      </c>
      <c r="N3715" s="4"/>
      <c r="O3715" s="4">
        <v>1</v>
      </c>
      <c r="P3715" s="4" t="s">
        <v>135</v>
      </c>
      <c r="Q3715" s="4" t="s">
        <v>44</v>
      </c>
      <c r="R3715" s="7">
        <v>610000</v>
      </c>
      <c r="S3715" s="7">
        <v>0</v>
      </c>
      <c r="T3715" s="7">
        <f>R3715-S3715</f>
        <v>0</v>
      </c>
      <c r="U3715" s="7">
        <f>T3715*O3715</f>
        <v>0</v>
      </c>
    </row>
    <row r="3716" spans="1:21">
      <c r="A3716" s="4" t="s">
        <v>4974</v>
      </c>
      <c r="B3716" s="4" t="s">
        <v>39</v>
      </c>
      <c r="C3716" s="5">
        <v>45983.5355324074</v>
      </c>
      <c r="D3716" s="5">
        <v>45983</v>
      </c>
      <c r="E3716" s="6">
        <f>IF(AND(C3716&lt;&gt;"",D3716&lt;&gt;""),D3716-C3716,"")</f>
        <v>0</v>
      </c>
      <c r="F3716" s="4" t="s">
        <v>4154</v>
      </c>
      <c r="G3716" s="4" t="s">
        <v>4204</v>
      </c>
      <c r="H3716" s="4" t="s">
        <v>32</v>
      </c>
      <c r="I3716" s="4" t="s">
        <v>33</v>
      </c>
      <c r="J3716" s="4">
        <v>1</v>
      </c>
      <c r="K3716" s="4">
        <v>0</v>
      </c>
      <c r="L3716" s="4">
        <f>J3716+K3716</f>
        <v>0</v>
      </c>
      <c r="M3716" s="4" t="s">
        <v>80</v>
      </c>
      <c r="N3716" s="4"/>
      <c r="O3716" s="4">
        <v>1</v>
      </c>
      <c r="P3716" s="4" t="s">
        <v>135</v>
      </c>
      <c r="Q3716" s="4" t="s">
        <v>44</v>
      </c>
      <c r="R3716" s="7">
        <v>610000</v>
      </c>
      <c r="S3716" s="7">
        <v>0</v>
      </c>
      <c r="T3716" s="7">
        <f>R3716-S3716</f>
        <v>0</v>
      </c>
      <c r="U3716" s="7">
        <f>T3716*O3716</f>
        <v>0</v>
      </c>
    </row>
    <row r="3717" spans="1:21">
      <c r="A3717" s="4" t="s">
        <v>4975</v>
      </c>
      <c r="B3717" s="4" t="s">
        <v>39</v>
      </c>
      <c r="C3717" s="5">
        <v>45984.75792824074</v>
      </c>
      <c r="D3717" s="5">
        <v>45984</v>
      </c>
      <c r="E3717" s="6">
        <f>IF(AND(C3717&lt;&gt;"",D3717&lt;&gt;""),D3717-C3717,"")</f>
        <v>0</v>
      </c>
      <c r="F3717" s="4" t="s">
        <v>162</v>
      </c>
      <c r="G3717" s="4" t="s">
        <v>163</v>
      </c>
      <c r="H3717" s="4" t="s">
        <v>32</v>
      </c>
      <c r="I3717" s="4" t="s">
        <v>33</v>
      </c>
      <c r="J3717" s="4">
        <v>1</v>
      </c>
      <c r="K3717" s="4">
        <v>0</v>
      </c>
      <c r="L3717" s="4">
        <f>J3717+K3717</f>
        <v>0</v>
      </c>
      <c r="M3717" s="4" t="s">
        <v>42</v>
      </c>
      <c r="N3717" s="4"/>
      <c r="O3717" s="4">
        <v>1</v>
      </c>
      <c r="P3717" s="4" t="s">
        <v>135</v>
      </c>
      <c r="Q3717" s="4" t="s">
        <v>44</v>
      </c>
      <c r="R3717" s="7">
        <v>370000</v>
      </c>
      <c r="S3717" s="7">
        <v>0</v>
      </c>
      <c r="T3717" s="7">
        <f>R3717-S3717</f>
        <v>0</v>
      </c>
      <c r="U3717" s="7">
        <f>T3717*O3717</f>
        <v>0</v>
      </c>
    </row>
    <row r="3718" spans="1:21">
      <c r="A3718" s="4" t="s">
        <v>4975</v>
      </c>
      <c r="B3718" s="4" t="s">
        <v>39</v>
      </c>
      <c r="C3718" s="5">
        <v>45984.75792824074</v>
      </c>
      <c r="D3718" s="5">
        <v>45984</v>
      </c>
      <c r="E3718" s="6">
        <f>IF(AND(C3718&lt;&gt;"",D3718&lt;&gt;""),D3718-C3718,"")</f>
        <v>0</v>
      </c>
      <c r="F3718" s="4" t="s">
        <v>162</v>
      </c>
      <c r="G3718" s="4" t="s">
        <v>163</v>
      </c>
      <c r="H3718" s="4" t="s">
        <v>32</v>
      </c>
      <c r="I3718" s="4" t="s">
        <v>33</v>
      </c>
      <c r="J3718" s="4">
        <v>1</v>
      </c>
      <c r="K3718" s="4">
        <v>0</v>
      </c>
      <c r="L3718" s="4">
        <f>J3718+K3718</f>
        <v>0</v>
      </c>
      <c r="M3718" s="4" t="s">
        <v>80</v>
      </c>
      <c r="N3718" s="4"/>
      <c r="O3718" s="4">
        <v>1</v>
      </c>
      <c r="P3718" s="4" t="s">
        <v>135</v>
      </c>
      <c r="Q3718" s="4" t="s">
        <v>44</v>
      </c>
      <c r="R3718" s="7">
        <v>610000</v>
      </c>
      <c r="S3718" s="7">
        <v>61000</v>
      </c>
      <c r="T3718" s="7">
        <f>R3718-S3718</f>
        <v>0</v>
      </c>
      <c r="U3718" s="7">
        <f>T3718*O3718</f>
        <v>0</v>
      </c>
    </row>
    <row r="3719" spans="1:21">
      <c r="A3719" s="4" t="s">
        <v>4975</v>
      </c>
      <c r="B3719" s="4" t="s">
        <v>39</v>
      </c>
      <c r="C3719" s="5">
        <v>45984.75792824074</v>
      </c>
      <c r="D3719" s="5">
        <v>45984</v>
      </c>
      <c r="E3719" s="6">
        <f>IF(AND(C3719&lt;&gt;"",D3719&lt;&gt;""),D3719-C3719,"")</f>
        <v>0</v>
      </c>
      <c r="F3719" s="4" t="s">
        <v>162</v>
      </c>
      <c r="G3719" s="4" t="s">
        <v>163</v>
      </c>
      <c r="H3719" s="4" t="s">
        <v>32</v>
      </c>
      <c r="I3719" s="4" t="s">
        <v>33</v>
      </c>
      <c r="J3719" s="4">
        <v>0</v>
      </c>
      <c r="K3719" s="4">
        <v>1</v>
      </c>
      <c r="L3719" s="4">
        <f>J3719+K3719</f>
        <v>0</v>
      </c>
      <c r="M3719" s="4" t="s">
        <v>81</v>
      </c>
      <c r="N3719" s="4"/>
      <c r="O3719" s="4">
        <v>1</v>
      </c>
      <c r="P3719" s="4" t="s">
        <v>135</v>
      </c>
      <c r="Q3719" s="4" t="s">
        <v>44</v>
      </c>
      <c r="R3719" s="7">
        <v>495000</v>
      </c>
      <c r="S3719" s="7">
        <v>49500</v>
      </c>
      <c r="T3719" s="7">
        <f>R3719-S3719</f>
        <v>0</v>
      </c>
      <c r="U3719" s="7">
        <f>T3719*O3719</f>
        <v>0</v>
      </c>
    </row>
    <row r="3720" spans="1:21">
      <c r="A3720" s="4" t="s">
        <v>4976</v>
      </c>
      <c r="B3720" s="4" t="s">
        <v>48</v>
      </c>
      <c r="C3720" s="5">
        <v>45984.78854166667</v>
      </c>
      <c r="D3720" s="5">
        <v>45986</v>
      </c>
      <c r="E3720" s="6">
        <f>IF(AND(C3720&lt;&gt;"",D3720&lt;&gt;""),D3720-C3720,"")</f>
        <v>0</v>
      </c>
      <c r="F3720" s="4" t="s">
        <v>64</v>
      </c>
      <c r="G3720" s="4" t="s">
        <v>31</v>
      </c>
      <c r="H3720" s="4" t="s">
        <v>32</v>
      </c>
      <c r="I3720" s="4" t="s">
        <v>33</v>
      </c>
      <c r="J3720" s="4">
        <v>5</v>
      </c>
      <c r="K3720" s="4">
        <v>0</v>
      </c>
      <c r="L3720" s="4">
        <f>J3720+K3720</f>
        <v>0</v>
      </c>
      <c r="M3720" s="4"/>
      <c r="N3720" s="4"/>
      <c r="O3720" s="4">
        <v>0</v>
      </c>
      <c r="P3720" s="4"/>
      <c r="Q3720" s="4"/>
      <c r="R3720" s="7">
        <v>0</v>
      </c>
      <c r="S3720" s="7">
        <v>0</v>
      </c>
      <c r="T3720" s="7">
        <f>R3720-S3720</f>
        <v>0</v>
      </c>
      <c r="U3720" s="7">
        <f>T3720*O3720</f>
        <v>0</v>
      </c>
    </row>
    <row r="3721" spans="1:21">
      <c r="A3721" s="4" t="s">
        <v>4977</v>
      </c>
      <c r="B3721" s="4" t="s">
        <v>48</v>
      </c>
      <c r="C3721" s="5">
        <v>45984.79246527778</v>
      </c>
      <c r="D3721" s="5">
        <v>45985</v>
      </c>
      <c r="E3721" s="6">
        <f>IF(AND(C3721&lt;&gt;"",D3721&lt;&gt;""),D3721-C3721,"")</f>
        <v>0</v>
      </c>
      <c r="F3721" s="4" t="s">
        <v>64</v>
      </c>
      <c r="G3721" s="4" t="s">
        <v>31</v>
      </c>
      <c r="H3721" s="4" t="s">
        <v>32</v>
      </c>
      <c r="I3721" s="4" t="s">
        <v>33</v>
      </c>
      <c r="J3721" s="4">
        <v>2</v>
      </c>
      <c r="K3721" s="4">
        <v>0</v>
      </c>
      <c r="L3721" s="4">
        <f>J3721+K3721</f>
        <v>0</v>
      </c>
      <c r="M3721" s="4"/>
      <c r="N3721" s="4"/>
      <c r="O3721" s="4">
        <v>0</v>
      </c>
      <c r="P3721" s="4"/>
      <c r="Q3721" s="4"/>
      <c r="R3721" s="7">
        <v>0</v>
      </c>
      <c r="S3721" s="7">
        <v>0</v>
      </c>
      <c r="T3721" s="7">
        <f>R3721-S3721</f>
        <v>0</v>
      </c>
      <c r="U3721" s="7">
        <f>T3721*O3721</f>
        <v>0</v>
      </c>
    </row>
    <row r="3722" spans="1:21">
      <c r="A3722" s="4" t="s">
        <v>4978</v>
      </c>
      <c r="B3722" s="4" t="s">
        <v>48</v>
      </c>
      <c r="C3722" s="5">
        <v>45984.79480324074</v>
      </c>
      <c r="D3722" s="5">
        <v>45985</v>
      </c>
      <c r="E3722" s="6">
        <f>IF(AND(C3722&lt;&gt;"",D3722&lt;&gt;""),D3722-C3722,"")</f>
        <v>0</v>
      </c>
      <c r="F3722" s="4" t="s">
        <v>64</v>
      </c>
      <c r="G3722" s="4" t="s">
        <v>31</v>
      </c>
      <c r="H3722" s="4" t="s">
        <v>32</v>
      </c>
      <c r="I3722" s="4" t="s">
        <v>33</v>
      </c>
      <c r="J3722" s="4">
        <v>5</v>
      </c>
      <c r="K3722" s="4">
        <v>0</v>
      </c>
      <c r="L3722" s="4">
        <f>J3722+K3722</f>
        <v>0</v>
      </c>
      <c r="M3722" s="4"/>
      <c r="N3722" s="4"/>
      <c r="O3722" s="4">
        <v>0</v>
      </c>
      <c r="P3722" s="4"/>
      <c r="Q3722" s="4"/>
      <c r="R3722" s="7">
        <v>0</v>
      </c>
      <c r="S3722" s="7">
        <v>0</v>
      </c>
      <c r="T3722" s="7">
        <f>R3722-S3722</f>
        <v>0</v>
      </c>
      <c r="U3722" s="7">
        <f>T3722*O3722</f>
        <v>0</v>
      </c>
    </row>
    <row r="3723" spans="1:21">
      <c r="A3723" s="4" t="s">
        <v>4979</v>
      </c>
      <c r="B3723" s="4" t="s">
        <v>48</v>
      </c>
      <c r="C3723" s="5">
        <v>45984.80568287037</v>
      </c>
      <c r="D3723" s="5">
        <v>45985</v>
      </c>
      <c r="E3723" s="6">
        <f>IF(AND(C3723&lt;&gt;"",D3723&lt;&gt;""),D3723-C3723,"")</f>
        <v>0</v>
      </c>
      <c r="F3723" s="4" t="s">
        <v>64</v>
      </c>
      <c r="G3723" s="4" t="s">
        <v>31</v>
      </c>
      <c r="H3723" s="4" t="s">
        <v>32</v>
      </c>
      <c r="I3723" s="4" t="s">
        <v>33</v>
      </c>
      <c r="J3723" s="4">
        <v>5</v>
      </c>
      <c r="K3723" s="4">
        <v>0</v>
      </c>
      <c r="L3723" s="4">
        <f>J3723+K3723</f>
        <v>0</v>
      </c>
      <c r="M3723" s="4"/>
      <c r="N3723" s="4"/>
      <c r="O3723" s="4">
        <v>0</v>
      </c>
      <c r="P3723" s="4"/>
      <c r="Q3723" s="4"/>
      <c r="R3723" s="7">
        <v>0</v>
      </c>
      <c r="S3723" s="7">
        <v>0</v>
      </c>
      <c r="T3723" s="7">
        <f>R3723-S3723</f>
        <v>0</v>
      </c>
      <c r="U3723" s="7">
        <f>T3723*O3723</f>
        <v>0</v>
      </c>
    </row>
    <row r="3724" spans="1:21">
      <c r="A3724" s="4" t="s">
        <v>4980</v>
      </c>
      <c r="B3724" s="4" t="s">
        <v>39</v>
      </c>
      <c r="C3724" s="5">
        <v>45984.80892361111</v>
      </c>
      <c r="D3724" s="5">
        <v>45984</v>
      </c>
      <c r="E3724" s="6">
        <f>IF(AND(C3724&lt;&gt;"",D3724&lt;&gt;""),D3724-C3724,"")</f>
        <v>0</v>
      </c>
      <c r="F3724" s="4" t="s">
        <v>4154</v>
      </c>
      <c r="G3724" s="4" t="s">
        <v>4204</v>
      </c>
      <c r="H3724" s="4" t="s">
        <v>32</v>
      </c>
      <c r="I3724" s="4" t="s">
        <v>33</v>
      </c>
      <c r="J3724" s="4">
        <v>2</v>
      </c>
      <c r="K3724" s="4">
        <v>0</v>
      </c>
      <c r="L3724" s="4">
        <f>J3724+K3724</f>
        <v>0</v>
      </c>
      <c r="M3724" s="4" t="s">
        <v>80</v>
      </c>
      <c r="N3724" s="4"/>
      <c r="O3724" s="4">
        <v>2</v>
      </c>
      <c r="P3724" s="4" t="s">
        <v>135</v>
      </c>
      <c r="Q3724" s="4" t="s">
        <v>44</v>
      </c>
      <c r="R3724" s="7">
        <v>610000</v>
      </c>
      <c r="S3724" s="7">
        <v>61000</v>
      </c>
      <c r="T3724" s="7">
        <f>R3724-S3724</f>
        <v>0</v>
      </c>
      <c r="U3724" s="7">
        <f>T3724*O3724</f>
        <v>0</v>
      </c>
    </row>
    <row r="3725" spans="1:21">
      <c r="A3725" s="4" t="s">
        <v>4981</v>
      </c>
      <c r="B3725" s="4" t="s">
        <v>48</v>
      </c>
      <c r="C3725" s="5">
        <v>45984.81131944444</v>
      </c>
      <c r="D3725" s="5">
        <v>45985</v>
      </c>
      <c r="E3725" s="6">
        <f>IF(AND(C3725&lt;&gt;"",D3725&lt;&gt;""),D3725-C3725,"")</f>
        <v>0</v>
      </c>
      <c r="F3725" s="4" t="s">
        <v>64</v>
      </c>
      <c r="G3725" s="4" t="s">
        <v>31</v>
      </c>
      <c r="H3725" s="4" t="s">
        <v>32</v>
      </c>
      <c r="I3725" s="4" t="s">
        <v>33</v>
      </c>
      <c r="J3725" s="4">
        <v>2</v>
      </c>
      <c r="K3725" s="4">
        <v>0</v>
      </c>
      <c r="L3725" s="4">
        <f>J3725+K3725</f>
        <v>0</v>
      </c>
      <c r="M3725" s="4"/>
      <c r="N3725" s="4"/>
      <c r="O3725" s="4">
        <v>0</v>
      </c>
      <c r="P3725" s="4"/>
      <c r="Q3725" s="4"/>
      <c r="R3725" s="7">
        <v>0</v>
      </c>
      <c r="S3725" s="7">
        <v>0</v>
      </c>
      <c r="T3725" s="7">
        <f>R3725-S3725</f>
        <v>0</v>
      </c>
      <c r="U3725" s="7">
        <f>T3725*O3725</f>
        <v>0</v>
      </c>
    </row>
    <row r="3726" spans="1:21">
      <c r="A3726" s="4" t="s">
        <v>4982</v>
      </c>
      <c r="B3726" s="4" t="s">
        <v>48</v>
      </c>
      <c r="C3726" s="5">
        <v>45984.81871527778</v>
      </c>
      <c r="D3726" s="5">
        <v>45985</v>
      </c>
      <c r="E3726" s="6">
        <f>IF(AND(C3726&lt;&gt;"",D3726&lt;&gt;""),D3726-C3726,"")</f>
        <v>0</v>
      </c>
      <c r="F3726" s="4" t="s">
        <v>64</v>
      </c>
      <c r="G3726" s="4" t="s">
        <v>31</v>
      </c>
      <c r="H3726" s="4" t="s">
        <v>32</v>
      </c>
      <c r="I3726" s="4" t="s">
        <v>33</v>
      </c>
      <c r="J3726" s="4">
        <v>2</v>
      </c>
      <c r="K3726" s="4">
        <v>0</v>
      </c>
      <c r="L3726" s="4">
        <f>J3726+K3726</f>
        <v>0</v>
      </c>
      <c r="M3726" s="4"/>
      <c r="N3726" s="4"/>
      <c r="O3726" s="4">
        <v>0</v>
      </c>
      <c r="P3726" s="4"/>
      <c r="Q3726" s="4"/>
      <c r="R3726" s="7">
        <v>0</v>
      </c>
      <c r="S3726" s="7">
        <v>0</v>
      </c>
      <c r="T3726" s="7">
        <f>R3726-S3726</f>
        <v>0</v>
      </c>
      <c r="U3726" s="7">
        <f>T3726*O3726</f>
        <v>0</v>
      </c>
    </row>
    <row r="3727" spans="1:21">
      <c r="A3727" s="4" t="s">
        <v>4983</v>
      </c>
      <c r="B3727" s="4" t="s">
        <v>48</v>
      </c>
      <c r="C3727" s="5">
        <v>45984.82425925926</v>
      </c>
      <c r="D3727" s="5">
        <v>45985</v>
      </c>
      <c r="E3727" s="6">
        <f>IF(AND(C3727&lt;&gt;"",D3727&lt;&gt;""),D3727-C3727,"")</f>
        <v>0</v>
      </c>
      <c r="F3727" s="4" t="s">
        <v>64</v>
      </c>
      <c r="G3727" s="4" t="s">
        <v>31</v>
      </c>
      <c r="H3727" s="4" t="s">
        <v>32</v>
      </c>
      <c r="I3727" s="4" t="s">
        <v>33</v>
      </c>
      <c r="J3727" s="4">
        <v>2</v>
      </c>
      <c r="K3727" s="4">
        <v>0</v>
      </c>
      <c r="L3727" s="4">
        <f>J3727+K3727</f>
        <v>0</v>
      </c>
      <c r="M3727" s="4"/>
      <c r="N3727" s="4"/>
      <c r="O3727" s="4">
        <v>0</v>
      </c>
      <c r="P3727" s="4"/>
      <c r="Q3727" s="4"/>
      <c r="R3727" s="7">
        <v>0</v>
      </c>
      <c r="S3727" s="7">
        <v>0</v>
      </c>
      <c r="T3727" s="7">
        <f>R3727-S3727</f>
        <v>0</v>
      </c>
      <c r="U3727" s="7">
        <f>T3727*O3727</f>
        <v>0</v>
      </c>
    </row>
    <row r="3728" spans="1:21">
      <c r="A3728" s="4" t="s">
        <v>4984</v>
      </c>
      <c r="B3728" s="4" t="s">
        <v>48</v>
      </c>
      <c r="C3728" s="5">
        <v>45984.82881944445</v>
      </c>
      <c r="D3728" s="5">
        <v>45985</v>
      </c>
      <c r="E3728" s="6">
        <f>IF(AND(C3728&lt;&gt;"",D3728&lt;&gt;""),D3728-C3728,"")</f>
        <v>0</v>
      </c>
      <c r="F3728" s="4" t="s">
        <v>64</v>
      </c>
      <c r="G3728" s="4" t="s">
        <v>31</v>
      </c>
      <c r="H3728" s="4" t="s">
        <v>32</v>
      </c>
      <c r="I3728" s="4" t="s">
        <v>33</v>
      </c>
      <c r="J3728" s="4">
        <v>2</v>
      </c>
      <c r="K3728" s="4">
        <v>0</v>
      </c>
      <c r="L3728" s="4">
        <f>J3728+K3728</f>
        <v>0</v>
      </c>
      <c r="M3728" s="4"/>
      <c r="N3728" s="4"/>
      <c r="O3728" s="4">
        <v>0</v>
      </c>
      <c r="P3728" s="4"/>
      <c r="Q3728" s="4"/>
      <c r="R3728" s="7">
        <v>0</v>
      </c>
      <c r="S3728" s="7">
        <v>0</v>
      </c>
      <c r="T3728" s="7">
        <f>R3728-S3728</f>
        <v>0</v>
      </c>
      <c r="U3728" s="7">
        <f>T3728*O3728</f>
        <v>0</v>
      </c>
    </row>
    <row r="3729" spans="1:21">
      <c r="A3729" s="4" t="s">
        <v>4985</v>
      </c>
      <c r="B3729" s="4" t="s">
        <v>39</v>
      </c>
      <c r="C3729" s="5">
        <v>45984.83225694444</v>
      </c>
      <c r="D3729" s="5">
        <v>45984</v>
      </c>
      <c r="E3729" s="6">
        <f>IF(AND(C3729&lt;&gt;"",D3729&lt;&gt;""),D3729-C3729,"")</f>
        <v>0</v>
      </c>
      <c r="F3729" s="4" t="s">
        <v>1343</v>
      </c>
      <c r="G3729" s="4" t="s">
        <v>4986</v>
      </c>
      <c r="H3729" s="4" t="s">
        <v>32</v>
      </c>
      <c r="I3729" s="4" t="s">
        <v>33</v>
      </c>
      <c r="J3729" s="4">
        <v>2</v>
      </c>
      <c r="K3729" s="4">
        <v>0</v>
      </c>
      <c r="L3729" s="4">
        <f>J3729+K3729</f>
        <v>0</v>
      </c>
      <c r="M3729" s="4" t="s">
        <v>80</v>
      </c>
      <c r="N3729" s="4"/>
      <c r="O3729" s="4">
        <v>2</v>
      </c>
      <c r="P3729" s="4" t="s">
        <v>135</v>
      </c>
      <c r="Q3729" s="4" t="s">
        <v>44</v>
      </c>
      <c r="R3729" s="7">
        <v>610000</v>
      </c>
      <c r="S3729" s="7">
        <v>61000</v>
      </c>
      <c r="T3729" s="7">
        <f>R3729-S3729</f>
        <v>0</v>
      </c>
      <c r="U3729" s="7">
        <f>T3729*O3729</f>
        <v>0</v>
      </c>
    </row>
    <row r="3730" spans="1:21">
      <c r="A3730" s="4" t="s">
        <v>4987</v>
      </c>
      <c r="B3730" s="4" t="s">
        <v>48</v>
      </c>
      <c r="C3730" s="5">
        <v>45984.83355324074</v>
      </c>
      <c r="D3730" s="5">
        <v>45985</v>
      </c>
      <c r="E3730" s="6">
        <f>IF(AND(C3730&lt;&gt;"",D3730&lt;&gt;""),D3730-C3730,"")</f>
        <v>0</v>
      </c>
      <c r="F3730" s="4" t="s">
        <v>64</v>
      </c>
      <c r="G3730" s="4" t="s">
        <v>31</v>
      </c>
      <c r="H3730" s="4" t="s">
        <v>32</v>
      </c>
      <c r="I3730" s="4" t="s">
        <v>33</v>
      </c>
      <c r="J3730" s="4">
        <v>2</v>
      </c>
      <c r="K3730" s="4">
        <v>0</v>
      </c>
      <c r="L3730" s="4">
        <f>J3730+K3730</f>
        <v>0</v>
      </c>
      <c r="M3730" s="4"/>
      <c r="N3730" s="4"/>
      <c r="O3730" s="4">
        <v>0</v>
      </c>
      <c r="P3730" s="4"/>
      <c r="Q3730" s="4"/>
      <c r="R3730" s="7">
        <v>0</v>
      </c>
      <c r="S3730" s="7">
        <v>0</v>
      </c>
      <c r="T3730" s="7">
        <f>R3730-S3730</f>
        <v>0</v>
      </c>
      <c r="U3730" s="7">
        <f>T3730*O3730</f>
        <v>0</v>
      </c>
    </row>
    <row r="3731" spans="1:21">
      <c r="A3731" s="4" t="s">
        <v>4988</v>
      </c>
      <c r="B3731" s="4" t="s">
        <v>48</v>
      </c>
      <c r="C3731" s="5">
        <v>45984.83848379629</v>
      </c>
      <c r="D3731" s="5">
        <v>45985</v>
      </c>
      <c r="E3731" s="6">
        <f>IF(AND(C3731&lt;&gt;"",D3731&lt;&gt;""),D3731-C3731,"")</f>
        <v>0</v>
      </c>
      <c r="F3731" s="4" t="s">
        <v>64</v>
      </c>
      <c r="G3731" s="4" t="s">
        <v>31</v>
      </c>
      <c r="H3731" s="4" t="s">
        <v>32</v>
      </c>
      <c r="I3731" s="4" t="s">
        <v>33</v>
      </c>
      <c r="J3731" s="4">
        <v>2</v>
      </c>
      <c r="K3731" s="4">
        <v>0</v>
      </c>
      <c r="L3731" s="4">
        <f>J3731+K3731</f>
        <v>0</v>
      </c>
      <c r="M3731" s="4"/>
      <c r="N3731" s="4"/>
      <c r="O3731" s="4">
        <v>0</v>
      </c>
      <c r="P3731" s="4"/>
      <c r="Q3731" s="4"/>
      <c r="R3731" s="7">
        <v>0</v>
      </c>
      <c r="S3731" s="7">
        <v>0</v>
      </c>
      <c r="T3731" s="7">
        <f>R3731-S3731</f>
        <v>0</v>
      </c>
      <c r="U3731" s="7">
        <f>T3731*O3731</f>
        <v>0</v>
      </c>
    </row>
    <row r="3732" spans="1:21">
      <c r="A3732" s="4" t="s">
        <v>4989</v>
      </c>
      <c r="B3732" s="4" t="s">
        <v>48</v>
      </c>
      <c r="C3732" s="5">
        <v>45984.84311342592</v>
      </c>
      <c r="D3732" s="5">
        <v>45985</v>
      </c>
      <c r="E3732" s="6">
        <f>IF(AND(C3732&lt;&gt;"",D3732&lt;&gt;""),D3732-C3732,"")</f>
        <v>0</v>
      </c>
      <c r="F3732" s="4" t="s">
        <v>64</v>
      </c>
      <c r="G3732" s="4" t="s">
        <v>31</v>
      </c>
      <c r="H3732" s="4" t="s">
        <v>32</v>
      </c>
      <c r="I3732" s="4" t="s">
        <v>33</v>
      </c>
      <c r="J3732" s="4">
        <v>1</v>
      </c>
      <c r="K3732" s="4">
        <v>0</v>
      </c>
      <c r="L3732" s="4">
        <f>J3732+K3732</f>
        <v>0</v>
      </c>
      <c r="M3732" s="4"/>
      <c r="N3732" s="4"/>
      <c r="O3732" s="4">
        <v>0</v>
      </c>
      <c r="P3732" s="4"/>
      <c r="Q3732" s="4"/>
      <c r="R3732" s="7">
        <v>0</v>
      </c>
      <c r="S3732" s="7">
        <v>0</v>
      </c>
      <c r="T3732" s="7">
        <f>R3732-S3732</f>
        <v>0</v>
      </c>
      <c r="U3732" s="7">
        <f>T3732*O3732</f>
        <v>0</v>
      </c>
    </row>
    <row r="3733" spans="1:21">
      <c r="A3733" s="4" t="s">
        <v>4990</v>
      </c>
      <c r="B3733" s="4" t="s">
        <v>48</v>
      </c>
      <c r="C3733" s="5">
        <v>45984.84530092592</v>
      </c>
      <c r="D3733" s="5">
        <v>45985</v>
      </c>
      <c r="E3733" s="6">
        <f>IF(AND(C3733&lt;&gt;"",D3733&lt;&gt;""),D3733-C3733,"")</f>
        <v>0</v>
      </c>
      <c r="F3733" s="4" t="s">
        <v>64</v>
      </c>
      <c r="G3733" s="4" t="s">
        <v>31</v>
      </c>
      <c r="H3733" s="4" t="s">
        <v>32</v>
      </c>
      <c r="I3733" s="4" t="s">
        <v>33</v>
      </c>
      <c r="J3733" s="4">
        <v>2</v>
      </c>
      <c r="K3733" s="4">
        <v>0</v>
      </c>
      <c r="L3733" s="4">
        <f>J3733+K3733</f>
        <v>0</v>
      </c>
      <c r="M3733" s="4"/>
      <c r="N3733" s="4"/>
      <c r="O3733" s="4">
        <v>0</v>
      </c>
      <c r="P3733" s="4"/>
      <c r="Q3733" s="4"/>
      <c r="R3733" s="7">
        <v>0</v>
      </c>
      <c r="S3733" s="7">
        <v>0</v>
      </c>
      <c r="T3733" s="7">
        <f>R3733-S3733</f>
        <v>0</v>
      </c>
      <c r="U3733" s="7">
        <f>T3733*O3733</f>
        <v>0</v>
      </c>
    </row>
    <row r="3734" spans="1:21">
      <c r="A3734" s="4" t="s">
        <v>4991</v>
      </c>
      <c r="B3734" s="4" t="s">
        <v>48</v>
      </c>
      <c r="C3734" s="5">
        <v>45984.86180555556</v>
      </c>
      <c r="D3734" s="5">
        <v>45985</v>
      </c>
      <c r="E3734" s="6">
        <f>IF(AND(C3734&lt;&gt;"",D3734&lt;&gt;""),D3734-C3734,"")</f>
        <v>0</v>
      </c>
      <c r="F3734" s="4" t="s">
        <v>64</v>
      </c>
      <c r="G3734" s="4" t="s">
        <v>31</v>
      </c>
      <c r="H3734" s="4" t="s">
        <v>32</v>
      </c>
      <c r="I3734" s="4" t="s">
        <v>33</v>
      </c>
      <c r="J3734" s="4">
        <v>2</v>
      </c>
      <c r="K3734" s="4">
        <v>0</v>
      </c>
      <c r="L3734" s="4">
        <f>J3734+K3734</f>
        <v>0</v>
      </c>
      <c r="M3734" s="4"/>
      <c r="N3734" s="4"/>
      <c r="O3734" s="4">
        <v>0</v>
      </c>
      <c r="P3734" s="4"/>
      <c r="Q3734" s="4"/>
      <c r="R3734" s="7">
        <v>0</v>
      </c>
      <c r="S3734" s="7">
        <v>0</v>
      </c>
      <c r="T3734" s="7">
        <f>R3734-S3734</f>
        <v>0</v>
      </c>
      <c r="U3734" s="7">
        <f>T3734*O3734</f>
        <v>0</v>
      </c>
    </row>
    <row r="3735" spans="1:21">
      <c r="A3735" s="4" t="s">
        <v>4992</v>
      </c>
      <c r="B3735" s="4" t="s">
        <v>48</v>
      </c>
      <c r="C3735" s="5">
        <v>45984.8631712963</v>
      </c>
      <c r="D3735" s="5">
        <v>45985</v>
      </c>
      <c r="E3735" s="6">
        <f>IF(AND(C3735&lt;&gt;"",D3735&lt;&gt;""),D3735-C3735,"")</f>
        <v>0</v>
      </c>
      <c r="F3735" s="4" t="s">
        <v>64</v>
      </c>
      <c r="G3735" s="4" t="s">
        <v>31</v>
      </c>
      <c r="H3735" s="4" t="s">
        <v>32</v>
      </c>
      <c r="I3735" s="4" t="s">
        <v>33</v>
      </c>
      <c r="J3735" s="4">
        <v>2</v>
      </c>
      <c r="K3735" s="4">
        <v>0</v>
      </c>
      <c r="L3735" s="4">
        <f>J3735+K3735</f>
        <v>0</v>
      </c>
      <c r="M3735" s="4"/>
      <c r="N3735" s="4"/>
      <c r="O3735" s="4">
        <v>0</v>
      </c>
      <c r="P3735" s="4"/>
      <c r="Q3735" s="4"/>
      <c r="R3735" s="7">
        <v>0</v>
      </c>
      <c r="S3735" s="7">
        <v>0</v>
      </c>
      <c r="T3735" s="7">
        <f>R3735-S3735</f>
        <v>0</v>
      </c>
      <c r="U3735" s="7">
        <f>T3735*O3735</f>
        <v>0</v>
      </c>
    </row>
    <row r="3736" spans="1:21">
      <c r="A3736" s="4" t="s">
        <v>4993</v>
      </c>
      <c r="B3736" s="4" t="s">
        <v>48</v>
      </c>
      <c r="C3736" s="5">
        <v>45984.8728587963</v>
      </c>
      <c r="D3736" s="5">
        <v>45985</v>
      </c>
      <c r="E3736" s="6">
        <f>IF(AND(C3736&lt;&gt;"",D3736&lt;&gt;""),D3736-C3736,"")</f>
        <v>0</v>
      </c>
      <c r="F3736" s="4" t="s">
        <v>64</v>
      </c>
      <c r="G3736" s="4" t="s">
        <v>4412</v>
      </c>
      <c r="H3736" s="4" t="s">
        <v>32</v>
      </c>
      <c r="I3736" s="4" t="s">
        <v>33</v>
      </c>
      <c r="J3736" s="4">
        <v>2</v>
      </c>
      <c r="K3736" s="4">
        <v>0</v>
      </c>
      <c r="L3736" s="4">
        <f>J3736+K3736</f>
        <v>0</v>
      </c>
      <c r="M3736" s="4"/>
      <c r="N3736" s="4"/>
      <c r="O3736" s="4">
        <v>0</v>
      </c>
      <c r="P3736" s="4"/>
      <c r="Q3736" s="4"/>
      <c r="R3736" s="7">
        <v>0</v>
      </c>
      <c r="S3736" s="7">
        <v>0</v>
      </c>
      <c r="T3736" s="7">
        <f>R3736-S3736</f>
        <v>0</v>
      </c>
      <c r="U3736" s="7">
        <f>T3736*O3736</f>
        <v>0</v>
      </c>
    </row>
    <row r="3737" spans="1:21">
      <c r="A3737" s="4" t="s">
        <v>4994</v>
      </c>
      <c r="B3737" s="4" t="s">
        <v>48</v>
      </c>
      <c r="C3737" s="5">
        <v>45984.87438657408</v>
      </c>
      <c r="D3737" s="5">
        <v>45985</v>
      </c>
      <c r="E3737" s="6">
        <f>IF(AND(C3737&lt;&gt;"",D3737&lt;&gt;""),D3737-C3737,"")</f>
        <v>0</v>
      </c>
      <c r="F3737" s="4" t="s">
        <v>64</v>
      </c>
      <c r="G3737" s="4" t="s">
        <v>4412</v>
      </c>
      <c r="H3737" s="4" t="s">
        <v>32</v>
      </c>
      <c r="I3737" s="4" t="s">
        <v>33</v>
      </c>
      <c r="J3737" s="4">
        <v>2</v>
      </c>
      <c r="K3737" s="4">
        <v>0</v>
      </c>
      <c r="L3737" s="4">
        <f>J3737+K3737</f>
        <v>0</v>
      </c>
      <c r="M3737" s="4"/>
      <c r="N3737" s="4"/>
      <c r="O3737" s="4">
        <v>0</v>
      </c>
      <c r="P3737" s="4"/>
      <c r="Q3737" s="4"/>
      <c r="R3737" s="7">
        <v>0</v>
      </c>
      <c r="S3737" s="7">
        <v>0</v>
      </c>
      <c r="T3737" s="7">
        <f>R3737-S3737</f>
        <v>0</v>
      </c>
      <c r="U3737" s="7">
        <f>T3737*O3737</f>
        <v>0</v>
      </c>
    </row>
    <row r="3738" spans="1:21">
      <c r="A3738" s="4" t="s">
        <v>4995</v>
      </c>
      <c r="B3738" s="4" t="s">
        <v>48</v>
      </c>
      <c r="C3738" s="5">
        <v>45984.87719907407</v>
      </c>
      <c r="D3738" s="5">
        <v>45985</v>
      </c>
      <c r="E3738" s="6">
        <f>IF(AND(C3738&lt;&gt;"",D3738&lt;&gt;""),D3738-C3738,"")</f>
        <v>0</v>
      </c>
      <c r="F3738" s="4" t="s">
        <v>4996</v>
      </c>
      <c r="G3738" s="4" t="s">
        <v>4997</v>
      </c>
      <c r="H3738" s="4" t="s">
        <v>32</v>
      </c>
      <c r="I3738" s="4" t="s">
        <v>33</v>
      </c>
      <c r="J3738" s="4">
        <v>2</v>
      </c>
      <c r="K3738" s="4">
        <v>0</v>
      </c>
      <c r="L3738" s="4">
        <f>J3738+K3738</f>
        <v>0</v>
      </c>
      <c r="M3738" s="4"/>
      <c r="N3738" s="4"/>
      <c r="O3738" s="4">
        <v>0</v>
      </c>
      <c r="P3738" s="4"/>
      <c r="Q3738" s="4"/>
      <c r="R3738" s="7">
        <v>0</v>
      </c>
      <c r="S3738" s="7">
        <v>0</v>
      </c>
      <c r="T3738" s="7">
        <f>R3738-S3738</f>
        <v>0</v>
      </c>
      <c r="U3738" s="7">
        <f>T3738*O3738</f>
        <v>0</v>
      </c>
    </row>
    <row r="3739" spans="1:21">
      <c r="A3739" s="4" t="s">
        <v>4998</v>
      </c>
      <c r="B3739" s="4" t="s">
        <v>48</v>
      </c>
      <c r="C3739" s="5">
        <v>45984.88407407407</v>
      </c>
      <c r="D3739" s="5">
        <v>45985</v>
      </c>
      <c r="E3739" s="6">
        <f>IF(AND(C3739&lt;&gt;"",D3739&lt;&gt;""),D3739-C3739,"")</f>
        <v>0</v>
      </c>
      <c r="F3739" s="4" t="s">
        <v>4996</v>
      </c>
      <c r="G3739" s="4" t="s">
        <v>4997</v>
      </c>
      <c r="H3739" s="4" t="s">
        <v>32</v>
      </c>
      <c r="I3739" s="4" t="s">
        <v>33</v>
      </c>
      <c r="J3739" s="4">
        <v>2</v>
      </c>
      <c r="K3739" s="4">
        <v>0</v>
      </c>
      <c r="L3739" s="4">
        <f>J3739+K3739</f>
        <v>0</v>
      </c>
      <c r="M3739" s="4"/>
      <c r="N3739" s="4"/>
      <c r="O3739" s="4">
        <v>0</v>
      </c>
      <c r="P3739" s="4"/>
      <c r="Q3739" s="4"/>
      <c r="R3739" s="7">
        <v>0</v>
      </c>
      <c r="S3739" s="7">
        <v>0</v>
      </c>
      <c r="T3739" s="7">
        <f>R3739-S3739</f>
        <v>0</v>
      </c>
      <c r="U3739" s="7">
        <f>T3739*O3739</f>
        <v>0</v>
      </c>
    </row>
    <row r="3740" spans="1:21">
      <c r="A3740" s="4" t="s">
        <v>4999</v>
      </c>
      <c r="B3740" s="4" t="s">
        <v>48</v>
      </c>
      <c r="C3740" s="5">
        <v>45984.88625</v>
      </c>
      <c r="D3740" s="5">
        <v>45985</v>
      </c>
      <c r="E3740" s="6">
        <f>IF(AND(C3740&lt;&gt;"",D3740&lt;&gt;""),D3740-C3740,"")</f>
        <v>0</v>
      </c>
      <c r="F3740" s="4" t="s">
        <v>64</v>
      </c>
      <c r="G3740" s="4" t="s">
        <v>5000</v>
      </c>
      <c r="H3740" s="4" t="s">
        <v>32</v>
      </c>
      <c r="I3740" s="4" t="s">
        <v>33</v>
      </c>
      <c r="J3740" s="4">
        <v>2</v>
      </c>
      <c r="K3740" s="4">
        <v>0</v>
      </c>
      <c r="L3740" s="4">
        <f>J3740+K3740</f>
        <v>0</v>
      </c>
      <c r="M3740" s="4"/>
      <c r="N3740" s="4"/>
      <c r="O3740" s="4">
        <v>0</v>
      </c>
      <c r="P3740" s="4"/>
      <c r="Q3740" s="4"/>
      <c r="R3740" s="7">
        <v>0</v>
      </c>
      <c r="S3740" s="7">
        <v>0</v>
      </c>
      <c r="T3740" s="7">
        <f>R3740-S3740</f>
        <v>0</v>
      </c>
      <c r="U3740" s="7">
        <f>T3740*O3740</f>
        <v>0</v>
      </c>
    </row>
    <row r="3741" spans="1:21">
      <c r="A3741" s="4" t="s">
        <v>5001</v>
      </c>
      <c r="B3741" s="4" t="s">
        <v>48</v>
      </c>
      <c r="C3741" s="5">
        <v>45984.89417824074</v>
      </c>
      <c r="D3741" s="5">
        <v>45985</v>
      </c>
      <c r="E3741" s="6">
        <f>IF(AND(C3741&lt;&gt;"",D3741&lt;&gt;""),D3741-C3741,"")</f>
        <v>0</v>
      </c>
      <c r="F3741" s="4" t="s">
        <v>64</v>
      </c>
      <c r="G3741" s="4" t="s">
        <v>5002</v>
      </c>
      <c r="H3741" s="4" t="s">
        <v>32</v>
      </c>
      <c r="I3741" s="4" t="s">
        <v>33</v>
      </c>
      <c r="J3741" s="4">
        <v>2</v>
      </c>
      <c r="K3741" s="4">
        <v>0</v>
      </c>
      <c r="L3741" s="4">
        <f>J3741+K3741</f>
        <v>0</v>
      </c>
      <c r="M3741" s="4"/>
      <c r="N3741" s="4"/>
      <c r="O3741" s="4">
        <v>0</v>
      </c>
      <c r="P3741" s="4"/>
      <c r="Q3741" s="4"/>
      <c r="R3741" s="7">
        <v>0</v>
      </c>
      <c r="S3741" s="7">
        <v>0</v>
      </c>
      <c r="T3741" s="7">
        <f>R3741-S3741</f>
        <v>0</v>
      </c>
      <c r="U3741" s="7">
        <f>T3741*O3741</f>
        <v>0</v>
      </c>
    </row>
    <row r="3742" spans="1:21">
      <c r="A3742" s="4" t="s">
        <v>5003</v>
      </c>
      <c r="B3742" s="4" t="s">
        <v>48</v>
      </c>
      <c r="C3742" s="5">
        <v>45984.89652777778</v>
      </c>
      <c r="D3742" s="5">
        <v>45985</v>
      </c>
      <c r="E3742" s="6">
        <f>IF(AND(C3742&lt;&gt;"",D3742&lt;&gt;""),D3742-C3742,"")</f>
        <v>0</v>
      </c>
      <c r="F3742" s="4" t="s">
        <v>64</v>
      </c>
      <c r="G3742" s="4" t="s">
        <v>5004</v>
      </c>
      <c r="H3742" s="4" t="s">
        <v>32</v>
      </c>
      <c r="I3742" s="4" t="s">
        <v>33</v>
      </c>
      <c r="J3742" s="4">
        <v>2</v>
      </c>
      <c r="K3742" s="4">
        <v>0</v>
      </c>
      <c r="L3742" s="4">
        <f>J3742+K3742</f>
        <v>0</v>
      </c>
      <c r="M3742" s="4"/>
      <c r="N3742" s="4"/>
      <c r="O3742" s="4">
        <v>0</v>
      </c>
      <c r="P3742" s="4"/>
      <c r="Q3742" s="4"/>
      <c r="R3742" s="7">
        <v>0</v>
      </c>
      <c r="S3742" s="7">
        <v>0</v>
      </c>
      <c r="T3742" s="7">
        <f>R3742-S3742</f>
        <v>0</v>
      </c>
      <c r="U3742" s="7">
        <f>T3742*O3742</f>
        <v>0</v>
      </c>
    </row>
    <row r="3743" spans="1:21">
      <c r="A3743" s="4" t="s">
        <v>5005</v>
      </c>
      <c r="B3743" s="4" t="s">
        <v>48</v>
      </c>
      <c r="C3743" s="5">
        <v>45984.90577546296</v>
      </c>
      <c r="D3743" s="5">
        <v>45985</v>
      </c>
      <c r="E3743" s="6">
        <f>IF(AND(C3743&lt;&gt;"",D3743&lt;&gt;""),D3743-C3743,"")</f>
        <v>0</v>
      </c>
      <c r="F3743" s="4" t="s">
        <v>64</v>
      </c>
      <c r="G3743" s="4" t="s">
        <v>5006</v>
      </c>
      <c r="H3743" s="4" t="s">
        <v>32</v>
      </c>
      <c r="I3743" s="4" t="s">
        <v>33</v>
      </c>
      <c r="J3743" s="4">
        <v>2</v>
      </c>
      <c r="K3743" s="4">
        <v>0</v>
      </c>
      <c r="L3743" s="4">
        <f>J3743+K3743</f>
        <v>0</v>
      </c>
      <c r="M3743" s="4"/>
      <c r="N3743" s="4"/>
      <c r="O3743" s="4">
        <v>0</v>
      </c>
      <c r="P3743" s="4"/>
      <c r="Q3743" s="4"/>
      <c r="R3743" s="7">
        <v>0</v>
      </c>
      <c r="S3743" s="7">
        <v>0</v>
      </c>
      <c r="T3743" s="7">
        <f>R3743-S3743</f>
        <v>0</v>
      </c>
      <c r="U3743" s="7">
        <f>T3743*O3743</f>
        <v>0</v>
      </c>
    </row>
    <row r="3744" spans="1:21">
      <c r="A3744" s="4" t="s">
        <v>5007</v>
      </c>
      <c r="B3744" s="4" t="s">
        <v>48</v>
      </c>
      <c r="C3744" s="5">
        <v>45984.91858796297</v>
      </c>
      <c r="D3744" s="5">
        <v>45985</v>
      </c>
      <c r="E3744" s="6">
        <f>IF(AND(C3744&lt;&gt;"",D3744&lt;&gt;""),D3744-C3744,"")</f>
        <v>0</v>
      </c>
      <c r="F3744" s="4" t="s">
        <v>64</v>
      </c>
      <c r="G3744" s="4" t="s">
        <v>5008</v>
      </c>
      <c r="H3744" s="4" t="s">
        <v>32</v>
      </c>
      <c r="I3744" s="4" t="s">
        <v>33</v>
      </c>
      <c r="J3744" s="4">
        <v>2</v>
      </c>
      <c r="K3744" s="4">
        <v>0</v>
      </c>
      <c r="L3744" s="4">
        <f>J3744+K3744</f>
        <v>0</v>
      </c>
      <c r="M3744" s="4"/>
      <c r="N3744" s="4"/>
      <c r="O3744" s="4">
        <v>0</v>
      </c>
      <c r="P3744" s="4"/>
      <c r="Q3744" s="4"/>
      <c r="R3744" s="7">
        <v>0</v>
      </c>
      <c r="S3744" s="7">
        <v>0</v>
      </c>
      <c r="T3744" s="7">
        <f>R3744-S3744</f>
        <v>0</v>
      </c>
      <c r="U3744" s="7">
        <f>T3744*O3744</f>
        <v>0</v>
      </c>
    </row>
    <row r="3745" spans="1:21">
      <c r="A3745" s="4" t="s">
        <v>5009</v>
      </c>
      <c r="B3745" s="4" t="s">
        <v>48</v>
      </c>
      <c r="C3745" s="5">
        <v>45985.23174768518</v>
      </c>
      <c r="D3745" s="5">
        <v>45985</v>
      </c>
      <c r="E3745" s="6">
        <f>IF(AND(C3745&lt;&gt;"",D3745&lt;&gt;""),D3745-C3745,"")</f>
        <v>0</v>
      </c>
      <c r="F3745" s="4" t="s">
        <v>64</v>
      </c>
      <c r="G3745" s="4" t="s">
        <v>5010</v>
      </c>
      <c r="H3745" s="4" t="s">
        <v>32</v>
      </c>
      <c r="I3745" s="4" t="s">
        <v>33</v>
      </c>
      <c r="J3745" s="4">
        <v>3</v>
      </c>
      <c r="K3745" s="4">
        <v>2</v>
      </c>
      <c r="L3745" s="4">
        <f>J3745+K3745</f>
        <v>0</v>
      </c>
      <c r="M3745" s="4"/>
      <c r="N3745" s="4"/>
      <c r="O3745" s="4">
        <v>0</v>
      </c>
      <c r="P3745" s="4"/>
      <c r="Q3745" s="4"/>
      <c r="R3745" s="7">
        <v>0</v>
      </c>
      <c r="S3745" s="7">
        <v>0</v>
      </c>
      <c r="T3745" s="7">
        <f>R3745-S3745</f>
        <v>0</v>
      </c>
      <c r="U3745" s="7">
        <f>T3745*O3745</f>
        <v>0</v>
      </c>
    </row>
    <row r="3746" spans="1:21">
      <c r="A3746" s="4" t="s">
        <v>5011</v>
      </c>
      <c r="B3746" s="4" t="s">
        <v>122</v>
      </c>
      <c r="C3746" s="5">
        <v>45985.25032407408</v>
      </c>
      <c r="D3746" s="5">
        <v>45985</v>
      </c>
      <c r="E3746" s="6">
        <f>IF(AND(C3746&lt;&gt;"",D3746&lt;&gt;""),D3746-C3746,"")</f>
        <v>0</v>
      </c>
      <c r="F3746" s="4" t="s">
        <v>30</v>
      </c>
      <c r="G3746" s="4" t="s">
        <v>31</v>
      </c>
      <c r="H3746" s="4" t="s">
        <v>32</v>
      </c>
      <c r="I3746" s="4" t="s">
        <v>33</v>
      </c>
      <c r="J3746" s="4">
        <v>3</v>
      </c>
      <c r="K3746" s="4">
        <v>2</v>
      </c>
      <c r="L3746" s="4">
        <f>J3746+K3746</f>
        <v>0</v>
      </c>
      <c r="M3746" s="4"/>
      <c r="N3746" s="4"/>
      <c r="O3746" s="4">
        <v>0</v>
      </c>
      <c r="P3746" s="4"/>
      <c r="Q3746" s="4"/>
      <c r="R3746" s="7">
        <v>0</v>
      </c>
      <c r="S3746" s="7">
        <v>0</v>
      </c>
      <c r="T3746" s="7">
        <f>R3746-S3746</f>
        <v>0</v>
      </c>
      <c r="U3746" s="7">
        <f>T3746*O3746</f>
        <v>0</v>
      </c>
    </row>
    <row r="3747" spans="1:21">
      <c r="A3747" s="4" t="s">
        <v>5012</v>
      </c>
      <c r="B3747" s="4" t="s">
        <v>48</v>
      </c>
      <c r="C3747" s="5">
        <v>45985.25090277778</v>
      </c>
      <c r="D3747" s="5">
        <v>45985</v>
      </c>
      <c r="E3747" s="6">
        <f>IF(AND(C3747&lt;&gt;"",D3747&lt;&gt;""),D3747-C3747,"")</f>
        <v>0</v>
      </c>
      <c r="F3747" s="4" t="s">
        <v>64</v>
      </c>
      <c r="G3747" s="4" t="s">
        <v>5013</v>
      </c>
      <c r="H3747" s="4" t="s">
        <v>32</v>
      </c>
      <c r="I3747" s="4" t="s">
        <v>33</v>
      </c>
      <c r="J3747" s="4">
        <v>1</v>
      </c>
      <c r="K3747" s="4">
        <v>0</v>
      </c>
      <c r="L3747" s="4">
        <f>J3747+K3747</f>
        <v>0</v>
      </c>
      <c r="M3747" s="4"/>
      <c r="N3747" s="4"/>
      <c r="O3747" s="4">
        <v>0</v>
      </c>
      <c r="P3747" s="4"/>
      <c r="Q3747" s="4"/>
      <c r="R3747" s="7">
        <v>0</v>
      </c>
      <c r="S3747" s="7">
        <v>0</v>
      </c>
      <c r="T3747" s="7">
        <f>R3747-S3747</f>
        <v>0</v>
      </c>
      <c r="U3747" s="7">
        <f>T3747*O3747</f>
        <v>0</v>
      </c>
    </row>
    <row r="3748" spans="1:21">
      <c r="A3748" s="4" t="s">
        <v>5014</v>
      </c>
      <c r="B3748" s="4" t="s">
        <v>48</v>
      </c>
      <c r="C3748" s="5">
        <v>45985.25315972222</v>
      </c>
      <c r="D3748" s="5">
        <v>45985</v>
      </c>
      <c r="E3748" s="6">
        <f>IF(AND(C3748&lt;&gt;"",D3748&lt;&gt;""),D3748-C3748,"")</f>
        <v>0</v>
      </c>
      <c r="F3748" s="4" t="s">
        <v>64</v>
      </c>
      <c r="G3748" s="4" t="s">
        <v>5015</v>
      </c>
      <c r="H3748" s="4" t="s">
        <v>32</v>
      </c>
      <c r="I3748" s="4" t="s">
        <v>33</v>
      </c>
      <c r="J3748" s="4">
        <v>1</v>
      </c>
      <c r="K3748" s="4">
        <v>0</v>
      </c>
      <c r="L3748" s="4">
        <f>J3748+K3748</f>
        <v>0</v>
      </c>
      <c r="M3748" s="4"/>
      <c r="N3748" s="4"/>
      <c r="O3748" s="4">
        <v>0</v>
      </c>
      <c r="P3748" s="4"/>
      <c r="Q3748" s="4"/>
      <c r="R3748" s="7">
        <v>0</v>
      </c>
      <c r="S3748" s="7">
        <v>0</v>
      </c>
      <c r="T3748" s="7">
        <f>R3748-S3748</f>
        <v>0</v>
      </c>
      <c r="U3748" s="7">
        <f>T3748*O3748</f>
        <v>0</v>
      </c>
    </row>
    <row r="3749" spans="1:21">
      <c r="A3749" s="4" t="s">
        <v>5016</v>
      </c>
      <c r="B3749" s="4" t="s">
        <v>39</v>
      </c>
      <c r="C3749" s="5">
        <v>45985.26644675926</v>
      </c>
      <c r="D3749" s="5">
        <v>45985</v>
      </c>
      <c r="E3749" s="6">
        <f>IF(AND(C3749&lt;&gt;"",D3749&lt;&gt;""),D3749-C3749,"")</f>
        <v>0</v>
      </c>
      <c r="F3749" s="4" t="s">
        <v>1343</v>
      </c>
      <c r="G3749" s="4" t="s">
        <v>5017</v>
      </c>
      <c r="H3749" s="4" t="s">
        <v>32</v>
      </c>
      <c r="I3749" s="4" t="s">
        <v>33</v>
      </c>
      <c r="J3749" s="4">
        <v>0</v>
      </c>
      <c r="K3749" s="4">
        <v>0</v>
      </c>
      <c r="L3749" s="4">
        <f>J3749+K3749</f>
        <v>0</v>
      </c>
      <c r="M3749" s="4" t="s">
        <v>3630</v>
      </c>
      <c r="N3749" s="4"/>
      <c r="O3749" s="4">
        <v>1</v>
      </c>
      <c r="P3749" s="4" t="s">
        <v>135</v>
      </c>
      <c r="Q3749" s="4"/>
      <c r="R3749" s="7">
        <v>15000</v>
      </c>
      <c r="S3749" s="7">
        <v>0</v>
      </c>
      <c r="T3749" s="7">
        <f>R3749-S3749</f>
        <v>0</v>
      </c>
      <c r="U3749" s="7">
        <f>T3749*O3749</f>
        <v>0</v>
      </c>
    </row>
    <row r="3750" spans="1:21">
      <c r="A3750" s="4" t="s">
        <v>5016</v>
      </c>
      <c r="B3750" s="4" t="s">
        <v>39</v>
      </c>
      <c r="C3750" s="5">
        <v>45985.26644675926</v>
      </c>
      <c r="D3750" s="5">
        <v>45985</v>
      </c>
      <c r="E3750" s="6">
        <f>IF(AND(C3750&lt;&gt;"",D3750&lt;&gt;""),D3750-C3750,"")</f>
        <v>0</v>
      </c>
      <c r="F3750" s="4" t="s">
        <v>1343</v>
      </c>
      <c r="G3750" s="4" t="s">
        <v>5017</v>
      </c>
      <c r="H3750" s="4" t="s">
        <v>32</v>
      </c>
      <c r="I3750" s="4" t="s">
        <v>33</v>
      </c>
      <c r="J3750" s="4">
        <v>0</v>
      </c>
      <c r="K3750" s="4">
        <v>0</v>
      </c>
      <c r="L3750" s="4">
        <f>J3750+K3750</f>
        <v>0</v>
      </c>
      <c r="M3750" s="4" t="s">
        <v>3630</v>
      </c>
      <c r="N3750" s="4"/>
      <c r="O3750" s="4">
        <v>1</v>
      </c>
      <c r="P3750" s="4" t="s">
        <v>135</v>
      </c>
      <c r="Q3750" s="4"/>
      <c r="R3750" s="7">
        <v>15000</v>
      </c>
      <c r="S3750" s="7">
        <v>0</v>
      </c>
      <c r="T3750" s="7">
        <f>R3750-S3750</f>
        <v>0</v>
      </c>
      <c r="U3750" s="7">
        <f>T3750*O3750</f>
        <v>0</v>
      </c>
    </row>
    <row r="3751" spans="1:21">
      <c r="A3751" s="4" t="s">
        <v>5018</v>
      </c>
      <c r="B3751" s="4" t="s">
        <v>39</v>
      </c>
      <c r="C3751" s="5">
        <v>45985.2749537037</v>
      </c>
      <c r="D3751" s="5">
        <v>45985</v>
      </c>
      <c r="E3751" s="6">
        <f>IF(AND(C3751&lt;&gt;"",D3751&lt;&gt;""),D3751-C3751,"")</f>
        <v>0</v>
      </c>
      <c r="F3751" s="4" t="s">
        <v>188</v>
      </c>
      <c r="G3751" s="4" t="s">
        <v>5019</v>
      </c>
      <c r="H3751" s="4" t="s">
        <v>32</v>
      </c>
      <c r="I3751" s="4" t="s">
        <v>33</v>
      </c>
      <c r="J3751" s="4">
        <v>0</v>
      </c>
      <c r="K3751" s="4">
        <v>0</v>
      </c>
      <c r="L3751" s="4">
        <f>J3751+K3751</f>
        <v>0</v>
      </c>
      <c r="M3751" s="4" t="s">
        <v>3630</v>
      </c>
      <c r="N3751" s="4"/>
      <c r="O3751" s="4">
        <v>1</v>
      </c>
      <c r="P3751" s="4" t="s">
        <v>135</v>
      </c>
      <c r="Q3751" s="4"/>
      <c r="R3751" s="7">
        <v>15000</v>
      </c>
      <c r="S3751" s="7">
        <v>0</v>
      </c>
      <c r="T3751" s="7">
        <f>R3751-S3751</f>
        <v>0</v>
      </c>
      <c r="U3751" s="7">
        <f>T3751*O3751</f>
        <v>0</v>
      </c>
    </row>
    <row r="3752" spans="1:21">
      <c r="A3752" s="4" t="s">
        <v>5018</v>
      </c>
      <c r="B3752" s="4" t="s">
        <v>39</v>
      </c>
      <c r="C3752" s="5">
        <v>45985.2749537037</v>
      </c>
      <c r="D3752" s="5">
        <v>45985</v>
      </c>
      <c r="E3752" s="6">
        <f>IF(AND(C3752&lt;&gt;"",D3752&lt;&gt;""),D3752-C3752,"")</f>
        <v>0</v>
      </c>
      <c r="F3752" s="4" t="s">
        <v>188</v>
      </c>
      <c r="G3752" s="4" t="s">
        <v>5019</v>
      </c>
      <c r="H3752" s="4" t="s">
        <v>32</v>
      </c>
      <c r="I3752" s="4" t="s">
        <v>33</v>
      </c>
      <c r="J3752" s="4">
        <v>0</v>
      </c>
      <c r="K3752" s="4">
        <v>0</v>
      </c>
      <c r="L3752" s="4">
        <f>J3752+K3752</f>
        <v>0</v>
      </c>
      <c r="M3752" s="4" t="s">
        <v>3630</v>
      </c>
      <c r="N3752" s="4"/>
      <c r="O3752" s="4">
        <v>1</v>
      </c>
      <c r="P3752" s="4" t="s">
        <v>135</v>
      </c>
      <c r="Q3752" s="4"/>
      <c r="R3752" s="7">
        <v>15000</v>
      </c>
      <c r="S3752" s="7">
        <v>0</v>
      </c>
      <c r="T3752" s="7">
        <f>R3752-S3752</f>
        <v>0</v>
      </c>
      <c r="U3752" s="7">
        <f>T3752*O3752</f>
        <v>0</v>
      </c>
    </row>
    <row r="3753" spans="1:21">
      <c r="A3753" s="4" t="s">
        <v>5018</v>
      </c>
      <c r="B3753" s="4" t="s">
        <v>39</v>
      </c>
      <c r="C3753" s="5">
        <v>45985.2749537037</v>
      </c>
      <c r="D3753" s="5">
        <v>45985</v>
      </c>
      <c r="E3753" s="6">
        <f>IF(AND(C3753&lt;&gt;"",D3753&lt;&gt;""),D3753-C3753,"")</f>
        <v>0</v>
      </c>
      <c r="F3753" s="4" t="s">
        <v>188</v>
      </c>
      <c r="G3753" s="4" t="s">
        <v>5019</v>
      </c>
      <c r="H3753" s="4" t="s">
        <v>32</v>
      </c>
      <c r="I3753" s="4" t="s">
        <v>33</v>
      </c>
      <c r="J3753" s="4">
        <v>0</v>
      </c>
      <c r="K3753" s="4">
        <v>0</v>
      </c>
      <c r="L3753" s="4">
        <f>J3753+K3753</f>
        <v>0</v>
      </c>
      <c r="M3753" s="4" t="s">
        <v>3630</v>
      </c>
      <c r="N3753" s="4"/>
      <c r="O3753" s="4">
        <v>1</v>
      </c>
      <c r="P3753" s="4" t="s">
        <v>135</v>
      </c>
      <c r="Q3753" s="4"/>
      <c r="R3753" s="7">
        <v>15000</v>
      </c>
      <c r="S3753" s="7">
        <v>0</v>
      </c>
      <c r="T3753" s="7">
        <f>R3753-S3753</f>
        <v>0</v>
      </c>
      <c r="U3753" s="7">
        <f>T3753*O3753</f>
        <v>0</v>
      </c>
    </row>
    <row r="3754" spans="1:21">
      <c r="A3754" s="4" t="s">
        <v>5020</v>
      </c>
      <c r="B3754" s="4" t="s">
        <v>39</v>
      </c>
      <c r="C3754" s="5">
        <v>45985.28099537037</v>
      </c>
      <c r="D3754" s="5">
        <v>45985</v>
      </c>
      <c r="E3754" s="6">
        <f>IF(AND(C3754&lt;&gt;"",D3754&lt;&gt;""),D3754-C3754,"")</f>
        <v>0</v>
      </c>
      <c r="F3754" s="4" t="s">
        <v>5021</v>
      </c>
      <c r="G3754" s="4" t="s">
        <v>5022</v>
      </c>
      <c r="H3754" s="4" t="s">
        <v>32</v>
      </c>
      <c r="I3754" s="4" t="s">
        <v>33</v>
      </c>
      <c r="J3754" s="4">
        <v>0</v>
      </c>
      <c r="K3754" s="4">
        <v>0</v>
      </c>
      <c r="L3754" s="4">
        <f>J3754+K3754</f>
        <v>0</v>
      </c>
      <c r="M3754" s="4" t="s">
        <v>370</v>
      </c>
      <c r="N3754" s="4"/>
      <c r="O3754" s="4">
        <v>1</v>
      </c>
      <c r="P3754" s="4" t="s">
        <v>135</v>
      </c>
      <c r="Q3754" s="4" t="s">
        <v>44</v>
      </c>
      <c r="R3754" s="7">
        <v>3000000</v>
      </c>
      <c r="S3754" s="7">
        <v>0</v>
      </c>
      <c r="T3754" s="7">
        <f>R3754-S3754</f>
        <v>0</v>
      </c>
      <c r="U3754" s="7">
        <f>T3754*O3754</f>
        <v>0</v>
      </c>
    </row>
    <row r="3755" spans="1:21">
      <c r="A3755" s="4" t="s">
        <v>5023</v>
      </c>
      <c r="B3755" s="4" t="s">
        <v>39</v>
      </c>
      <c r="C3755" s="5">
        <v>45985.30418981481</v>
      </c>
      <c r="D3755" s="5">
        <v>45985</v>
      </c>
      <c r="E3755" s="6">
        <f>IF(AND(C3755&lt;&gt;"",D3755&lt;&gt;""),D3755-C3755,"")</f>
        <v>0</v>
      </c>
      <c r="F3755" s="4" t="s">
        <v>162</v>
      </c>
      <c r="G3755" s="4" t="s">
        <v>163</v>
      </c>
      <c r="H3755" s="4" t="s">
        <v>32</v>
      </c>
      <c r="I3755" s="4" t="s">
        <v>33</v>
      </c>
      <c r="J3755" s="4">
        <v>1</v>
      </c>
      <c r="K3755" s="4">
        <v>0</v>
      </c>
      <c r="L3755" s="4">
        <f>J3755+K3755</f>
        <v>0</v>
      </c>
      <c r="M3755" s="4" t="s">
        <v>80</v>
      </c>
      <c r="N3755" s="4"/>
      <c r="O3755" s="4">
        <v>1</v>
      </c>
      <c r="P3755" s="4" t="s">
        <v>135</v>
      </c>
      <c r="Q3755" s="4" t="s">
        <v>44</v>
      </c>
      <c r="R3755" s="7">
        <v>610000</v>
      </c>
      <c r="S3755" s="7">
        <v>61000</v>
      </c>
      <c r="T3755" s="7">
        <f>R3755-S3755</f>
        <v>0</v>
      </c>
      <c r="U3755" s="7">
        <f>T3755*O3755</f>
        <v>0</v>
      </c>
    </row>
    <row r="3756" spans="1:21">
      <c r="A3756" s="4" t="s">
        <v>5024</v>
      </c>
      <c r="B3756" s="4" t="s">
        <v>48</v>
      </c>
      <c r="C3756" s="5">
        <v>45985.34027777778</v>
      </c>
      <c r="D3756" s="5">
        <v>45985</v>
      </c>
      <c r="E3756" s="6">
        <f>IF(AND(C3756&lt;&gt;"",D3756&lt;&gt;""),D3756-C3756,"")</f>
        <v>0</v>
      </c>
      <c r="F3756" s="4" t="s">
        <v>4996</v>
      </c>
      <c r="G3756" s="4" t="s">
        <v>4997</v>
      </c>
      <c r="H3756" s="4" t="s">
        <v>32</v>
      </c>
      <c r="I3756" s="4" t="s">
        <v>33</v>
      </c>
      <c r="J3756" s="4">
        <v>3</v>
      </c>
      <c r="K3756" s="4">
        <v>2</v>
      </c>
      <c r="L3756" s="4">
        <f>J3756+K3756</f>
        <v>0</v>
      </c>
      <c r="M3756" s="4"/>
      <c r="N3756" s="4"/>
      <c r="O3756" s="4">
        <v>0</v>
      </c>
      <c r="P3756" s="4"/>
      <c r="Q3756" s="4"/>
      <c r="R3756" s="7">
        <v>0</v>
      </c>
      <c r="S3756" s="7">
        <v>0</v>
      </c>
      <c r="T3756" s="7">
        <f>R3756-S3756</f>
        <v>0</v>
      </c>
      <c r="U3756" s="7">
        <f>T3756*O3756</f>
        <v>0</v>
      </c>
    </row>
    <row r="3757" spans="1:21">
      <c r="A3757" s="4" t="s">
        <v>5025</v>
      </c>
      <c r="B3757" s="4" t="s">
        <v>48</v>
      </c>
      <c r="C3757" s="5">
        <v>45985.34262731481</v>
      </c>
      <c r="D3757" s="5">
        <v>45985</v>
      </c>
      <c r="E3757" s="6">
        <f>IF(AND(C3757&lt;&gt;"",D3757&lt;&gt;""),D3757-C3757,"")</f>
        <v>0</v>
      </c>
      <c r="F3757" s="4" t="s">
        <v>4996</v>
      </c>
      <c r="G3757" s="4" t="s">
        <v>5026</v>
      </c>
      <c r="H3757" s="4" t="s">
        <v>32</v>
      </c>
      <c r="I3757" s="4" t="s">
        <v>33</v>
      </c>
      <c r="J3757" s="4">
        <v>3</v>
      </c>
      <c r="K3757" s="4">
        <v>2</v>
      </c>
      <c r="L3757" s="4">
        <f>J3757+K3757</f>
        <v>0</v>
      </c>
      <c r="M3757" s="4"/>
      <c r="N3757" s="4"/>
      <c r="O3757" s="4">
        <v>0</v>
      </c>
      <c r="P3757" s="4"/>
      <c r="Q3757" s="4"/>
      <c r="R3757" s="7">
        <v>0</v>
      </c>
      <c r="S3757" s="7">
        <v>0</v>
      </c>
      <c r="T3757" s="7">
        <f>R3757-S3757</f>
        <v>0</v>
      </c>
      <c r="U3757" s="7">
        <f>T3757*O3757</f>
        <v>0</v>
      </c>
    </row>
    <row r="3758" spans="1:21">
      <c r="A3758" s="4" t="s">
        <v>5027</v>
      </c>
      <c r="B3758" s="4" t="s">
        <v>48</v>
      </c>
      <c r="C3758" s="5">
        <v>45985.3469212963</v>
      </c>
      <c r="D3758" s="5">
        <v>45985</v>
      </c>
      <c r="E3758" s="6">
        <f>IF(AND(C3758&lt;&gt;"",D3758&lt;&gt;""),D3758-C3758,"")</f>
        <v>0</v>
      </c>
      <c r="F3758" s="4" t="s">
        <v>64</v>
      </c>
      <c r="G3758" s="4" t="s">
        <v>5028</v>
      </c>
      <c r="H3758" s="4" t="s">
        <v>32</v>
      </c>
      <c r="I3758" s="4" t="s">
        <v>33</v>
      </c>
      <c r="J3758" s="4">
        <v>3</v>
      </c>
      <c r="K3758" s="4">
        <v>2</v>
      </c>
      <c r="L3758" s="4">
        <f>J3758+K3758</f>
        <v>0</v>
      </c>
      <c r="M3758" s="4"/>
      <c r="N3758" s="4"/>
      <c r="O3758" s="4">
        <v>0</v>
      </c>
      <c r="P3758" s="4"/>
      <c r="Q3758" s="4"/>
      <c r="R3758" s="7">
        <v>0</v>
      </c>
      <c r="S3758" s="7">
        <v>0</v>
      </c>
      <c r="T3758" s="7">
        <f>R3758-S3758</f>
        <v>0</v>
      </c>
      <c r="U3758" s="7">
        <f>T3758*O3758</f>
        <v>0</v>
      </c>
    </row>
    <row r="3759" spans="1:21">
      <c r="A3759" s="4" t="s">
        <v>5029</v>
      </c>
      <c r="B3759" s="4" t="s">
        <v>48</v>
      </c>
      <c r="C3759" s="5">
        <v>45985.35247685185</v>
      </c>
      <c r="D3759" s="5">
        <v>45985</v>
      </c>
      <c r="E3759" s="6">
        <f>IF(AND(C3759&lt;&gt;"",D3759&lt;&gt;""),D3759-C3759,"")</f>
        <v>0</v>
      </c>
      <c r="F3759" s="4" t="s">
        <v>64</v>
      </c>
      <c r="G3759" s="4" t="s">
        <v>5030</v>
      </c>
      <c r="H3759" s="4" t="s">
        <v>32</v>
      </c>
      <c r="I3759" s="4" t="s">
        <v>33</v>
      </c>
      <c r="J3759" s="4">
        <v>3</v>
      </c>
      <c r="K3759" s="4">
        <v>2</v>
      </c>
      <c r="L3759" s="4">
        <f>J3759+K3759</f>
        <v>0</v>
      </c>
      <c r="M3759" s="4"/>
      <c r="N3759" s="4"/>
      <c r="O3759" s="4">
        <v>0</v>
      </c>
      <c r="P3759" s="4"/>
      <c r="Q3759" s="4"/>
      <c r="R3759" s="7">
        <v>0</v>
      </c>
      <c r="S3759" s="7">
        <v>0</v>
      </c>
      <c r="T3759" s="7">
        <f>R3759-S3759</f>
        <v>0</v>
      </c>
      <c r="U3759" s="7">
        <f>T3759*O3759</f>
        <v>0</v>
      </c>
    </row>
    <row r="3760" spans="1:21">
      <c r="A3760" s="4" t="s">
        <v>5031</v>
      </c>
      <c r="B3760" s="4" t="s">
        <v>48</v>
      </c>
      <c r="C3760" s="5">
        <v>45985.35697916667</v>
      </c>
      <c r="D3760" s="5">
        <v>45985</v>
      </c>
      <c r="E3760" s="6">
        <f>IF(AND(C3760&lt;&gt;"",D3760&lt;&gt;""),D3760-C3760,"")</f>
        <v>0</v>
      </c>
      <c r="F3760" s="4" t="s">
        <v>64</v>
      </c>
      <c r="G3760" s="4" t="s">
        <v>5032</v>
      </c>
      <c r="H3760" s="4" t="s">
        <v>32</v>
      </c>
      <c r="I3760" s="4" t="s">
        <v>33</v>
      </c>
      <c r="J3760" s="4">
        <v>3</v>
      </c>
      <c r="K3760" s="4">
        <v>2</v>
      </c>
      <c r="L3760" s="4">
        <f>J3760+K3760</f>
        <v>0</v>
      </c>
      <c r="M3760" s="4"/>
      <c r="N3760" s="4"/>
      <c r="O3760" s="4">
        <v>0</v>
      </c>
      <c r="P3760" s="4"/>
      <c r="Q3760" s="4"/>
      <c r="R3760" s="7">
        <v>0</v>
      </c>
      <c r="S3760" s="7">
        <v>0</v>
      </c>
      <c r="T3760" s="7">
        <f>R3760-S3760</f>
        <v>0</v>
      </c>
      <c r="U3760" s="7">
        <f>T3760*O3760</f>
        <v>0</v>
      </c>
    </row>
    <row r="3761" spans="1:21">
      <c r="A3761" s="4" t="s">
        <v>5033</v>
      </c>
      <c r="B3761" s="4" t="s">
        <v>48</v>
      </c>
      <c r="C3761" s="5">
        <v>45985.35822916667</v>
      </c>
      <c r="D3761" s="5">
        <v>45985</v>
      </c>
      <c r="E3761" s="6">
        <f>IF(AND(C3761&lt;&gt;"",D3761&lt;&gt;""),D3761-C3761,"")</f>
        <v>0</v>
      </c>
      <c r="F3761" s="4" t="s">
        <v>64</v>
      </c>
      <c r="G3761" s="4" t="s">
        <v>5034</v>
      </c>
      <c r="H3761" s="4" t="s">
        <v>32</v>
      </c>
      <c r="I3761" s="4" t="s">
        <v>33</v>
      </c>
      <c r="J3761" s="4">
        <v>4</v>
      </c>
      <c r="K3761" s="4">
        <v>2</v>
      </c>
      <c r="L3761" s="4">
        <f>J3761+K3761</f>
        <v>0</v>
      </c>
      <c r="M3761" s="4"/>
      <c r="N3761" s="4"/>
      <c r="O3761" s="4">
        <v>0</v>
      </c>
      <c r="P3761" s="4"/>
      <c r="Q3761" s="4"/>
      <c r="R3761" s="7">
        <v>0</v>
      </c>
      <c r="S3761" s="7">
        <v>0</v>
      </c>
      <c r="T3761" s="7">
        <f>R3761-S3761</f>
        <v>0</v>
      </c>
      <c r="U3761" s="7">
        <f>T3761*O3761</f>
        <v>0</v>
      </c>
    </row>
    <row r="3762" spans="1:21">
      <c r="A3762" s="4" t="s">
        <v>5035</v>
      </c>
      <c r="B3762" s="4" t="s">
        <v>48</v>
      </c>
      <c r="C3762" s="5">
        <v>45985.37621527778</v>
      </c>
      <c r="D3762" s="5">
        <v>45985</v>
      </c>
      <c r="E3762" s="6">
        <f>IF(AND(C3762&lt;&gt;"",D3762&lt;&gt;""),D3762-C3762,"")</f>
        <v>0</v>
      </c>
      <c r="F3762" s="4" t="s">
        <v>64</v>
      </c>
      <c r="G3762" s="4" t="s">
        <v>5036</v>
      </c>
      <c r="H3762" s="4" t="s">
        <v>32</v>
      </c>
      <c r="I3762" s="4" t="s">
        <v>33</v>
      </c>
      <c r="J3762" s="4">
        <v>4</v>
      </c>
      <c r="K3762" s="4">
        <v>2</v>
      </c>
      <c r="L3762" s="4">
        <f>J3762+K3762</f>
        <v>0</v>
      </c>
      <c r="M3762" s="4"/>
      <c r="N3762" s="4"/>
      <c r="O3762" s="4">
        <v>0</v>
      </c>
      <c r="P3762" s="4"/>
      <c r="Q3762" s="4"/>
      <c r="R3762" s="7">
        <v>0</v>
      </c>
      <c r="S3762" s="7">
        <v>0</v>
      </c>
      <c r="T3762" s="7">
        <f>R3762-S3762</f>
        <v>0</v>
      </c>
      <c r="U3762" s="7">
        <f>T3762*O3762</f>
        <v>0</v>
      </c>
    </row>
    <row r="3763" spans="1:21">
      <c r="A3763" s="4" t="s">
        <v>5037</v>
      </c>
      <c r="B3763" s="4" t="s">
        <v>48</v>
      </c>
      <c r="C3763" s="5">
        <v>45985.38611111111</v>
      </c>
      <c r="D3763" s="5">
        <v>45985</v>
      </c>
      <c r="E3763" s="6">
        <f>IF(AND(C3763&lt;&gt;"",D3763&lt;&gt;""),D3763-C3763,"")</f>
        <v>0</v>
      </c>
      <c r="F3763" s="4" t="s">
        <v>64</v>
      </c>
      <c r="G3763" s="4" t="s">
        <v>5038</v>
      </c>
      <c r="H3763" s="4" t="s">
        <v>32</v>
      </c>
      <c r="I3763" s="4" t="s">
        <v>33</v>
      </c>
      <c r="J3763" s="4">
        <v>3</v>
      </c>
      <c r="K3763" s="4">
        <v>0</v>
      </c>
      <c r="L3763" s="4">
        <f>J3763+K3763</f>
        <v>0</v>
      </c>
      <c r="M3763" s="4"/>
      <c r="N3763" s="4"/>
      <c r="O3763" s="4">
        <v>0</v>
      </c>
      <c r="P3763" s="4"/>
      <c r="Q3763" s="4"/>
      <c r="R3763" s="7">
        <v>0</v>
      </c>
      <c r="S3763" s="7">
        <v>0</v>
      </c>
      <c r="T3763" s="7">
        <f>R3763-S3763</f>
        <v>0</v>
      </c>
      <c r="U3763" s="7">
        <f>T3763*O3763</f>
        <v>0</v>
      </c>
    </row>
    <row r="3764" spans="1:21">
      <c r="A3764" s="4" t="s">
        <v>5039</v>
      </c>
      <c r="B3764" s="4" t="s">
        <v>48</v>
      </c>
      <c r="C3764" s="5">
        <v>45985.38913194444</v>
      </c>
      <c r="D3764" s="5">
        <v>45985</v>
      </c>
      <c r="E3764" s="6">
        <f>IF(AND(C3764&lt;&gt;"",D3764&lt;&gt;""),D3764-C3764,"")</f>
        <v>0</v>
      </c>
      <c r="F3764" s="4" t="s">
        <v>64</v>
      </c>
      <c r="G3764" s="4" t="s">
        <v>5040</v>
      </c>
      <c r="H3764" s="4" t="s">
        <v>32</v>
      </c>
      <c r="I3764" s="4" t="s">
        <v>33</v>
      </c>
      <c r="J3764" s="4">
        <v>3</v>
      </c>
      <c r="K3764" s="4">
        <v>0</v>
      </c>
      <c r="L3764" s="4">
        <f>J3764+K3764</f>
        <v>0</v>
      </c>
      <c r="M3764" s="4"/>
      <c r="N3764" s="4"/>
      <c r="O3764" s="4">
        <v>0</v>
      </c>
      <c r="P3764" s="4"/>
      <c r="Q3764" s="4"/>
      <c r="R3764" s="7">
        <v>0</v>
      </c>
      <c r="S3764" s="7">
        <v>0</v>
      </c>
      <c r="T3764" s="7">
        <f>R3764-S3764</f>
        <v>0</v>
      </c>
      <c r="U3764" s="7">
        <f>T3764*O3764</f>
        <v>0</v>
      </c>
    </row>
    <row r="3765" spans="1:21">
      <c r="A3765" s="4" t="s">
        <v>5041</v>
      </c>
      <c r="B3765" s="4" t="s">
        <v>48</v>
      </c>
      <c r="C3765" s="5">
        <v>45985.39752314815</v>
      </c>
      <c r="D3765" s="5">
        <v>45985</v>
      </c>
      <c r="E3765" s="6">
        <f>IF(AND(C3765&lt;&gt;"",D3765&lt;&gt;""),D3765-C3765,"")</f>
        <v>0</v>
      </c>
      <c r="F3765" s="4" t="s">
        <v>64</v>
      </c>
      <c r="G3765" s="4" t="s">
        <v>5042</v>
      </c>
      <c r="H3765" s="4" t="s">
        <v>32</v>
      </c>
      <c r="I3765" s="4" t="s">
        <v>33</v>
      </c>
      <c r="J3765" s="4">
        <v>5</v>
      </c>
      <c r="K3765" s="4">
        <v>0</v>
      </c>
      <c r="L3765" s="4">
        <f>J3765+K3765</f>
        <v>0</v>
      </c>
      <c r="M3765" s="4"/>
      <c r="N3765" s="4"/>
      <c r="O3765" s="4">
        <v>0</v>
      </c>
      <c r="P3765" s="4"/>
      <c r="Q3765" s="4"/>
      <c r="R3765" s="7">
        <v>0</v>
      </c>
      <c r="S3765" s="7">
        <v>0</v>
      </c>
      <c r="T3765" s="7">
        <f>R3765-S3765</f>
        <v>0</v>
      </c>
      <c r="U3765" s="7">
        <f>T3765*O3765</f>
        <v>0</v>
      </c>
    </row>
    <row r="3766" spans="1:21">
      <c r="A3766" s="4" t="s">
        <v>5043</v>
      </c>
      <c r="B3766" s="4" t="s">
        <v>48</v>
      </c>
      <c r="C3766" s="5">
        <v>45985.39988425926</v>
      </c>
      <c r="D3766" s="5">
        <v>45985</v>
      </c>
      <c r="E3766" s="6">
        <f>IF(AND(C3766&lt;&gt;"",D3766&lt;&gt;""),D3766-C3766,"")</f>
        <v>0</v>
      </c>
      <c r="F3766" s="4" t="s">
        <v>64</v>
      </c>
      <c r="G3766" s="4" t="s">
        <v>5044</v>
      </c>
      <c r="H3766" s="4" t="s">
        <v>32</v>
      </c>
      <c r="I3766" s="4" t="s">
        <v>33</v>
      </c>
      <c r="J3766" s="4">
        <v>5</v>
      </c>
      <c r="K3766" s="4">
        <v>0</v>
      </c>
      <c r="L3766" s="4">
        <f>J3766+K3766</f>
        <v>0</v>
      </c>
      <c r="M3766" s="4"/>
      <c r="N3766" s="4"/>
      <c r="O3766" s="4">
        <v>0</v>
      </c>
      <c r="P3766" s="4"/>
      <c r="Q3766" s="4"/>
      <c r="R3766" s="7">
        <v>0</v>
      </c>
      <c r="S3766" s="7">
        <v>0</v>
      </c>
      <c r="T3766" s="7">
        <f>R3766-S3766</f>
        <v>0</v>
      </c>
      <c r="U3766" s="7">
        <f>T3766*O3766</f>
        <v>0</v>
      </c>
    </row>
    <row r="3767" spans="1:21">
      <c r="A3767" s="4" t="s">
        <v>5045</v>
      </c>
      <c r="B3767" s="4" t="s">
        <v>48</v>
      </c>
      <c r="C3767" s="5">
        <v>45985.40489583334</v>
      </c>
      <c r="D3767" s="5">
        <v>45985</v>
      </c>
      <c r="E3767" s="6">
        <f>IF(AND(C3767&lt;&gt;"",D3767&lt;&gt;""),D3767-C3767,"")</f>
        <v>0</v>
      </c>
      <c r="F3767" s="4" t="s">
        <v>64</v>
      </c>
      <c r="G3767" s="4" t="s">
        <v>5046</v>
      </c>
      <c r="H3767" s="4" t="s">
        <v>32</v>
      </c>
      <c r="I3767" s="4" t="s">
        <v>33</v>
      </c>
      <c r="J3767" s="4">
        <v>3</v>
      </c>
      <c r="K3767" s="4">
        <v>0</v>
      </c>
      <c r="L3767" s="4">
        <f>J3767+K3767</f>
        <v>0</v>
      </c>
      <c r="M3767" s="4"/>
      <c r="N3767" s="4"/>
      <c r="O3767" s="4">
        <v>0</v>
      </c>
      <c r="P3767" s="4"/>
      <c r="Q3767" s="4"/>
      <c r="R3767" s="7">
        <v>0</v>
      </c>
      <c r="S3767" s="7">
        <v>0</v>
      </c>
      <c r="T3767" s="7">
        <f>R3767-S3767</f>
        <v>0</v>
      </c>
      <c r="U3767" s="7">
        <f>T3767*O3767</f>
        <v>0</v>
      </c>
    </row>
    <row r="3768" spans="1:21">
      <c r="A3768" s="4" t="s">
        <v>5047</v>
      </c>
      <c r="B3768" s="4" t="s">
        <v>48</v>
      </c>
      <c r="C3768" s="5">
        <v>45985.40775462963</v>
      </c>
      <c r="D3768" s="5">
        <v>45985</v>
      </c>
      <c r="E3768" s="6">
        <f>IF(AND(C3768&lt;&gt;"",D3768&lt;&gt;""),D3768-C3768,"")</f>
        <v>0</v>
      </c>
      <c r="F3768" s="4" t="s">
        <v>64</v>
      </c>
      <c r="G3768" s="4" t="s">
        <v>5048</v>
      </c>
      <c r="H3768" s="4" t="s">
        <v>32</v>
      </c>
      <c r="I3768" s="4" t="s">
        <v>33</v>
      </c>
      <c r="J3768" s="4">
        <v>5</v>
      </c>
      <c r="K3768" s="4">
        <v>0</v>
      </c>
      <c r="L3768" s="4">
        <f>J3768+K3768</f>
        <v>0</v>
      </c>
      <c r="M3768" s="4"/>
      <c r="N3768" s="4"/>
      <c r="O3768" s="4">
        <v>0</v>
      </c>
      <c r="P3768" s="4"/>
      <c r="Q3768" s="4"/>
      <c r="R3768" s="7">
        <v>0</v>
      </c>
      <c r="S3768" s="7">
        <v>0</v>
      </c>
      <c r="T3768" s="7">
        <f>R3768-S3768</f>
        <v>0</v>
      </c>
      <c r="U3768" s="7">
        <f>T3768*O3768</f>
        <v>0</v>
      </c>
    </row>
    <row r="3769" spans="1:21">
      <c r="A3769" s="4" t="s">
        <v>5049</v>
      </c>
      <c r="B3769" s="4" t="s">
        <v>48</v>
      </c>
      <c r="C3769" s="5">
        <v>45985.43611111111</v>
      </c>
      <c r="D3769" s="5">
        <v>45985</v>
      </c>
      <c r="E3769" s="6">
        <f>IF(AND(C3769&lt;&gt;"",D3769&lt;&gt;""),D3769-C3769,"")</f>
        <v>0</v>
      </c>
      <c r="F3769" s="4" t="s">
        <v>64</v>
      </c>
      <c r="G3769" s="4" t="s">
        <v>5050</v>
      </c>
      <c r="H3769" s="4" t="s">
        <v>32</v>
      </c>
      <c r="I3769" s="4" t="s">
        <v>33</v>
      </c>
      <c r="J3769" s="4">
        <v>4</v>
      </c>
      <c r="K3769" s="4">
        <v>2</v>
      </c>
      <c r="L3769" s="4">
        <f>J3769+K3769</f>
        <v>0</v>
      </c>
      <c r="M3769" s="4"/>
      <c r="N3769" s="4"/>
      <c r="O3769" s="4">
        <v>0</v>
      </c>
      <c r="P3769" s="4"/>
      <c r="Q3769" s="4"/>
      <c r="R3769" s="7">
        <v>0</v>
      </c>
      <c r="S3769" s="7">
        <v>0</v>
      </c>
      <c r="T3769" s="7">
        <f>R3769-S3769</f>
        <v>0</v>
      </c>
      <c r="U3769" s="7">
        <f>T3769*O3769</f>
        <v>0</v>
      </c>
    </row>
    <row r="3770" spans="1:21">
      <c r="A3770" s="4" t="s">
        <v>5051</v>
      </c>
      <c r="B3770" s="4" t="s">
        <v>48</v>
      </c>
      <c r="C3770" s="5">
        <v>45985.44211805556</v>
      </c>
      <c r="D3770" s="5">
        <v>45985</v>
      </c>
      <c r="E3770" s="6">
        <f>IF(AND(C3770&lt;&gt;"",D3770&lt;&gt;""),D3770-C3770,"")</f>
        <v>0</v>
      </c>
      <c r="F3770" s="4" t="s">
        <v>4753</v>
      </c>
      <c r="G3770" s="4" t="s">
        <v>5052</v>
      </c>
      <c r="H3770" s="4" t="s">
        <v>32</v>
      </c>
      <c r="I3770" s="4" t="s">
        <v>33</v>
      </c>
      <c r="J3770" s="4">
        <v>4</v>
      </c>
      <c r="K3770" s="4">
        <v>0</v>
      </c>
      <c r="L3770" s="4">
        <f>J3770+K3770</f>
        <v>0</v>
      </c>
      <c r="M3770" s="4"/>
      <c r="N3770" s="4"/>
      <c r="O3770" s="4">
        <v>0</v>
      </c>
      <c r="P3770" s="4"/>
      <c r="Q3770" s="4"/>
      <c r="R3770" s="7">
        <v>0</v>
      </c>
      <c r="S3770" s="7">
        <v>0</v>
      </c>
      <c r="T3770" s="7">
        <f>R3770-S3770</f>
        <v>0</v>
      </c>
      <c r="U3770" s="7">
        <f>T3770*O3770</f>
        <v>0</v>
      </c>
    </row>
    <row r="3771" spans="1:21">
      <c r="A3771" s="4" t="s">
        <v>5053</v>
      </c>
      <c r="B3771" s="4" t="s">
        <v>48</v>
      </c>
      <c r="C3771" s="5">
        <v>45985.44361111111</v>
      </c>
      <c r="D3771" s="5">
        <v>45985</v>
      </c>
      <c r="E3771" s="6">
        <f>IF(AND(C3771&lt;&gt;"",D3771&lt;&gt;""),D3771-C3771,"")</f>
        <v>0</v>
      </c>
      <c r="F3771" s="4" t="s">
        <v>219</v>
      </c>
      <c r="G3771" s="4" t="s">
        <v>5054</v>
      </c>
      <c r="H3771" s="4" t="s">
        <v>32</v>
      </c>
      <c r="I3771" s="4" t="s">
        <v>33</v>
      </c>
      <c r="J3771" s="4">
        <v>4</v>
      </c>
      <c r="K3771" s="4">
        <v>2</v>
      </c>
      <c r="L3771" s="4">
        <f>J3771+K3771</f>
        <v>0</v>
      </c>
      <c r="M3771" s="4"/>
      <c r="N3771" s="4"/>
      <c r="O3771" s="4">
        <v>0</v>
      </c>
      <c r="P3771" s="4"/>
      <c r="Q3771" s="4"/>
      <c r="R3771" s="7">
        <v>0</v>
      </c>
      <c r="S3771" s="7">
        <v>0</v>
      </c>
      <c r="T3771" s="7">
        <f>R3771-S3771</f>
        <v>0</v>
      </c>
      <c r="U3771" s="7">
        <f>T3771*O3771</f>
        <v>0</v>
      </c>
    </row>
    <row r="3772" spans="1:21">
      <c r="A3772" s="4" t="s">
        <v>5055</v>
      </c>
      <c r="B3772" s="4" t="s">
        <v>48</v>
      </c>
      <c r="C3772" s="5">
        <v>45985.44524305555</v>
      </c>
      <c r="D3772" s="5">
        <v>45985</v>
      </c>
      <c r="E3772" s="6">
        <f>IF(AND(C3772&lt;&gt;"",D3772&lt;&gt;""),D3772-C3772,"")</f>
        <v>0</v>
      </c>
      <c r="F3772" s="4" t="s">
        <v>219</v>
      </c>
      <c r="G3772" s="4" t="s">
        <v>5056</v>
      </c>
      <c r="H3772" s="4" t="s">
        <v>32</v>
      </c>
      <c r="I3772" s="4" t="s">
        <v>33</v>
      </c>
      <c r="J3772" s="4">
        <v>4</v>
      </c>
      <c r="K3772" s="4">
        <v>2</v>
      </c>
      <c r="L3772" s="4">
        <f>J3772+K3772</f>
        <v>0</v>
      </c>
      <c r="M3772" s="4"/>
      <c r="N3772" s="4"/>
      <c r="O3772" s="4">
        <v>0</v>
      </c>
      <c r="P3772" s="4"/>
      <c r="Q3772" s="4"/>
      <c r="R3772" s="7">
        <v>0</v>
      </c>
      <c r="S3772" s="7">
        <v>0</v>
      </c>
      <c r="T3772" s="7">
        <f>R3772-S3772</f>
        <v>0</v>
      </c>
      <c r="U3772" s="7">
        <f>T3772*O3772</f>
        <v>0</v>
      </c>
    </row>
    <row r="3773" spans="1:21">
      <c r="A3773" s="4" t="s">
        <v>5057</v>
      </c>
      <c r="B3773" s="4" t="s">
        <v>48</v>
      </c>
      <c r="C3773" s="5">
        <v>45985.44684027778</v>
      </c>
      <c r="D3773" s="5">
        <v>45985</v>
      </c>
      <c r="E3773" s="6">
        <f>IF(AND(C3773&lt;&gt;"",D3773&lt;&gt;""),D3773-C3773,"")</f>
        <v>0</v>
      </c>
      <c r="F3773" s="4" t="s">
        <v>4753</v>
      </c>
      <c r="G3773" s="4" t="s">
        <v>5058</v>
      </c>
      <c r="H3773" s="4" t="s">
        <v>32</v>
      </c>
      <c r="I3773" s="4" t="s">
        <v>33</v>
      </c>
      <c r="J3773" s="4">
        <v>4</v>
      </c>
      <c r="K3773" s="4">
        <v>2</v>
      </c>
      <c r="L3773" s="4">
        <f>J3773+K3773</f>
        <v>0</v>
      </c>
      <c r="M3773" s="4"/>
      <c r="N3773" s="4"/>
      <c r="O3773" s="4">
        <v>0</v>
      </c>
      <c r="P3773" s="4"/>
      <c r="Q3773" s="4"/>
      <c r="R3773" s="7">
        <v>0</v>
      </c>
      <c r="S3773" s="7">
        <v>0</v>
      </c>
      <c r="T3773" s="7">
        <f>R3773-S3773</f>
        <v>0</v>
      </c>
      <c r="U3773" s="7">
        <f>T3773*O3773</f>
        <v>0</v>
      </c>
    </row>
    <row r="3774" spans="1:21">
      <c r="A3774" s="4" t="s">
        <v>5059</v>
      </c>
      <c r="B3774" s="4" t="s">
        <v>48</v>
      </c>
      <c r="C3774" s="5">
        <v>45985.47871527778</v>
      </c>
      <c r="D3774" s="5">
        <v>45985</v>
      </c>
      <c r="E3774" s="6">
        <f>IF(AND(C3774&lt;&gt;"",D3774&lt;&gt;""),D3774-C3774,"")</f>
        <v>0</v>
      </c>
      <c r="F3774" s="4" t="s">
        <v>64</v>
      </c>
      <c r="G3774" s="4" t="s">
        <v>5060</v>
      </c>
      <c r="H3774" s="4" t="s">
        <v>32</v>
      </c>
      <c r="I3774" s="4" t="s">
        <v>33</v>
      </c>
      <c r="J3774" s="4">
        <v>4</v>
      </c>
      <c r="K3774" s="4">
        <v>2</v>
      </c>
      <c r="L3774" s="4">
        <f>J3774+K3774</f>
        <v>0</v>
      </c>
      <c r="M3774" s="4"/>
      <c r="N3774" s="4"/>
      <c r="O3774" s="4">
        <v>0</v>
      </c>
      <c r="P3774" s="4"/>
      <c r="Q3774" s="4"/>
      <c r="R3774" s="7">
        <v>0</v>
      </c>
      <c r="S3774" s="7">
        <v>0</v>
      </c>
      <c r="T3774" s="7">
        <f>R3774-S3774</f>
        <v>0</v>
      </c>
      <c r="U3774" s="7">
        <f>T3774*O3774</f>
        <v>0</v>
      </c>
    </row>
    <row r="3775" spans="1:21">
      <c r="A3775" s="4" t="s">
        <v>5061</v>
      </c>
      <c r="B3775" s="4" t="s">
        <v>48</v>
      </c>
      <c r="C3775" s="5">
        <v>45985.48075231481</v>
      </c>
      <c r="D3775" s="5">
        <v>45985</v>
      </c>
      <c r="E3775" s="6">
        <f>IF(AND(C3775&lt;&gt;"",D3775&lt;&gt;""),D3775-C3775,"")</f>
        <v>0</v>
      </c>
      <c r="F3775" s="4" t="s">
        <v>64</v>
      </c>
      <c r="G3775" s="4" t="s">
        <v>5062</v>
      </c>
      <c r="H3775" s="4" t="s">
        <v>32</v>
      </c>
      <c r="I3775" s="4" t="s">
        <v>33</v>
      </c>
      <c r="J3775" s="4">
        <v>4</v>
      </c>
      <c r="K3775" s="4">
        <v>2</v>
      </c>
      <c r="L3775" s="4">
        <f>J3775+K3775</f>
        <v>0</v>
      </c>
      <c r="M3775" s="4"/>
      <c r="N3775" s="4"/>
      <c r="O3775" s="4">
        <v>0</v>
      </c>
      <c r="P3775" s="4"/>
      <c r="Q3775" s="4"/>
      <c r="R3775" s="7">
        <v>0</v>
      </c>
      <c r="S3775" s="7">
        <v>0</v>
      </c>
      <c r="T3775" s="7">
        <f>R3775-S3775</f>
        <v>0</v>
      </c>
      <c r="U3775" s="7">
        <f>T3775*O3775</f>
        <v>0</v>
      </c>
    </row>
    <row r="3776" spans="1:21">
      <c r="A3776" s="4" t="s">
        <v>5063</v>
      </c>
      <c r="B3776" s="4" t="s">
        <v>48</v>
      </c>
      <c r="C3776" s="5">
        <v>45985.48306712963</v>
      </c>
      <c r="D3776" s="5">
        <v>45985</v>
      </c>
      <c r="E3776" s="6">
        <f>IF(AND(C3776&lt;&gt;"",D3776&lt;&gt;""),D3776-C3776,"")</f>
        <v>0</v>
      </c>
      <c r="F3776" s="4" t="s">
        <v>64</v>
      </c>
      <c r="G3776" s="4" t="s">
        <v>5064</v>
      </c>
      <c r="H3776" s="4" t="s">
        <v>32</v>
      </c>
      <c r="I3776" s="4" t="s">
        <v>33</v>
      </c>
      <c r="J3776" s="4">
        <v>4</v>
      </c>
      <c r="K3776" s="4">
        <v>2</v>
      </c>
      <c r="L3776" s="4">
        <f>J3776+K3776</f>
        <v>0</v>
      </c>
      <c r="M3776" s="4"/>
      <c r="N3776" s="4"/>
      <c r="O3776" s="4">
        <v>0</v>
      </c>
      <c r="P3776" s="4"/>
      <c r="Q3776" s="4"/>
      <c r="R3776" s="7">
        <v>0</v>
      </c>
      <c r="S3776" s="7">
        <v>0</v>
      </c>
      <c r="T3776" s="7">
        <f>R3776-S3776</f>
        <v>0</v>
      </c>
      <c r="U3776" s="7">
        <f>T3776*O3776</f>
        <v>0</v>
      </c>
    </row>
    <row r="3777" spans="1:21">
      <c r="A3777" s="4" t="s">
        <v>5065</v>
      </c>
      <c r="B3777" s="4" t="s">
        <v>39</v>
      </c>
      <c r="C3777" s="5">
        <v>45985.49480324074</v>
      </c>
      <c r="D3777" s="5">
        <v>45985</v>
      </c>
      <c r="E3777" s="6">
        <f>IF(AND(C3777&lt;&gt;"",D3777&lt;&gt;""),D3777-C3777,"")</f>
        <v>0</v>
      </c>
      <c r="F3777" s="4" t="s">
        <v>5066</v>
      </c>
      <c r="G3777" s="4" t="s">
        <v>5067</v>
      </c>
      <c r="H3777" s="4" t="s">
        <v>32</v>
      </c>
      <c r="I3777" s="4" t="s">
        <v>33</v>
      </c>
      <c r="J3777" s="4">
        <v>0</v>
      </c>
      <c r="K3777" s="4">
        <v>0</v>
      </c>
      <c r="L3777" s="4">
        <f>J3777+K3777</f>
        <v>0</v>
      </c>
      <c r="M3777" s="4" t="s">
        <v>370</v>
      </c>
      <c r="N3777" s="4"/>
      <c r="O3777" s="4">
        <v>1</v>
      </c>
      <c r="P3777" s="4" t="s">
        <v>135</v>
      </c>
      <c r="Q3777" s="4" t="s">
        <v>44</v>
      </c>
      <c r="R3777" s="7">
        <v>2000000</v>
      </c>
      <c r="S3777" s="7">
        <v>0</v>
      </c>
      <c r="T3777" s="7">
        <f>R3777-S3777</f>
        <v>0</v>
      </c>
      <c r="U3777" s="7">
        <f>T3777*O3777</f>
        <v>0</v>
      </c>
    </row>
    <row r="3778" spans="1:21">
      <c r="A3778" s="4" t="s">
        <v>5068</v>
      </c>
      <c r="B3778" s="4" t="s">
        <v>39</v>
      </c>
      <c r="C3778" s="5">
        <v>45985.49899305555</v>
      </c>
      <c r="D3778" s="5">
        <v>45985</v>
      </c>
      <c r="E3778" s="6">
        <f>IF(AND(C3778&lt;&gt;"",D3778&lt;&gt;""),D3778-C3778,"")</f>
        <v>0</v>
      </c>
      <c r="F3778" s="4" t="s">
        <v>5069</v>
      </c>
      <c r="G3778" s="4" t="s">
        <v>5070</v>
      </c>
      <c r="H3778" s="4" t="s">
        <v>32</v>
      </c>
      <c r="I3778" s="4" t="s">
        <v>33</v>
      </c>
      <c r="J3778" s="4">
        <v>0</v>
      </c>
      <c r="K3778" s="4">
        <v>0</v>
      </c>
      <c r="L3778" s="4">
        <f>J3778+K3778</f>
        <v>0</v>
      </c>
      <c r="M3778" s="4" t="s">
        <v>370</v>
      </c>
      <c r="N3778" s="4"/>
      <c r="O3778" s="4">
        <v>1</v>
      </c>
      <c r="P3778" s="4" t="s">
        <v>135</v>
      </c>
      <c r="Q3778" s="4" t="s">
        <v>44</v>
      </c>
      <c r="R3778" s="7">
        <v>2000000</v>
      </c>
      <c r="S3778" s="7">
        <v>0</v>
      </c>
      <c r="T3778" s="7">
        <f>R3778-S3778</f>
        <v>0</v>
      </c>
      <c r="U3778" s="7">
        <f>T3778*O3778</f>
        <v>0</v>
      </c>
    </row>
    <row r="3779" spans="1:21">
      <c r="A3779" s="4" t="s">
        <v>5071</v>
      </c>
      <c r="B3779" s="4" t="s">
        <v>39</v>
      </c>
      <c r="C3779" s="5">
        <v>45985.53510416667</v>
      </c>
      <c r="D3779" s="5">
        <v>45985</v>
      </c>
      <c r="E3779" s="6">
        <f>IF(AND(C3779&lt;&gt;"",D3779&lt;&gt;""),D3779-C3779,"")</f>
        <v>0</v>
      </c>
      <c r="F3779" s="4" t="s">
        <v>5072</v>
      </c>
      <c r="G3779" s="4" t="s">
        <v>5073</v>
      </c>
      <c r="H3779" s="4" t="s">
        <v>32</v>
      </c>
      <c r="I3779" s="4" t="s">
        <v>33</v>
      </c>
      <c r="J3779" s="4">
        <v>0</v>
      </c>
      <c r="K3779" s="4">
        <v>0</v>
      </c>
      <c r="L3779" s="4">
        <f>J3779+K3779</f>
        <v>0</v>
      </c>
      <c r="M3779" s="4" t="s">
        <v>370</v>
      </c>
      <c r="N3779" s="4"/>
      <c r="O3779" s="4">
        <v>1</v>
      </c>
      <c r="P3779" s="4" t="s">
        <v>135</v>
      </c>
      <c r="Q3779" s="4" t="s">
        <v>44</v>
      </c>
      <c r="R3779" s="7">
        <v>2000000</v>
      </c>
      <c r="S3779" s="7">
        <v>0</v>
      </c>
      <c r="T3779" s="7">
        <f>R3779-S3779</f>
        <v>0</v>
      </c>
      <c r="U3779" s="7">
        <f>T3779*O3779</f>
        <v>0</v>
      </c>
    </row>
    <row r="3780" spans="1:21">
      <c r="A3780" s="4" t="s">
        <v>5074</v>
      </c>
      <c r="B3780" s="4" t="s">
        <v>39</v>
      </c>
      <c r="C3780" s="5">
        <v>45985.55050925926</v>
      </c>
      <c r="D3780" s="5">
        <v>45985</v>
      </c>
      <c r="E3780" s="6">
        <f>IF(AND(C3780&lt;&gt;"",D3780&lt;&gt;""),D3780-C3780,"")</f>
        <v>0</v>
      </c>
      <c r="F3780" s="4" t="s">
        <v>5075</v>
      </c>
      <c r="G3780" s="4" t="s">
        <v>5076</v>
      </c>
      <c r="H3780" s="4" t="s">
        <v>32</v>
      </c>
      <c r="I3780" s="4" t="s">
        <v>33</v>
      </c>
      <c r="J3780" s="4">
        <v>0</v>
      </c>
      <c r="K3780" s="4">
        <v>0</v>
      </c>
      <c r="L3780" s="4">
        <f>J3780+K3780</f>
        <v>0</v>
      </c>
      <c r="M3780" s="4" t="s">
        <v>370</v>
      </c>
      <c r="N3780" s="4"/>
      <c r="O3780" s="4">
        <v>1</v>
      </c>
      <c r="P3780" s="4" t="s">
        <v>135</v>
      </c>
      <c r="Q3780" s="4" t="s">
        <v>44</v>
      </c>
      <c r="R3780" s="7">
        <v>1000000</v>
      </c>
      <c r="S3780" s="7">
        <v>0</v>
      </c>
      <c r="T3780" s="7">
        <f>R3780-S3780</f>
        <v>0</v>
      </c>
      <c r="U3780" s="7">
        <f>T3780*O3780</f>
        <v>0</v>
      </c>
    </row>
    <row r="3781" spans="1:21">
      <c r="A3781" s="4" t="s">
        <v>5077</v>
      </c>
      <c r="B3781" s="4" t="s">
        <v>39</v>
      </c>
      <c r="C3781" s="5">
        <v>45985.5565162037</v>
      </c>
      <c r="D3781" s="5">
        <v>45985</v>
      </c>
      <c r="E3781" s="6">
        <f>IF(AND(C3781&lt;&gt;"",D3781&lt;&gt;""),D3781-C3781,"")</f>
        <v>0</v>
      </c>
      <c r="F3781" s="4" t="s">
        <v>5078</v>
      </c>
      <c r="G3781" s="4" t="s">
        <v>5079</v>
      </c>
      <c r="H3781" s="4" t="s">
        <v>32</v>
      </c>
      <c r="I3781" s="4" t="s">
        <v>33</v>
      </c>
      <c r="J3781" s="4">
        <v>0</v>
      </c>
      <c r="K3781" s="4">
        <v>0</v>
      </c>
      <c r="L3781" s="4">
        <f>J3781+K3781</f>
        <v>0</v>
      </c>
      <c r="M3781" s="4" t="s">
        <v>370</v>
      </c>
      <c r="N3781" s="4"/>
      <c r="O3781" s="4">
        <v>1</v>
      </c>
      <c r="P3781" s="4" t="s">
        <v>135</v>
      </c>
      <c r="Q3781" s="4" t="s">
        <v>44</v>
      </c>
      <c r="R3781" s="7">
        <v>1000000</v>
      </c>
      <c r="S3781" s="7">
        <v>0</v>
      </c>
      <c r="T3781" s="7">
        <f>R3781-S3781</f>
        <v>0</v>
      </c>
      <c r="U3781" s="7">
        <f>T3781*O3781</f>
        <v>0</v>
      </c>
    </row>
    <row r="3782" spans="1:21">
      <c r="A3782" s="4" t="s">
        <v>5080</v>
      </c>
      <c r="B3782" s="4" t="s">
        <v>39</v>
      </c>
      <c r="C3782" s="5">
        <v>45985.57997685186</v>
      </c>
      <c r="D3782" s="5">
        <v>45985</v>
      </c>
      <c r="E3782" s="6">
        <f>IF(AND(C3782&lt;&gt;"",D3782&lt;&gt;""),D3782-C3782,"")</f>
        <v>0</v>
      </c>
      <c r="F3782" s="4" t="s">
        <v>5081</v>
      </c>
      <c r="G3782" s="4" t="s">
        <v>5082</v>
      </c>
      <c r="H3782" s="4" t="s">
        <v>190</v>
      </c>
      <c r="I3782" s="4" t="s">
        <v>56</v>
      </c>
      <c r="J3782" s="4">
        <v>0</v>
      </c>
      <c r="K3782" s="4">
        <v>0</v>
      </c>
      <c r="L3782" s="4">
        <f>J3782+K3782</f>
        <v>0</v>
      </c>
      <c r="M3782" s="4" t="s">
        <v>370</v>
      </c>
      <c r="N3782" s="4"/>
      <c r="O3782" s="4">
        <v>1</v>
      </c>
      <c r="P3782" s="4" t="s">
        <v>135</v>
      </c>
      <c r="Q3782" s="4" t="s">
        <v>44</v>
      </c>
      <c r="R3782" s="7">
        <v>2000000</v>
      </c>
      <c r="S3782" s="7">
        <v>0</v>
      </c>
      <c r="T3782" s="7">
        <f>R3782-S3782</f>
        <v>0</v>
      </c>
      <c r="U3782" s="7">
        <f>T3782*O3782</f>
        <v>0</v>
      </c>
    </row>
    <row r="3783" spans="1:21">
      <c r="A3783" s="4" t="s">
        <v>5083</v>
      </c>
      <c r="B3783" s="4" t="s">
        <v>48</v>
      </c>
      <c r="C3783" s="5">
        <v>45985.58355324074</v>
      </c>
      <c r="D3783" s="5">
        <v>45985</v>
      </c>
      <c r="E3783" s="6">
        <f>IF(AND(C3783&lt;&gt;"",D3783&lt;&gt;""),D3783-C3783,"")</f>
        <v>0</v>
      </c>
      <c r="F3783" s="4" t="s">
        <v>64</v>
      </c>
      <c r="G3783" s="4" t="s">
        <v>5084</v>
      </c>
      <c r="H3783" s="4" t="s">
        <v>32</v>
      </c>
      <c r="I3783" s="4" t="s">
        <v>33</v>
      </c>
      <c r="J3783" s="4">
        <v>4</v>
      </c>
      <c r="K3783" s="4">
        <v>2</v>
      </c>
      <c r="L3783" s="4">
        <f>J3783+K3783</f>
        <v>0</v>
      </c>
      <c r="M3783" s="4"/>
      <c r="N3783" s="4"/>
      <c r="O3783" s="4">
        <v>0</v>
      </c>
      <c r="P3783" s="4"/>
      <c r="Q3783" s="4"/>
      <c r="R3783" s="7">
        <v>0</v>
      </c>
      <c r="S3783" s="7">
        <v>0</v>
      </c>
      <c r="T3783" s="7">
        <f>R3783-S3783</f>
        <v>0</v>
      </c>
      <c r="U3783" s="7">
        <f>T3783*O3783</f>
        <v>0</v>
      </c>
    </row>
    <row r="3784" spans="1:21">
      <c r="A3784" s="4" t="s">
        <v>5085</v>
      </c>
      <c r="B3784" s="4" t="s">
        <v>48</v>
      </c>
      <c r="C3784" s="5">
        <v>45985.5856712963</v>
      </c>
      <c r="D3784" s="5">
        <v>45985</v>
      </c>
      <c r="E3784" s="6">
        <f>IF(AND(C3784&lt;&gt;"",D3784&lt;&gt;""),D3784-C3784,"")</f>
        <v>0</v>
      </c>
      <c r="F3784" s="4" t="s">
        <v>64</v>
      </c>
      <c r="G3784" s="4" t="s">
        <v>5086</v>
      </c>
      <c r="H3784" s="4" t="s">
        <v>32</v>
      </c>
      <c r="I3784" s="4" t="s">
        <v>33</v>
      </c>
      <c r="J3784" s="4">
        <v>4</v>
      </c>
      <c r="K3784" s="4">
        <v>2</v>
      </c>
      <c r="L3784" s="4">
        <f>J3784+K3784</f>
        <v>0</v>
      </c>
      <c r="M3784" s="4"/>
      <c r="N3784" s="4"/>
      <c r="O3784" s="4">
        <v>0</v>
      </c>
      <c r="P3784" s="4"/>
      <c r="Q3784" s="4"/>
      <c r="R3784" s="7">
        <v>0</v>
      </c>
      <c r="S3784" s="7">
        <v>0</v>
      </c>
      <c r="T3784" s="7">
        <f>R3784-S3784</f>
        <v>0</v>
      </c>
      <c r="U3784" s="7">
        <f>T3784*O3784</f>
        <v>0</v>
      </c>
    </row>
    <row r="3785" spans="1:21">
      <c r="A3785" s="4" t="s">
        <v>5087</v>
      </c>
      <c r="B3785" s="4" t="s">
        <v>39</v>
      </c>
      <c r="C3785" s="5">
        <v>45985.59298611111</v>
      </c>
      <c r="D3785" s="5">
        <v>45985</v>
      </c>
      <c r="E3785" s="6">
        <f>IF(AND(C3785&lt;&gt;"",D3785&lt;&gt;""),D3785-C3785,"")</f>
        <v>0</v>
      </c>
      <c r="F3785" s="4" t="s">
        <v>5088</v>
      </c>
      <c r="G3785" s="4" t="s">
        <v>5089</v>
      </c>
      <c r="H3785" s="4" t="s">
        <v>32</v>
      </c>
      <c r="I3785" s="4" t="s">
        <v>33</v>
      </c>
      <c r="J3785" s="4">
        <v>0</v>
      </c>
      <c r="K3785" s="4">
        <v>0</v>
      </c>
      <c r="L3785" s="4">
        <f>J3785+K3785</f>
        <v>0</v>
      </c>
      <c r="M3785" s="4" t="s">
        <v>370</v>
      </c>
      <c r="N3785" s="4"/>
      <c r="O3785" s="4">
        <v>1</v>
      </c>
      <c r="P3785" s="4" t="s">
        <v>135</v>
      </c>
      <c r="Q3785" s="4" t="s">
        <v>44</v>
      </c>
      <c r="R3785" s="7">
        <v>1000000</v>
      </c>
      <c r="S3785" s="7">
        <v>0</v>
      </c>
      <c r="T3785" s="7">
        <f>R3785-S3785</f>
        <v>0</v>
      </c>
      <c r="U3785" s="7">
        <f>T3785*O3785</f>
        <v>0</v>
      </c>
    </row>
    <row r="3786" spans="1:21">
      <c r="A3786" s="4" t="s">
        <v>5090</v>
      </c>
      <c r="B3786" s="4" t="s">
        <v>48</v>
      </c>
      <c r="C3786" s="5">
        <v>45985.62395833333</v>
      </c>
      <c r="D3786" s="5">
        <v>45986</v>
      </c>
      <c r="E3786" s="6">
        <f>IF(AND(C3786&lt;&gt;"",D3786&lt;&gt;""),D3786-C3786,"")</f>
        <v>0</v>
      </c>
      <c r="F3786" s="4" t="s">
        <v>64</v>
      </c>
      <c r="G3786" s="4" t="s">
        <v>4412</v>
      </c>
      <c r="H3786" s="4" t="s">
        <v>32</v>
      </c>
      <c r="I3786" s="4" t="s">
        <v>33</v>
      </c>
      <c r="J3786" s="4">
        <v>3</v>
      </c>
      <c r="K3786" s="4">
        <v>0</v>
      </c>
      <c r="L3786" s="4">
        <f>J3786+K3786</f>
        <v>0</v>
      </c>
      <c r="M3786" s="4"/>
      <c r="N3786" s="4"/>
      <c r="O3786" s="4">
        <v>0</v>
      </c>
      <c r="P3786" s="4"/>
      <c r="Q3786" s="4"/>
      <c r="R3786" s="7">
        <v>0</v>
      </c>
      <c r="S3786" s="7">
        <v>0</v>
      </c>
      <c r="T3786" s="7">
        <f>R3786-S3786</f>
        <v>0</v>
      </c>
      <c r="U3786" s="7">
        <f>T3786*O3786</f>
        <v>0</v>
      </c>
    </row>
    <row r="3787" spans="1:21">
      <c r="A3787" s="4" t="s">
        <v>5091</v>
      </c>
      <c r="B3787" s="4" t="s">
        <v>39</v>
      </c>
      <c r="C3787" s="5">
        <v>45985.66032407407</v>
      </c>
      <c r="D3787" s="5">
        <v>45985</v>
      </c>
      <c r="E3787" s="6">
        <f>IF(AND(C3787&lt;&gt;"",D3787&lt;&gt;""),D3787-C3787,"")</f>
        <v>0</v>
      </c>
      <c r="F3787" s="4" t="s">
        <v>188</v>
      </c>
      <c r="G3787" s="4" t="s">
        <v>5092</v>
      </c>
      <c r="H3787" s="4" t="s">
        <v>32</v>
      </c>
      <c r="I3787" s="4" t="s">
        <v>33</v>
      </c>
      <c r="J3787" s="4">
        <v>0</v>
      </c>
      <c r="K3787" s="4">
        <v>0</v>
      </c>
      <c r="L3787" s="4">
        <f>J3787+K3787</f>
        <v>0</v>
      </c>
      <c r="M3787" s="4" t="s">
        <v>370</v>
      </c>
      <c r="N3787" s="4"/>
      <c r="O3787" s="4">
        <v>1</v>
      </c>
      <c r="P3787" s="4" t="s">
        <v>135</v>
      </c>
      <c r="Q3787" s="4" t="s">
        <v>44</v>
      </c>
      <c r="R3787" s="7">
        <v>2000000</v>
      </c>
      <c r="S3787" s="7">
        <v>0</v>
      </c>
      <c r="T3787" s="7">
        <f>R3787-S3787</f>
        <v>0</v>
      </c>
      <c r="U3787" s="7">
        <f>T3787*O3787</f>
        <v>0</v>
      </c>
    </row>
    <row r="3788" spans="1:21">
      <c r="A3788" s="4" t="s">
        <v>5093</v>
      </c>
      <c r="B3788" s="4" t="s">
        <v>39</v>
      </c>
      <c r="C3788" s="5">
        <v>45985.68931712963</v>
      </c>
      <c r="D3788" s="5">
        <v>45985</v>
      </c>
      <c r="E3788" s="6">
        <f>IF(AND(C3788&lt;&gt;"",D3788&lt;&gt;""),D3788-C3788,"")</f>
        <v>0</v>
      </c>
      <c r="F3788" s="4" t="s">
        <v>5094</v>
      </c>
      <c r="G3788" s="4" t="s">
        <v>5095</v>
      </c>
      <c r="H3788" s="4" t="s">
        <v>32</v>
      </c>
      <c r="I3788" s="4" t="s">
        <v>33</v>
      </c>
      <c r="J3788" s="4">
        <v>0</v>
      </c>
      <c r="K3788" s="4">
        <v>0</v>
      </c>
      <c r="L3788" s="4">
        <f>J3788+K3788</f>
        <v>0</v>
      </c>
      <c r="M3788" s="4" t="s">
        <v>370</v>
      </c>
      <c r="N3788" s="4"/>
      <c r="O3788" s="4">
        <v>1</v>
      </c>
      <c r="P3788" s="4" t="s">
        <v>135</v>
      </c>
      <c r="Q3788" s="4" t="s">
        <v>44</v>
      </c>
      <c r="R3788" s="7">
        <v>1000000</v>
      </c>
      <c r="S3788" s="7">
        <v>0</v>
      </c>
      <c r="T3788" s="7">
        <f>R3788-S3788</f>
        <v>0</v>
      </c>
      <c r="U3788" s="7">
        <f>T3788*O3788</f>
        <v>0</v>
      </c>
    </row>
    <row r="3789" spans="1:21">
      <c r="A3789" s="4" t="s">
        <v>5096</v>
      </c>
      <c r="B3789" s="4" t="s">
        <v>39</v>
      </c>
      <c r="C3789" s="5">
        <v>45986.07726851852</v>
      </c>
      <c r="D3789" s="5">
        <v>45986</v>
      </c>
      <c r="E3789" s="6">
        <f>IF(AND(C3789&lt;&gt;"",D3789&lt;&gt;""),D3789-C3789,"")</f>
        <v>0</v>
      </c>
      <c r="F3789" s="4" t="s">
        <v>1343</v>
      </c>
      <c r="G3789" s="4" t="s">
        <v>5097</v>
      </c>
      <c r="H3789" s="4" t="s">
        <v>32</v>
      </c>
      <c r="I3789" s="4" t="s">
        <v>33</v>
      </c>
      <c r="J3789" s="4">
        <v>0</v>
      </c>
      <c r="K3789" s="4">
        <v>3</v>
      </c>
      <c r="L3789" s="4">
        <f>J3789+K3789</f>
        <v>0</v>
      </c>
      <c r="M3789" s="4" t="s">
        <v>46</v>
      </c>
      <c r="N3789" s="4"/>
      <c r="O3789" s="4">
        <v>3</v>
      </c>
      <c r="P3789" s="4" t="s">
        <v>135</v>
      </c>
      <c r="Q3789" s="4" t="s">
        <v>44</v>
      </c>
      <c r="R3789" s="7">
        <v>325000</v>
      </c>
      <c r="S3789" s="7">
        <v>0</v>
      </c>
      <c r="T3789" s="7">
        <f>R3789-S3789</f>
        <v>0</v>
      </c>
      <c r="U3789" s="7">
        <f>T3789*O3789</f>
        <v>0</v>
      </c>
    </row>
    <row r="3790" spans="1:21">
      <c r="A3790" s="4" t="s">
        <v>5096</v>
      </c>
      <c r="B3790" s="4" t="s">
        <v>39</v>
      </c>
      <c r="C3790" s="5">
        <v>45986.07726851852</v>
      </c>
      <c r="D3790" s="5">
        <v>45986</v>
      </c>
      <c r="E3790" s="6">
        <f>IF(AND(C3790&lt;&gt;"",D3790&lt;&gt;""),D3790-C3790,"")</f>
        <v>0</v>
      </c>
      <c r="F3790" s="4" t="s">
        <v>1343</v>
      </c>
      <c r="G3790" s="4" t="s">
        <v>5097</v>
      </c>
      <c r="H3790" s="4" t="s">
        <v>32</v>
      </c>
      <c r="I3790" s="4" t="s">
        <v>33</v>
      </c>
      <c r="J3790" s="4">
        <v>0</v>
      </c>
      <c r="K3790" s="4">
        <v>1</v>
      </c>
      <c r="L3790" s="4">
        <f>J3790+K3790</f>
        <v>0</v>
      </c>
      <c r="M3790" s="4" t="s">
        <v>81</v>
      </c>
      <c r="N3790" s="4"/>
      <c r="O3790" s="4">
        <v>1</v>
      </c>
      <c r="P3790" s="4" t="s">
        <v>135</v>
      </c>
      <c r="Q3790" s="4" t="s">
        <v>44</v>
      </c>
      <c r="R3790" s="7">
        <v>495000</v>
      </c>
      <c r="S3790" s="7">
        <v>0</v>
      </c>
      <c r="T3790" s="7">
        <f>R3790-S3790</f>
        <v>0</v>
      </c>
      <c r="U3790" s="7">
        <f>T3790*O3790</f>
        <v>0</v>
      </c>
    </row>
    <row r="3791" spans="1:21">
      <c r="A3791" s="4" t="s">
        <v>5096</v>
      </c>
      <c r="B3791" s="4" t="s">
        <v>39</v>
      </c>
      <c r="C3791" s="5">
        <v>45986.07726851852</v>
      </c>
      <c r="D3791" s="5">
        <v>45986</v>
      </c>
      <c r="E3791" s="6">
        <f>IF(AND(C3791&lt;&gt;"",D3791&lt;&gt;""),D3791-C3791,"")</f>
        <v>0</v>
      </c>
      <c r="F3791" s="4" t="s">
        <v>1343</v>
      </c>
      <c r="G3791" s="4" t="s">
        <v>5097</v>
      </c>
      <c r="H3791" s="4" t="s">
        <v>32</v>
      </c>
      <c r="I3791" s="4" t="s">
        <v>33</v>
      </c>
      <c r="J3791" s="4">
        <v>3</v>
      </c>
      <c r="K3791" s="4">
        <v>0</v>
      </c>
      <c r="L3791" s="4">
        <f>J3791+K3791</f>
        <v>0</v>
      </c>
      <c r="M3791" s="4" t="s">
        <v>42</v>
      </c>
      <c r="N3791" s="4"/>
      <c r="O3791" s="4">
        <v>3</v>
      </c>
      <c r="P3791" s="4" t="s">
        <v>135</v>
      </c>
      <c r="Q3791" s="4" t="s">
        <v>44</v>
      </c>
      <c r="R3791" s="7">
        <v>370000</v>
      </c>
      <c r="S3791" s="7">
        <v>0</v>
      </c>
      <c r="T3791" s="7">
        <f>R3791-S3791</f>
        <v>0</v>
      </c>
      <c r="U3791" s="7">
        <f>T3791*O3791</f>
        <v>0</v>
      </c>
    </row>
    <row r="3792" spans="1:21">
      <c r="A3792" s="4" t="s">
        <v>5098</v>
      </c>
      <c r="B3792" s="4" t="s">
        <v>39</v>
      </c>
      <c r="C3792" s="5">
        <v>45986.08180555556</v>
      </c>
      <c r="D3792" s="5">
        <v>45986</v>
      </c>
      <c r="E3792" s="6">
        <f>IF(AND(C3792&lt;&gt;"",D3792&lt;&gt;""),D3792-C3792,"")</f>
        <v>0</v>
      </c>
      <c r="F3792" s="4" t="s">
        <v>5099</v>
      </c>
      <c r="G3792" s="4" t="s">
        <v>5100</v>
      </c>
      <c r="H3792" s="4" t="s">
        <v>32</v>
      </c>
      <c r="I3792" s="4" t="s">
        <v>33</v>
      </c>
      <c r="J3792" s="4">
        <v>0</v>
      </c>
      <c r="K3792" s="4">
        <v>1</v>
      </c>
      <c r="L3792" s="4">
        <f>J3792+K3792</f>
        <v>0</v>
      </c>
      <c r="M3792" s="4" t="s">
        <v>81</v>
      </c>
      <c r="N3792" s="4"/>
      <c r="O3792" s="4">
        <v>1</v>
      </c>
      <c r="P3792" s="4" t="s">
        <v>135</v>
      </c>
      <c r="Q3792" s="4" t="s">
        <v>44</v>
      </c>
      <c r="R3792" s="7">
        <v>495000</v>
      </c>
      <c r="S3792" s="7">
        <v>0</v>
      </c>
      <c r="T3792" s="7">
        <f>R3792-S3792</f>
        <v>0</v>
      </c>
      <c r="U3792" s="7">
        <f>T3792*O3792</f>
        <v>0</v>
      </c>
    </row>
    <row r="3793" spans="1:21">
      <c r="A3793" s="4" t="s">
        <v>5098</v>
      </c>
      <c r="B3793" s="4" t="s">
        <v>39</v>
      </c>
      <c r="C3793" s="5">
        <v>45986.08180555556</v>
      </c>
      <c r="D3793" s="5">
        <v>45986</v>
      </c>
      <c r="E3793" s="6">
        <f>IF(AND(C3793&lt;&gt;"",D3793&lt;&gt;""),D3793-C3793,"")</f>
        <v>0</v>
      </c>
      <c r="F3793" s="4" t="s">
        <v>5099</v>
      </c>
      <c r="G3793" s="4" t="s">
        <v>5100</v>
      </c>
      <c r="H3793" s="4" t="s">
        <v>32</v>
      </c>
      <c r="I3793" s="4" t="s">
        <v>33</v>
      </c>
      <c r="J3793" s="4">
        <v>0</v>
      </c>
      <c r="K3793" s="4">
        <v>3</v>
      </c>
      <c r="L3793" s="4">
        <f>J3793+K3793</f>
        <v>0</v>
      </c>
      <c r="M3793" s="4" t="s">
        <v>46</v>
      </c>
      <c r="N3793" s="4"/>
      <c r="O3793" s="4">
        <v>3</v>
      </c>
      <c r="P3793" s="4" t="s">
        <v>135</v>
      </c>
      <c r="Q3793" s="4" t="s">
        <v>44</v>
      </c>
      <c r="R3793" s="7">
        <v>325000</v>
      </c>
      <c r="S3793" s="7">
        <v>0</v>
      </c>
      <c r="T3793" s="7">
        <f>R3793-S3793</f>
        <v>0</v>
      </c>
      <c r="U3793" s="7">
        <f>T3793*O3793</f>
        <v>0</v>
      </c>
    </row>
    <row r="3794" spans="1:21">
      <c r="A3794" s="4" t="s">
        <v>5098</v>
      </c>
      <c r="B3794" s="4" t="s">
        <v>39</v>
      </c>
      <c r="C3794" s="5">
        <v>45986.08180555556</v>
      </c>
      <c r="D3794" s="5">
        <v>45986</v>
      </c>
      <c r="E3794" s="6">
        <f>IF(AND(C3794&lt;&gt;"",D3794&lt;&gt;""),D3794-C3794,"")</f>
        <v>0</v>
      </c>
      <c r="F3794" s="4" t="s">
        <v>5099</v>
      </c>
      <c r="G3794" s="4" t="s">
        <v>5100</v>
      </c>
      <c r="H3794" s="4" t="s">
        <v>32</v>
      </c>
      <c r="I3794" s="4" t="s">
        <v>33</v>
      </c>
      <c r="J3794" s="4">
        <v>3</v>
      </c>
      <c r="K3794" s="4">
        <v>0</v>
      </c>
      <c r="L3794" s="4">
        <f>J3794+K3794</f>
        <v>0</v>
      </c>
      <c r="M3794" s="4" t="s">
        <v>42</v>
      </c>
      <c r="N3794" s="4"/>
      <c r="O3794" s="4">
        <v>3</v>
      </c>
      <c r="P3794" s="4" t="s">
        <v>135</v>
      </c>
      <c r="Q3794" s="4" t="s">
        <v>44</v>
      </c>
      <c r="R3794" s="7">
        <v>370000</v>
      </c>
      <c r="S3794" s="7">
        <v>0</v>
      </c>
      <c r="T3794" s="7">
        <f>R3794-S3794</f>
        <v>0</v>
      </c>
      <c r="U3794" s="7">
        <f>T3794*O3794</f>
        <v>0</v>
      </c>
    </row>
    <row r="3795" spans="1:21">
      <c r="A3795" s="4" t="s">
        <v>5101</v>
      </c>
      <c r="B3795" s="4" t="s">
        <v>39</v>
      </c>
      <c r="C3795" s="5">
        <v>45986.08646990741</v>
      </c>
      <c r="D3795" s="5">
        <v>45986</v>
      </c>
      <c r="E3795" s="6">
        <f>IF(AND(C3795&lt;&gt;"",D3795&lt;&gt;""),D3795-C3795,"")</f>
        <v>0</v>
      </c>
      <c r="F3795" s="4" t="s">
        <v>5102</v>
      </c>
      <c r="G3795" s="4" t="s">
        <v>5103</v>
      </c>
      <c r="H3795" s="4" t="s">
        <v>32</v>
      </c>
      <c r="I3795" s="4" t="s">
        <v>33</v>
      </c>
      <c r="J3795" s="4">
        <v>1</v>
      </c>
      <c r="K3795" s="4">
        <v>0</v>
      </c>
      <c r="L3795" s="4">
        <f>J3795+K3795</f>
        <v>0</v>
      </c>
      <c r="M3795" s="4" t="s">
        <v>42</v>
      </c>
      <c r="N3795" s="4"/>
      <c r="O3795" s="4">
        <v>1</v>
      </c>
      <c r="P3795" s="4" t="s">
        <v>135</v>
      </c>
      <c r="Q3795" s="4" t="s">
        <v>44</v>
      </c>
      <c r="R3795" s="7">
        <v>370000</v>
      </c>
      <c r="S3795" s="7">
        <v>0</v>
      </c>
      <c r="T3795" s="7">
        <f>R3795-S3795</f>
        <v>0</v>
      </c>
      <c r="U3795" s="7">
        <f>T3795*O3795</f>
        <v>0</v>
      </c>
    </row>
    <row r="3796" spans="1:21">
      <c r="A3796" s="4" t="s">
        <v>5101</v>
      </c>
      <c r="B3796" s="4" t="s">
        <v>39</v>
      </c>
      <c r="C3796" s="5">
        <v>45986.08646990741</v>
      </c>
      <c r="D3796" s="5">
        <v>45986</v>
      </c>
      <c r="E3796" s="6">
        <f>IF(AND(C3796&lt;&gt;"",D3796&lt;&gt;""),D3796-C3796,"")</f>
        <v>0</v>
      </c>
      <c r="F3796" s="4" t="s">
        <v>5102</v>
      </c>
      <c r="G3796" s="4" t="s">
        <v>5103</v>
      </c>
      <c r="H3796" s="4" t="s">
        <v>32</v>
      </c>
      <c r="I3796" s="4" t="s">
        <v>33</v>
      </c>
      <c r="J3796" s="4">
        <v>0</v>
      </c>
      <c r="K3796" s="4">
        <v>1</v>
      </c>
      <c r="L3796" s="4">
        <f>J3796+K3796</f>
        <v>0</v>
      </c>
      <c r="M3796" s="4" t="s">
        <v>46</v>
      </c>
      <c r="N3796" s="4"/>
      <c r="O3796" s="4">
        <v>1</v>
      </c>
      <c r="P3796" s="4" t="s">
        <v>135</v>
      </c>
      <c r="Q3796" s="4" t="s">
        <v>44</v>
      </c>
      <c r="R3796" s="7">
        <v>325000</v>
      </c>
      <c r="S3796" s="7">
        <v>0</v>
      </c>
      <c r="T3796" s="7">
        <f>R3796-S3796</f>
        <v>0</v>
      </c>
      <c r="U3796" s="7">
        <f>T3796*O3796</f>
        <v>0</v>
      </c>
    </row>
    <row r="3797" spans="1:21">
      <c r="A3797" s="4" t="s">
        <v>5101</v>
      </c>
      <c r="B3797" s="4" t="s">
        <v>39</v>
      </c>
      <c r="C3797" s="5">
        <v>45986.08646990741</v>
      </c>
      <c r="D3797" s="5">
        <v>45986</v>
      </c>
      <c r="E3797" s="6">
        <f>IF(AND(C3797&lt;&gt;"",D3797&lt;&gt;""),D3797-C3797,"")</f>
        <v>0</v>
      </c>
      <c r="F3797" s="4" t="s">
        <v>5102</v>
      </c>
      <c r="G3797" s="4" t="s">
        <v>5103</v>
      </c>
      <c r="H3797" s="4" t="s">
        <v>32</v>
      </c>
      <c r="I3797" s="4" t="s">
        <v>33</v>
      </c>
      <c r="J3797" s="4">
        <v>1</v>
      </c>
      <c r="K3797" s="4">
        <v>0</v>
      </c>
      <c r="L3797" s="4">
        <f>J3797+K3797</f>
        <v>0</v>
      </c>
      <c r="M3797" s="4" t="s">
        <v>2291</v>
      </c>
      <c r="N3797" s="4"/>
      <c r="O3797" s="4">
        <v>1</v>
      </c>
      <c r="P3797" s="4" t="s">
        <v>135</v>
      </c>
      <c r="Q3797" s="4" t="s">
        <v>44</v>
      </c>
      <c r="R3797" s="7">
        <v>1300000</v>
      </c>
      <c r="S3797" s="7">
        <v>0</v>
      </c>
      <c r="T3797" s="7">
        <f>R3797-S3797</f>
        <v>0</v>
      </c>
      <c r="U3797" s="7">
        <f>T3797*O3797</f>
        <v>0</v>
      </c>
    </row>
    <row r="3798" spans="1:21">
      <c r="A3798" s="4" t="s">
        <v>5104</v>
      </c>
      <c r="B3798" s="4" t="s">
        <v>39</v>
      </c>
      <c r="C3798" s="5">
        <v>45986.08931712963</v>
      </c>
      <c r="D3798" s="5">
        <v>45986</v>
      </c>
      <c r="E3798" s="6">
        <f>IF(AND(C3798&lt;&gt;"",D3798&lt;&gt;""),D3798-C3798,"")</f>
        <v>0</v>
      </c>
      <c r="F3798" s="4" t="s">
        <v>5105</v>
      </c>
      <c r="G3798" s="4" t="s">
        <v>5106</v>
      </c>
      <c r="H3798" s="4" t="s">
        <v>32</v>
      </c>
      <c r="I3798" s="4" t="s">
        <v>33</v>
      </c>
      <c r="J3798" s="4">
        <v>0</v>
      </c>
      <c r="K3798" s="4">
        <v>0</v>
      </c>
      <c r="L3798" s="4">
        <f>J3798+K3798</f>
        <v>0</v>
      </c>
      <c r="M3798" s="4" t="s">
        <v>370</v>
      </c>
      <c r="N3798" s="4"/>
      <c r="O3798" s="4">
        <v>1</v>
      </c>
      <c r="P3798" s="4" t="s">
        <v>135</v>
      </c>
      <c r="Q3798" s="4" t="s">
        <v>44</v>
      </c>
      <c r="R3798" s="7">
        <v>3000000</v>
      </c>
      <c r="S3798" s="7">
        <v>0</v>
      </c>
      <c r="T3798" s="7">
        <f>R3798-S3798</f>
        <v>0</v>
      </c>
      <c r="U3798" s="7">
        <f>T3798*O3798</f>
        <v>0</v>
      </c>
    </row>
    <row r="3799" spans="1:21">
      <c r="A3799" s="4" t="s">
        <v>5107</v>
      </c>
      <c r="B3799" s="4" t="s">
        <v>39</v>
      </c>
      <c r="C3799" s="5">
        <v>45986.09978009259</v>
      </c>
      <c r="D3799" s="5">
        <v>45986</v>
      </c>
      <c r="E3799" s="6">
        <f>IF(AND(C3799&lt;&gt;"",D3799&lt;&gt;""),D3799-C3799,"")</f>
        <v>0</v>
      </c>
      <c r="F3799" s="4" t="s">
        <v>5108</v>
      </c>
      <c r="G3799" s="4" t="s">
        <v>5109</v>
      </c>
      <c r="H3799" s="4" t="s">
        <v>32</v>
      </c>
      <c r="I3799" s="4" t="s">
        <v>33</v>
      </c>
      <c r="J3799" s="4">
        <v>0</v>
      </c>
      <c r="K3799" s="4">
        <v>0</v>
      </c>
      <c r="L3799" s="4">
        <f>J3799+K3799</f>
        <v>0</v>
      </c>
      <c r="M3799" s="4" t="s">
        <v>3630</v>
      </c>
      <c r="N3799" s="4"/>
      <c r="O3799" s="4">
        <v>4</v>
      </c>
      <c r="P3799" s="4" t="s">
        <v>135</v>
      </c>
      <c r="Q3799" s="4"/>
      <c r="R3799" s="7">
        <v>15000</v>
      </c>
      <c r="S3799" s="7">
        <v>6000</v>
      </c>
      <c r="T3799" s="7">
        <f>R3799-S3799</f>
        <v>0</v>
      </c>
      <c r="U3799" s="7">
        <f>T3799*O3799</f>
        <v>0</v>
      </c>
    </row>
    <row r="3800" spans="1:21">
      <c r="A3800" s="4" t="s">
        <v>5110</v>
      </c>
      <c r="B3800" s="4" t="s">
        <v>48</v>
      </c>
      <c r="C3800" s="5">
        <v>45986.10311342592</v>
      </c>
      <c r="D3800" s="5">
        <v>45986</v>
      </c>
      <c r="E3800" s="6">
        <f>IF(AND(C3800&lt;&gt;"",D3800&lt;&gt;""),D3800-C3800,"")</f>
        <v>0</v>
      </c>
      <c r="F3800" s="4" t="s">
        <v>64</v>
      </c>
      <c r="G3800" s="4" t="s">
        <v>5111</v>
      </c>
      <c r="H3800" s="4" t="s">
        <v>32</v>
      </c>
      <c r="I3800" s="4" t="s">
        <v>33</v>
      </c>
      <c r="J3800" s="4">
        <v>4</v>
      </c>
      <c r="K3800" s="4">
        <v>2</v>
      </c>
      <c r="L3800" s="4">
        <f>J3800+K3800</f>
        <v>0</v>
      </c>
      <c r="M3800" s="4"/>
      <c r="N3800" s="4"/>
      <c r="O3800" s="4">
        <v>0</v>
      </c>
      <c r="P3800" s="4"/>
      <c r="Q3800" s="4"/>
      <c r="R3800" s="7">
        <v>0</v>
      </c>
      <c r="S3800" s="7">
        <v>0</v>
      </c>
      <c r="T3800" s="7">
        <f>R3800-S3800</f>
        <v>0</v>
      </c>
      <c r="U3800" s="7">
        <f>T3800*O3800</f>
        <v>0</v>
      </c>
    </row>
    <row r="3801" spans="1:21">
      <c r="A3801" s="4" t="s">
        <v>5112</v>
      </c>
      <c r="B3801" s="4" t="s">
        <v>122</v>
      </c>
      <c r="C3801" s="5">
        <v>45986.16520833333</v>
      </c>
      <c r="D3801" s="5">
        <v>45986</v>
      </c>
      <c r="E3801" s="6">
        <f>IF(AND(C3801&lt;&gt;"",D3801&lt;&gt;""),D3801-C3801,"")</f>
        <v>0</v>
      </c>
      <c r="F3801" s="4" t="s">
        <v>4609</v>
      </c>
      <c r="G3801" s="4" t="s">
        <v>4610</v>
      </c>
      <c r="H3801" s="4" t="s">
        <v>32</v>
      </c>
      <c r="I3801" s="4" t="s">
        <v>33</v>
      </c>
      <c r="J3801" s="4">
        <v>3</v>
      </c>
      <c r="K3801" s="4">
        <v>0</v>
      </c>
      <c r="L3801" s="4">
        <f>J3801+K3801</f>
        <v>0</v>
      </c>
      <c r="M3801" s="4"/>
      <c r="N3801" s="4"/>
      <c r="O3801" s="4">
        <v>0</v>
      </c>
      <c r="P3801" s="4"/>
      <c r="Q3801" s="4"/>
      <c r="R3801" s="7">
        <v>0</v>
      </c>
      <c r="S3801" s="7">
        <v>0</v>
      </c>
      <c r="T3801" s="7">
        <f>R3801-S3801</f>
        <v>0</v>
      </c>
      <c r="U3801" s="7">
        <f>T3801*O3801</f>
        <v>0</v>
      </c>
    </row>
    <row r="3802" spans="1:21">
      <c r="A3802" s="4" t="s">
        <v>5113</v>
      </c>
      <c r="B3802" s="4" t="s">
        <v>48</v>
      </c>
      <c r="C3802" s="5">
        <v>45986.19142361111</v>
      </c>
      <c r="D3802" s="5">
        <v>45986</v>
      </c>
      <c r="E3802" s="6">
        <f>IF(AND(C3802&lt;&gt;"",D3802&lt;&gt;""),D3802-C3802,"")</f>
        <v>0</v>
      </c>
      <c r="F3802" s="4" t="s">
        <v>64</v>
      </c>
      <c r="G3802" s="4" t="s">
        <v>5114</v>
      </c>
      <c r="H3802" s="4" t="s">
        <v>32</v>
      </c>
      <c r="I3802" s="4" t="s">
        <v>33</v>
      </c>
      <c r="J3802" s="4">
        <v>4</v>
      </c>
      <c r="K3802" s="4">
        <v>2</v>
      </c>
      <c r="L3802" s="4">
        <f>J3802+K3802</f>
        <v>0</v>
      </c>
      <c r="M3802" s="4"/>
      <c r="N3802" s="4"/>
      <c r="O3802" s="4">
        <v>0</v>
      </c>
      <c r="P3802" s="4"/>
      <c r="Q3802" s="4"/>
      <c r="R3802" s="7">
        <v>0</v>
      </c>
      <c r="S3802" s="7">
        <v>0</v>
      </c>
      <c r="T3802" s="7">
        <f>R3802-S3802</f>
        <v>0</v>
      </c>
      <c r="U3802" s="7">
        <f>T3802*O3802</f>
        <v>0</v>
      </c>
    </row>
    <row r="3803" spans="1:21">
      <c r="A3803" s="4" t="s">
        <v>5115</v>
      </c>
      <c r="B3803" s="4" t="s">
        <v>48</v>
      </c>
      <c r="C3803" s="5">
        <v>45986.22152777778</v>
      </c>
      <c r="D3803" s="5">
        <v>45986</v>
      </c>
      <c r="E3803" s="6">
        <f>IF(AND(C3803&lt;&gt;"",D3803&lt;&gt;""),D3803-C3803,"")</f>
        <v>0</v>
      </c>
      <c r="F3803" s="4" t="s">
        <v>64</v>
      </c>
      <c r="G3803" s="4" t="s">
        <v>5116</v>
      </c>
      <c r="H3803" s="4" t="s">
        <v>32</v>
      </c>
      <c r="I3803" s="4" t="s">
        <v>33</v>
      </c>
      <c r="J3803" s="4">
        <v>3</v>
      </c>
      <c r="K3803" s="4">
        <v>0</v>
      </c>
      <c r="L3803" s="4">
        <f>J3803+K3803</f>
        <v>0</v>
      </c>
      <c r="M3803" s="4"/>
      <c r="N3803" s="4"/>
      <c r="O3803" s="4">
        <v>0</v>
      </c>
      <c r="P3803" s="4"/>
      <c r="Q3803" s="4"/>
      <c r="R3803" s="7">
        <v>0</v>
      </c>
      <c r="S3803" s="7">
        <v>0</v>
      </c>
      <c r="T3803" s="7">
        <f>R3803-S3803</f>
        <v>0</v>
      </c>
      <c r="U3803" s="7">
        <f>T3803*O3803</f>
        <v>0</v>
      </c>
    </row>
    <row r="3804" spans="1:21">
      <c r="A3804" s="4" t="s">
        <v>5117</v>
      </c>
      <c r="B3804" s="4" t="s">
        <v>39</v>
      </c>
      <c r="C3804" s="5">
        <v>45986.2334837963</v>
      </c>
      <c r="D3804" s="5">
        <v>45986</v>
      </c>
      <c r="E3804" s="6">
        <f>IF(AND(C3804&lt;&gt;"",D3804&lt;&gt;""),D3804-C3804,"")</f>
        <v>0</v>
      </c>
      <c r="F3804" s="4" t="s">
        <v>4391</v>
      </c>
      <c r="G3804" s="4" t="s">
        <v>4392</v>
      </c>
      <c r="H3804" s="4" t="s">
        <v>32</v>
      </c>
      <c r="I3804" s="4" t="s">
        <v>33</v>
      </c>
      <c r="J3804" s="4">
        <v>0</v>
      </c>
      <c r="K3804" s="4">
        <v>0</v>
      </c>
      <c r="L3804" s="4">
        <f>J3804+K3804</f>
        <v>0</v>
      </c>
      <c r="M3804" s="4" t="s">
        <v>3901</v>
      </c>
      <c r="N3804" s="4" t="s">
        <v>5118</v>
      </c>
      <c r="O3804" s="4">
        <v>1</v>
      </c>
      <c r="P3804" s="4" t="s">
        <v>135</v>
      </c>
      <c r="Q3804" s="4"/>
      <c r="R3804" s="7">
        <v>44000</v>
      </c>
      <c r="S3804" s="7">
        <v>17600</v>
      </c>
      <c r="T3804" s="7">
        <f>R3804-S3804</f>
        <v>0</v>
      </c>
      <c r="U3804" s="7">
        <f>T3804*O3804</f>
        <v>0</v>
      </c>
    </row>
    <row r="3805" spans="1:21">
      <c r="A3805" s="4" t="s">
        <v>5117</v>
      </c>
      <c r="B3805" s="4" t="s">
        <v>39</v>
      </c>
      <c r="C3805" s="5">
        <v>45986.2334837963</v>
      </c>
      <c r="D3805" s="5">
        <v>45986</v>
      </c>
      <c r="E3805" s="6">
        <f>IF(AND(C3805&lt;&gt;"",D3805&lt;&gt;""),D3805-C3805,"")</f>
        <v>0</v>
      </c>
      <c r="F3805" s="4" t="s">
        <v>4391</v>
      </c>
      <c r="G3805" s="4" t="s">
        <v>4392</v>
      </c>
      <c r="H3805" s="4" t="s">
        <v>32</v>
      </c>
      <c r="I3805" s="4" t="s">
        <v>33</v>
      </c>
      <c r="J3805" s="4">
        <v>0</v>
      </c>
      <c r="K3805" s="4">
        <v>0</v>
      </c>
      <c r="L3805" s="4">
        <f>J3805+K3805</f>
        <v>0</v>
      </c>
      <c r="M3805" s="4" t="s">
        <v>3924</v>
      </c>
      <c r="N3805" s="4" t="s">
        <v>5118</v>
      </c>
      <c r="O3805" s="4">
        <v>1</v>
      </c>
      <c r="P3805" s="4" t="s">
        <v>135</v>
      </c>
      <c r="Q3805" s="4"/>
      <c r="R3805" s="7">
        <v>108000</v>
      </c>
      <c r="S3805" s="7">
        <v>43200</v>
      </c>
      <c r="T3805" s="7">
        <f>R3805-S3805</f>
        <v>0</v>
      </c>
      <c r="U3805" s="7">
        <f>T3805*O3805</f>
        <v>0</v>
      </c>
    </row>
    <row r="3806" spans="1:21">
      <c r="A3806" s="4" t="s">
        <v>5119</v>
      </c>
      <c r="B3806" s="4" t="s">
        <v>39</v>
      </c>
      <c r="C3806" s="5">
        <v>45986.24251157408</v>
      </c>
      <c r="D3806" s="5">
        <v>45986</v>
      </c>
      <c r="E3806" s="6">
        <f>IF(AND(C3806&lt;&gt;"",D3806&lt;&gt;""),D3806-C3806,"")</f>
        <v>0</v>
      </c>
      <c r="F3806" s="4" t="s">
        <v>4666</v>
      </c>
      <c r="G3806" s="4" t="s">
        <v>4667</v>
      </c>
      <c r="H3806" s="4" t="s">
        <v>32</v>
      </c>
      <c r="I3806" s="4" t="s">
        <v>33</v>
      </c>
      <c r="J3806" s="4">
        <v>0</v>
      </c>
      <c r="K3806" s="4">
        <v>0</v>
      </c>
      <c r="L3806" s="4">
        <f>J3806+K3806</f>
        <v>0</v>
      </c>
      <c r="M3806" s="4" t="s">
        <v>1726</v>
      </c>
      <c r="N3806" s="4"/>
      <c r="O3806" s="4">
        <v>1</v>
      </c>
      <c r="P3806" s="4" t="s">
        <v>135</v>
      </c>
      <c r="Q3806" s="4"/>
      <c r="R3806" s="7">
        <v>64000</v>
      </c>
      <c r="S3806" s="7">
        <v>0</v>
      </c>
      <c r="T3806" s="7">
        <f>R3806-S3806</f>
        <v>0</v>
      </c>
      <c r="U3806" s="7">
        <f>T3806*O3806</f>
        <v>0</v>
      </c>
    </row>
    <row r="3807" spans="1:21">
      <c r="A3807" s="4" t="s">
        <v>5119</v>
      </c>
      <c r="B3807" s="4" t="s">
        <v>39</v>
      </c>
      <c r="C3807" s="5">
        <v>45986.24251157408</v>
      </c>
      <c r="D3807" s="5">
        <v>45986</v>
      </c>
      <c r="E3807" s="6">
        <f>IF(AND(C3807&lt;&gt;"",D3807&lt;&gt;""),D3807-C3807,"")</f>
        <v>0</v>
      </c>
      <c r="F3807" s="4" t="s">
        <v>4666</v>
      </c>
      <c r="G3807" s="4" t="s">
        <v>4667</v>
      </c>
      <c r="H3807" s="4" t="s">
        <v>32</v>
      </c>
      <c r="I3807" s="4" t="s">
        <v>33</v>
      </c>
      <c r="J3807" s="4">
        <v>0</v>
      </c>
      <c r="K3807" s="4">
        <v>0</v>
      </c>
      <c r="L3807" s="4">
        <f>J3807+K3807</f>
        <v>0</v>
      </c>
      <c r="M3807" s="4" t="s">
        <v>1777</v>
      </c>
      <c r="N3807" s="4" t="s">
        <v>5120</v>
      </c>
      <c r="O3807" s="4">
        <v>1</v>
      </c>
      <c r="P3807" s="4" t="s">
        <v>135</v>
      </c>
      <c r="Q3807" s="4"/>
      <c r="R3807" s="7">
        <v>122000</v>
      </c>
      <c r="S3807" s="7">
        <v>24400</v>
      </c>
      <c r="T3807" s="7">
        <f>R3807-S3807</f>
        <v>0</v>
      </c>
      <c r="U3807" s="7">
        <f>T3807*O3807</f>
        <v>0</v>
      </c>
    </row>
    <row r="3808" spans="1:21">
      <c r="A3808" s="4" t="s">
        <v>5119</v>
      </c>
      <c r="B3808" s="4" t="s">
        <v>39</v>
      </c>
      <c r="C3808" s="5">
        <v>45986.24251157408</v>
      </c>
      <c r="D3808" s="5">
        <v>45986</v>
      </c>
      <c r="E3808" s="6">
        <f>IF(AND(C3808&lt;&gt;"",D3808&lt;&gt;""),D3808-C3808,"")</f>
        <v>0</v>
      </c>
      <c r="F3808" s="4" t="s">
        <v>4666</v>
      </c>
      <c r="G3808" s="4" t="s">
        <v>4667</v>
      </c>
      <c r="H3808" s="4" t="s">
        <v>32</v>
      </c>
      <c r="I3808" s="4" t="s">
        <v>33</v>
      </c>
      <c r="J3808" s="4">
        <v>0</v>
      </c>
      <c r="K3808" s="4">
        <v>0</v>
      </c>
      <c r="L3808" s="4">
        <f>J3808+K3808</f>
        <v>0</v>
      </c>
      <c r="M3808" s="4" t="s">
        <v>1840</v>
      </c>
      <c r="N3808" s="4" t="s">
        <v>5121</v>
      </c>
      <c r="O3808" s="4">
        <v>1</v>
      </c>
      <c r="P3808" s="4" t="s">
        <v>135</v>
      </c>
      <c r="Q3808" s="4"/>
      <c r="R3808" s="7">
        <v>153000</v>
      </c>
      <c r="S3808" s="7">
        <v>15300</v>
      </c>
      <c r="T3808" s="7">
        <f>R3808-S3808</f>
        <v>0</v>
      </c>
      <c r="U3808" s="7">
        <f>T3808*O3808</f>
        <v>0</v>
      </c>
    </row>
    <row r="3809" spans="1:21">
      <c r="A3809" s="4" t="s">
        <v>5122</v>
      </c>
      <c r="B3809" s="4" t="s">
        <v>39</v>
      </c>
      <c r="C3809" s="5">
        <v>45986.29040509259</v>
      </c>
      <c r="D3809" s="5">
        <v>45986</v>
      </c>
      <c r="E3809" s="6">
        <f>IF(AND(C3809&lt;&gt;"",D3809&lt;&gt;""),D3809-C3809,"")</f>
        <v>0</v>
      </c>
      <c r="F3809" s="4" t="s">
        <v>162</v>
      </c>
      <c r="G3809" s="4" t="s">
        <v>163</v>
      </c>
      <c r="H3809" s="4" t="s">
        <v>32</v>
      </c>
      <c r="I3809" s="4" t="s">
        <v>33</v>
      </c>
      <c r="J3809" s="4">
        <v>1</v>
      </c>
      <c r="K3809" s="4">
        <v>0</v>
      </c>
      <c r="L3809" s="4">
        <f>J3809+K3809</f>
        <v>0</v>
      </c>
      <c r="M3809" s="4" t="s">
        <v>80</v>
      </c>
      <c r="N3809" s="4"/>
      <c r="O3809" s="4">
        <v>1</v>
      </c>
      <c r="P3809" s="4" t="s">
        <v>135</v>
      </c>
      <c r="Q3809" s="4" t="s">
        <v>44</v>
      </c>
      <c r="R3809" s="7">
        <v>610000</v>
      </c>
      <c r="S3809" s="7">
        <v>0</v>
      </c>
      <c r="T3809" s="7">
        <f>R3809-S3809</f>
        <v>0</v>
      </c>
      <c r="U3809" s="7">
        <f>T3809*O3809</f>
        <v>0</v>
      </c>
    </row>
    <row r="3810" spans="1:21">
      <c r="A3810" s="4" t="s">
        <v>5122</v>
      </c>
      <c r="B3810" s="4" t="s">
        <v>39</v>
      </c>
      <c r="C3810" s="5">
        <v>45986.29040509259</v>
      </c>
      <c r="D3810" s="5">
        <v>45986</v>
      </c>
      <c r="E3810" s="6">
        <f>IF(AND(C3810&lt;&gt;"",D3810&lt;&gt;""),D3810-C3810,"")</f>
        <v>0</v>
      </c>
      <c r="F3810" s="4" t="s">
        <v>162</v>
      </c>
      <c r="G3810" s="4" t="s">
        <v>163</v>
      </c>
      <c r="H3810" s="4" t="s">
        <v>32</v>
      </c>
      <c r="I3810" s="4" t="s">
        <v>33</v>
      </c>
      <c r="J3810" s="4">
        <v>1</v>
      </c>
      <c r="K3810" s="4">
        <v>0</v>
      </c>
      <c r="L3810" s="4">
        <f>J3810+K3810</f>
        <v>0</v>
      </c>
      <c r="M3810" s="4" t="s">
        <v>42</v>
      </c>
      <c r="N3810" s="4" t="s">
        <v>5123</v>
      </c>
      <c r="O3810" s="4">
        <v>1</v>
      </c>
      <c r="P3810" s="4" t="s">
        <v>135</v>
      </c>
      <c r="Q3810" s="4" t="s">
        <v>44</v>
      </c>
      <c r="R3810" s="7">
        <v>370000</v>
      </c>
      <c r="S3810" s="7">
        <v>37000</v>
      </c>
      <c r="T3810" s="7">
        <f>R3810-S3810</f>
        <v>0</v>
      </c>
      <c r="U3810" s="7">
        <f>T3810*O3810</f>
        <v>0</v>
      </c>
    </row>
    <row r="3811" spans="1:21">
      <c r="A3811" s="4" t="s">
        <v>5124</v>
      </c>
      <c r="B3811" s="4" t="s">
        <v>39</v>
      </c>
      <c r="C3811" s="5">
        <v>45986.32827546296</v>
      </c>
      <c r="D3811" s="5">
        <v>45986</v>
      </c>
      <c r="E3811" s="6">
        <f>IF(AND(C3811&lt;&gt;"",D3811&lt;&gt;""),D3811-C3811,"")</f>
        <v>0</v>
      </c>
      <c r="F3811" s="4" t="s">
        <v>162</v>
      </c>
      <c r="G3811" s="4" t="s">
        <v>163</v>
      </c>
      <c r="H3811" s="4" t="s">
        <v>32</v>
      </c>
      <c r="I3811" s="4" t="s">
        <v>33</v>
      </c>
      <c r="J3811" s="4">
        <v>1</v>
      </c>
      <c r="K3811" s="4">
        <v>0</v>
      </c>
      <c r="L3811" s="4">
        <f>J3811+K3811</f>
        <v>0</v>
      </c>
      <c r="M3811" s="4" t="s">
        <v>80</v>
      </c>
      <c r="N3811" s="4" t="s">
        <v>5125</v>
      </c>
      <c r="O3811" s="4">
        <v>1</v>
      </c>
      <c r="P3811" s="4" t="s">
        <v>135</v>
      </c>
      <c r="Q3811" s="4" t="s">
        <v>44</v>
      </c>
      <c r="R3811" s="7">
        <v>610000</v>
      </c>
      <c r="S3811" s="7">
        <v>61000</v>
      </c>
      <c r="T3811" s="7">
        <f>R3811-S3811</f>
        <v>0</v>
      </c>
      <c r="U3811" s="7">
        <f>T3811*O3811</f>
        <v>0</v>
      </c>
    </row>
    <row r="3812" spans="1:21">
      <c r="A3812" s="4" t="s">
        <v>5124</v>
      </c>
      <c r="B3812" s="4" t="s">
        <v>39</v>
      </c>
      <c r="C3812" s="5">
        <v>45986.32827546296</v>
      </c>
      <c r="D3812" s="5">
        <v>45986</v>
      </c>
      <c r="E3812" s="6">
        <f>IF(AND(C3812&lt;&gt;"",D3812&lt;&gt;""),D3812-C3812,"")</f>
        <v>0</v>
      </c>
      <c r="F3812" s="4" t="s">
        <v>162</v>
      </c>
      <c r="G3812" s="4" t="s">
        <v>163</v>
      </c>
      <c r="H3812" s="4" t="s">
        <v>32</v>
      </c>
      <c r="I3812" s="4" t="s">
        <v>33</v>
      </c>
      <c r="J3812" s="4">
        <v>1</v>
      </c>
      <c r="K3812" s="4">
        <v>0</v>
      </c>
      <c r="L3812" s="4">
        <f>J3812+K3812</f>
        <v>0</v>
      </c>
      <c r="M3812" s="4" t="s">
        <v>42</v>
      </c>
      <c r="N3812" s="4"/>
      <c r="O3812" s="4">
        <v>1</v>
      </c>
      <c r="P3812" s="4" t="s">
        <v>135</v>
      </c>
      <c r="Q3812" s="4" t="s">
        <v>44</v>
      </c>
      <c r="R3812" s="7">
        <v>370000</v>
      </c>
      <c r="S3812" s="7">
        <v>0</v>
      </c>
      <c r="T3812" s="7">
        <f>R3812-S3812</f>
        <v>0</v>
      </c>
      <c r="U3812" s="7">
        <f>T3812*O3812</f>
        <v>0</v>
      </c>
    </row>
    <row r="3813" spans="1:21">
      <c r="A3813" s="4" t="s">
        <v>5124</v>
      </c>
      <c r="B3813" s="4" t="s">
        <v>39</v>
      </c>
      <c r="C3813" s="5">
        <v>45986.32827546296</v>
      </c>
      <c r="D3813" s="5">
        <v>45986</v>
      </c>
      <c r="E3813" s="6">
        <f>IF(AND(C3813&lt;&gt;"",D3813&lt;&gt;""),D3813-C3813,"")</f>
        <v>0</v>
      </c>
      <c r="F3813" s="4" t="s">
        <v>162</v>
      </c>
      <c r="G3813" s="4" t="s">
        <v>163</v>
      </c>
      <c r="H3813" s="4" t="s">
        <v>32</v>
      </c>
      <c r="I3813" s="4" t="s">
        <v>33</v>
      </c>
      <c r="J3813" s="4">
        <v>0</v>
      </c>
      <c r="K3813" s="4">
        <v>1</v>
      </c>
      <c r="L3813" s="4">
        <f>J3813+K3813</f>
        <v>0</v>
      </c>
      <c r="M3813" s="4" t="s">
        <v>81</v>
      </c>
      <c r="N3813" s="4" t="s">
        <v>5126</v>
      </c>
      <c r="O3813" s="4">
        <v>1</v>
      </c>
      <c r="P3813" s="4" t="s">
        <v>135</v>
      </c>
      <c r="Q3813" s="4" t="s">
        <v>44</v>
      </c>
      <c r="R3813" s="7">
        <v>495000</v>
      </c>
      <c r="S3813" s="7">
        <v>247500</v>
      </c>
      <c r="T3813" s="7">
        <f>R3813-S3813</f>
        <v>0</v>
      </c>
      <c r="U3813" s="7">
        <f>T3813*O3813</f>
        <v>0</v>
      </c>
    </row>
    <row r="3814" spans="1:21">
      <c r="A3814" s="4" t="s">
        <v>5127</v>
      </c>
      <c r="B3814" s="4" t="s">
        <v>48</v>
      </c>
      <c r="C3814" s="5">
        <v>45986.38519675926</v>
      </c>
      <c r="D3814" s="5">
        <v>45986</v>
      </c>
      <c r="E3814" s="6">
        <f>IF(AND(C3814&lt;&gt;"",D3814&lt;&gt;""),D3814-C3814,"")</f>
        <v>0</v>
      </c>
      <c r="F3814" s="4" t="s">
        <v>64</v>
      </c>
      <c r="G3814" s="4" t="s">
        <v>5128</v>
      </c>
      <c r="H3814" s="4" t="s">
        <v>32</v>
      </c>
      <c r="I3814" s="4" t="s">
        <v>33</v>
      </c>
      <c r="J3814" s="4">
        <v>4</v>
      </c>
      <c r="K3814" s="4">
        <v>2</v>
      </c>
      <c r="L3814" s="4">
        <f>J3814+K3814</f>
        <v>0</v>
      </c>
      <c r="M3814" s="4"/>
      <c r="N3814" s="4"/>
      <c r="O3814" s="4">
        <v>0</v>
      </c>
      <c r="P3814" s="4"/>
      <c r="Q3814" s="4"/>
      <c r="R3814" s="7">
        <v>0</v>
      </c>
      <c r="S3814" s="7">
        <v>0</v>
      </c>
      <c r="T3814" s="7">
        <f>R3814-S3814</f>
        <v>0</v>
      </c>
      <c r="U3814" s="7">
        <f>T3814*O3814</f>
        <v>0</v>
      </c>
    </row>
    <row r="3815" spans="1:21">
      <c r="A3815" s="4" t="s">
        <v>5129</v>
      </c>
      <c r="B3815" s="4" t="s">
        <v>48</v>
      </c>
      <c r="C3815" s="5">
        <v>45986.38862268518</v>
      </c>
      <c r="D3815" s="5">
        <v>45986</v>
      </c>
      <c r="E3815" s="6">
        <f>IF(AND(C3815&lt;&gt;"",D3815&lt;&gt;""),D3815-C3815,"")</f>
        <v>0</v>
      </c>
      <c r="F3815" s="4" t="s">
        <v>219</v>
      </c>
      <c r="G3815" s="4" t="s">
        <v>5130</v>
      </c>
      <c r="H3815" s="4" t="s">
        <v>32</v>
      </c>
      <c r="I3815" s="4" t="s">
        <v>33</v>
      </c>
      <c r="J3815" s="4">
        <v>4</v>
      </c>
      <c r="K3815" s="4">
        <v>3</v>
      </c>
      <c r="L3815" s="4">
        <f>J3815+K3815</f>
        <v>0</v>
      </c>
      <c r="M3815" s="4"/>
      <c r="N3815" s="4"/>
      <c r="O3815" s="4">
        <v>0</v>
      </c>
      <c r="P3815" s="4"/>
      <c r="Q3815" s="4"/>
      <c r="R3815" s="7">
        <v>0</v>
      </c>
      <c r="S3815" s="7">
        <v>0</v>
      </c>
      <c r="T3815" s="7">
        <f>R3815-S3815</f>
        <v>0</v>
      </c>
      <c r="U3815" s="7">
        <f>T3815*O3815</f>
        <v>0</v>
      </c>
    </row>
    <row r="3816" spans="1:21">
      <c r="A3816" s="4" t="s">
        <v>5131</v>
      </c>
      <c r="B3816" s="4" t="s">
        <v>48</v>
      </c>
      <c r="C3816" s="5">
        <v>45986.39395833333</v>
      </c>
      <c r="D3816" s="5">
        <v>45986</v>
      </c>
      <c r="E3816" s="6">
        <f>IF(AND(C3816&lt;&gt;"",D3816&lt;&gt;""),D3816-C3816,"")</f>
        <v>0</v>
      </c>
      <c r="F3816" s="4" t="s">
        <v>5132</v>
      </c>
      <c r="G3816" s="4" t="s">
        <v>5133</v>
      </c>
      <c r="H3816" s="4"/>
      <c r="I3816" s="4" t="s">
        <v>56</v>
      </c>
      <c r="J3816" s="4">
        <v>2</v>
      </c>
      <c r="K3816" s="4">
        <v>0</v>
      </c>
      <c r="L3816" s="4">
        <f>J3816+K3816</f>
        <v>0</v>
      </c>
      <c r="M3816" s="4"/>
      <c r="N3816" s="4"/>
      <c r="O3816" s="4">
        <v>0</v>
      </c>
      <c r="P3816" s="4"/>
      <c r="Q3816" s="4"/>
      <c r="R3816" s="7">
        <v>0</v>
      </c>
      <c r="S3816" s="7">
        <v>0</v>
      </c>
      <c r="T3816" s="7">
        <f>R3816-S3816</f>
        <v>0</v>
      </c>
      <c r="U3816" s="7">
        <f>T3816*O3816</f>
        <v>0</v>
      </c>
    </row>
    <row r="3817" spans="1:21">
      <c r="A3817" s="4" t="s">
        <v>5134</v>
      </c>
      <c r="B3817" s="4"/>
      <c r="C3817" s="5">
        <v>45986.399375</v>
      </c>
      <c r="D3817" s="5">
        <v>45987</v>
      </c>
      <c r="E3817" s="6">
        <f>IF(AND(C3817&lt;&gt;"",D3817&lt;&gt;""),D3817-C3817,"")</f>
        <v>0</v>
      </c>
      <c r="F3817" s="4" t="s">
        <v>162</v>
      </c>
      <c r="G3817" s="4" t="s">
        <v>163</v>
      </c>
      <c r="H3817" s="4" t="s">
        <v>32</v>
      </c>
      <c r="I3817" s="4" t="s">
        <v>33</v>
      </c>
      <c r="J3817" s="4">
        <v>1</v>
      </c>
      <c r="K3817" s="4">
        <v>0</v>
      </c>
      <c r="L3817" s="4">
        <f>J3817+K3817</f>
        <v>0</v>
      </c>
      <c r="M3817" s="4"/>
      <c r="N3817" s="4"/>
      <c r="O3817" s="4">
        <v>0</v>
      </c>
      <c r="P3817" s="4"/>
      <c r="Q3817" s="4"/>
      <c r="R3817" s="7">
        <v>0</v>
      </c>
      <c r="S3817" s="7">
        <v>0</v>
      </c>
      <c r="T3817" s="7">
        <f>R3817-S3817</f>
        <v>0</v>
      </c>
      <c r="U3817" s="7">
        <f>T3817*O3817</f>
        <v>0</v>
      </c>
    </row>
    <row r="3818" spans="1:21">
      <c r="A3818" s="4" t="s">
        <v>5135</v>
      </c>
      <c r="B3818" s="4" t="s">
        <v>48</v>
      </c>
      <c r="C3818" s="5">
        <v>45986.39981481482</v>
      </c>
      <c r="D3818" s="5">
        <v>45986</v>
      </c>
      <c r="E3818" s="6">
        <f>IF(AND(C3818&lt;&gt;"",D3818&lt;&gt;""),D3818-C3818,"")</f>
        <v>0</v>
      </c>
      <c r="F3818" s="4" t="s">
        <v>5136</v>
      </c>
      <c r="G3818" s="4" t="s">
        <v>5137</v>
      </c>
      <c r="H3818" s="4"/>
      <c r="I3818" s="4" t="s">
        <v>56</v>
      </c>
      <c r="J3818" s="4">
        <v>3</v>
      </c>
      <c r="K3818" s="4">
        <v>0</v>
      </c>
      <c r="L3818" s="4">
        <f>J3818+K3818</f>
        <v>0</v>
      </c>
      <c r="M3818" s="4"/>
      <c r="N3818" s="4"/>
      <c r="O3818" s="4">
        <v>0</v>
      </c>
      <c r="P3818" s="4"/>
      <c r="Q3818" s="4"/>
      <c r="R3818" s="7">
        <v>0</v>
      </c>
      <c r="S3818" s="7">
        <v>0</v>
      </c>
      <c r="T3818" s="7">
        <f>R3818-S3818</f>
        <v>0</v>
      </c>
      <c r="U3818" s="7">
        <f>T3818*O3818</f>
        <v>0</v>
      </c>
    </row>
    <row r="3819" spans="1:21">
      <c r="A3819" s="4" t="s">
        <v>5138</v>
      </c>
      <c r="B3819" s="4" t="s">
        <v>39</v>
      </c>
      <c r="C3819" s="5">
        <v>45986.60100694445</v>
      </c>
      <c r="D3819" s="5">
        <v>45986</v>
      </c>
      <c r="E3819" s="6">
        <f>IF(AND(C3819&lt;&gt;"",D3819&lt;&gt;""),D3819-C3819,"")</f>
        <v>0</v>
      </c>
      <c r="F3819" s="4" t="s">
        <v>162</v>
      </c>
      <c r="G3819" s="4" t="s">
        <v>163</v>
      </c>
      <c r="H3819" s="4" t="s">
        <v>32</v>
      </c>
      <c r="I3819" s="4" t="s">
        <v>33</v>
      </c>
      <c r="J3819" s="4">
        <v>1</v>
      </c>
      <c r="K3819" s="4">
        <v>0</v>
      </c>
      <c r="L3819" s="4">
        <f>J3819+K3819</f>
        <v>0</v>
      </c>
      <c r="M3819" s="4" t="s">
        <v>80</v>
      </c>
      <c r="N3819" s="4"/>
      <c r="O3819" s="4">
        <v>1</v>
      </c>
      <c r="P3819" s="4" t="s">
        <v>135</v>
      </c>
      <c r="Q3819" s="4" t="s">
        <v>44</v>
      </c>
      <c r="R3819" s="7">
        <v>610000</v>
      </c>
      <c r="S3819" s="7">
        <v>305000</v>
      </c>
      <c r="T3819" s="7">
        <f>R3819-S3819</f>
        <v>0</v>
      </c>
      <c r="U3819" s="7">
        <f>T3819*O3819</f>
        <v>0</v>
      </c>
    </row>
    <row r="3820" spans="1:21">
      <c r="A3820" s="4" t="s">
        <v>5138</v>
      </c>
      <c r="B3820" s="4" t="s">
        <v>39</v>
      </c>
      <c r="C3820" s="5">
        <v>45986.60100694445</v>
      </c>
      <c r="D3820" s="5">
        <v>45986</v>
      </c>
      <c r="E3820" s="6">
        <f>IF(AND(C3820&lt;&gt;"",D3820&lt;&gt;""),D3820-C3820,"")</f>
        <v>0</v>
      </c>
      <c r="F3820" s="4" t="s">
        <v>162</v>
      </c>
      <c r="G3820" s="4" t="s">
        <v>163</v>
      </c>
      <c r="H3820" s="4" t="s">
        <v>32</v>
      </c>
      <c r="I3820" s="4" t="s">
        <v>33</v>
      </c>
      <c r="J3820" s="4">
        <v>1</v>
      </c>
      <c r="K3820" s="4">
        <v>0</v>
      </c>
      <c r="L3820" s="4">
        <f>J3820+K3820</f>
        <v>0</v>
      </c>
      <c r="M3820" s="4" t="s">
        <v>42</v>
      </c>
      <c r="N3820" s="4"/>
      <c r="O3820" s="4">
        <v>1</v>
      </c>
      <c r="P3820" s="4" t="s">
        <v>135</v>
      </c>
      <c r="Q3820" s="4" t="s">
        <v>44</v>
      </c>
      <c r="R3820" s="7">
        <v>370000</v>
      </c>
      <c r="S3820" s="7">
        <v>185000</v>
      </c>
      <c r="T3820" s="7">
        <f>R3820-S3820</f>
        <v>0</v>
      </c>
      <c r="U3820" s="7">
        <f>T3820*O3820</f>
        <v>0</v>
      </c>
    </row>
    <row r="3821" spans="1:21">
      <c r="A3821" s="4" t="s">
        <v>5139</v>
      </c>
      <c r="B3821" s="4" t="s">
        <v>39</v>
      </c>
      <c r="C3821" s="5">
        <v>45986.74761574074</v>
      </c>
      <c r="D3821" s="5">
        <v>45986</v>
      </c>
      <c r="E3821" s="6">
        <f>IF(AND(C3821&lt;&gt;"",D3821&lt;&gt;""),D3821-C3821,"")</f>
        <v>0</v>
      </c>
      <c r="F3821" s="4" t="s">
        <v>4154</v>
      </c>
      <c r="G3821" s="4" t="s">
        <v>5140</v>
      </c>
      <c r="H3821" s="4" t="s">
        <v>32</v>
      </c>
      <c r="I3821" s="4" t="s">
        <v>33</v>
      </c>
      <c r="J3821" s="4">
        <v>1</v>
      </c>
      <c r="K3821" s="4">
        <v>0</v>
      </c>
      <c r="L3821" s="4">
        <f>J3821+K3821</f>
        <v>0</v>
      </c>
      <c r="M3821" s="4" t="s">
        <v>80</v>
      </c>
      <c r="N3821" s="4"/>
      <c r="O3821" s="4">
        <v>1</v>
      </c>
      <c r="P3821" s="4" t="s">
        <v>135</v>
      </c>
      <c r="Q3821" s="4" t="s">
        <v>44</v>
      </c>
      <c r="R3821" s="7">
        <v>610000</v>
      </c>
      <c r="S3821" s="7">
        <v>0</v>
      </c>
      <c r="T3821" s="7">
        <f>R3821-S3821</f>
        <v>0</v>
      </c>
      <c r="U3821" s="7">
        <f>T3821*O3821</f>
        <v>0</v>
      </c>
    </row>
    <row r="3822" spans="1:21">
      <c r="A3822" s="4" t="s">
        <v>5139</v>
      </c>
      <c r="B3822" s="4" t="s">
        <v>39</v>
      </c>
      <c r="C3822" s="5">
        <v>45986.74761574074</v>
      </c>
      <c r="D3822" s="5">
        <v>45986</v>
      </c>
      <c r="E3822" s="6">
        <f>IF(AND(C3822&lt;&gt;"",D3822&lt;&gt;""),D3822-C3822,"")</f>
        <v>0</v>
      </c>
      <c r="F3822" s="4" t="s">
        <v>4154</v>
      </c>
      <c r="G3822" s="4" t="s">
        <v>5140</v>
      </c>
      <c r="H3822" s="4" t="s">
        <v>32</v>
      </c>
      <c r="I3822" s="4" t="s">
        <v>33</v>
      </c>
      <c r="J3822" s="4">
        <v>1</v>
      </c>
      <c r="K3822" s="4">
        <v>0</v>
      </c>
      <c r="L3822" s="4">
        <f>J3822+K3822</f>
        <v>0</v>
      </c>
      <c r="M3822" s="4" t="s">
        <v>80</v>
      </c>
      <c r="N3822" s="4"/>
      <c r="O3822" s="4">
        <v>1</v>
      </c>
      <c r="P3822" s="4" t="s">
        <v>135</v>
      </c>
      <c r="Q3822" s="4" t="s">
        <v>44</v>
      </c>
      <c r="R3822" s="7">
        <v>610000</v>
      </c>
      <c r="S3822" s="7">
        <v>0</v>
      </c>
      <c r="T3822" s="7">
        <f>R3822-S3822</f>
        <v>0</v>
      </c>
      <c r="U3822" s="7">
        <f>T3822*O3822</f>
        <v>0</v>
      </c>
    </row>
    <row r="3823" spans="1:21">
      <c r="A3823" s="4" t="s">
        <v>5141</v>
      </c>
      <c r="B3823" s="4" t="s">
        <v>39</v>
      </c>
      <c r="C3823" s="5">
        <v>45986.75056712963</v>
      </c>
      <c r="D3823" s="5">
        <v>45986</v>
      </c>
      <c r="E3823" s="6">
        <f>IF(AND(C3823&lt;&gt;"",D3823&lt;&gt;""),D3823-C3823,"")</f>
        <v>0</v>
      </c>
      <c r="F3823" s="4" t="s">
        <v>5142</v>
      </c>
      <c r="G3823" s="4" t="s">
        <v>5143</v>
      </c>
      <c r="H3823" s="4" t="s">
        <v>32</v>
      </c>
      <c r="I3823" s="4" t="s">
        <v>33</v>
      </c>
      <c r="J3823" s="4">
        <v>1</v>
      </c>
      <c r="K3823" s="4">
        <v>0</v>
      </c>
      <c r="L3823" s="4">
        <f>J3823+K3823</f>
        <v>0</v>
      </c>
      <c r="M3823" s="4" t="s">
        <v>2291</v>
      </c>
      <c r="N3823" s="4"/>
      <c r="O3823" s="4">
        <v>1</v>
      </c>
      <c r="P3823" s="4" t="s">
        <v>135</v>
      </c>
      <c r="Q3823" s="4" t="s">
        <v>44</v>
      </c>
      <c r="R3823" s="7">
        <v>1300000</v>
      </c>
      <c r="S3823" s="7">
        <v>0</v>
      </c>
      <c r="T3823" s="7">
        <f>R3823-S3823</f>
        <v>0</v>
      </c>
      <c r="U3823" s="7">
        <f>T3823*O3823</f>
        <v>0</v>
      </c>
    </row>
    <row r="3824" spans="1:21">
      <c r="A3824" s="4" t="s">
        <v>5144</v>
      </c>
      <c r="B3824" s="4" t="s">
        <v>48</v>
      </c>
      <c r="C3824" s="5">
        <v>45987.20983796296</v>
      </c>
      <c r="D3824" s="5">
        <v>45987</v>
      </c>
      <c r="E3824" s="6">
        <f>IF(AND(C3824&lt;&gt;"",D3824&lt;&gt;""),D3824-C3824,"")</f>
        <v>0</v>
      </c>
      <c r="F3824" s="4" t="s">
        <v>64</v>
      </c>
      <c r="G3824" s="4" t="s">
        <v>5145</v>
      </c>
      <c r="H3824" s="4" t="s">
        <v>32</v>
      </c>
      <c r="I3824" s="4" t="s">
        <v>33</v>
      </c>
      <c r="J3824" s="4">
        <v>5</v>
      </c>
      <c r="K3824" s="4">
        <v>2</v>
      </c>
      <c r="L3824" s="4">
        <f>J3824+K3824</f>
        <v>0</v>
      </c>
      <c r="M3824" s="4"/>
      <c r="N3824" s="4"/>
      <c r="O3824" s="4">
        <v>0</v>
      </c>
      <c r="P3824" s="4"/>
      <c r="Q3824" s="4"/>
      <c r="R3824" s="7">
        <v>0</v>
      </c>
      <c r="S3824" s="7">
        <v>0</v>
      </c>
      <c r="T3824" s="7">
        <f>R3824-S3824</f>
        <v>0</v>
      </c>
      <c r="U3824" s="7">
        <f>T3824*O3824</f>
        <v>0</v>
      </c>
    </row>
    <row r="3825" spans="1:21">
      <c r="A3825" s="4" t="s">
        <v>5146</v>
      </c>
      <c r="B3825" s="4" t="s">
        <v>48</v>
      </c>
      <c r="C3825" s="5">
        <v>45987.21299768519</v>
      </c>
      <c r="D3825" s="5">
        <v>45987</v>
      </c>
      <c r="E3825" s="6">
        <f>IF(AND(C3825&lt;&gt;"",D3825&lt;&gt;""),D3825-C3825,"")</f>
        <v>0</v>
      </c>
      <c r="F3825" s="4" t="s">
        <v>64</v>
      </c>
      <c r="G3825" s="4" t="s">
        <v>5147</v>
      </c>
      <c r="H3825" s="4" t="s">
        <v>32</v>
      </c>
      <c r="I3825" s="4" t="s">
        <v>33</v>
      </c>
      <c r="J3825" s="4">
        <v>4</v>
      </c>
      <c r="K3825" s="4">
        <v>2</v>
      </c>
      <c r="L3825" s="4">
        <f>J3825+K3825</f>
        <v>0</v>
      </c>
      <c r="M3825" s="4"/>
      <c r="N3825" s="4"/>
      <c r="O3825" s="4">
        <v>0</v>
      </c>
      <c r="P3825" s="4"/>
      <c r="Q3825" s="4"/>
      <c r="R3825" s="7">
        <v>0</v>
      </c>
      <c r="S3825" s="7">
        <v>0</v>
      </c>
      <c r="T3825" s="7">
        <f>R3825-S3825</f>
        <v>0</v>
      </c>
      <c r="U3825" s="7">
        <f>T3825*O3825</f>
        <v>0</v>
      </c>
    </row>
    <row r="3826" spans="1:21">
      <c r="A3826" s="4" t="s">
        <v>5148</v>
      </c>
      <c r="B3826" s="4" t="s">
        <v>122</v>
      </c>
      <c r="C3826" s="5">
        <v>45987.22376157407</v>
      </c>
      <c r="D3826" s="5">
        <v>45987</v>
      </c>
      <c r="E3826" s="6">
        <f>IF(AND(C3826&lt;&gt;"",D3826&lt;&gt;""),D3826-C3826,"")</f>
        <v>0</v>
      </c>
      <c r="F3826" s="4" t="s">
        <v>64</v>
      </c>
      <c r="G3826" s="4" t="s">
        <v>31</v>
      </c>
      <c r="H3826" s="4" t="s">
        <v>32</v>
      </c>
      <c r="I3826" s="4" t="s">
        <v>33</v>
      </c>
      <c r="J3826" s="4">
        <v>5</v>
      </c>
      <c r="K3826" s="4">
        <v>0</v>
      </c>
      <c r="L3826" s="4">
        <f>J3826+K3826</f>
        <v>0</v>
      </c>
      <c r="M3826" s="4"/>
      <c r="N3826" s="4"/>
      <c r="O3826" s="4">
        <v>0</v>
      </c>
      <c r="P3826" s="4"/>
      <c r="Q3826" s="4"/>
      <c r="R3826" s="7">
        <v>0</v>
      </c>
      <c r="S3826" s="7">
        <v>0</v>
      </c>
      <c r="T3826" s="7">
        <f>R3826-S3826</f>
        <v>0</v>
      </c>
      <c r="U3826" s="7">
        <f>T3826*O3826</f>
        <v>0</v>
      </c>
    </row>
    <row r="3827" spans="1:21">
      <c r="A3827" s="4" t="s">
        <v>5149</v>
      </c>
      <c r="B3827" s="4" t="s">
        <v>48</v>
      </c>
      <c r="C3827" s="5">
        <v>45987.2403125</v>
      </c>
      <c r="D3827" s="5">
        <v>45987</v>
      </c>
      <c r="E3827" s="6">
        <f>IF(AND(C3827&lt;&gt;"",D3827&lt;&gt;""),D3827-C3827,"")</f>
        <v>0</v>
      </c>
      <c r="F3827" s="4" t="s">
        <v>64</v>
      </c>
      <c r="G3827" s="4" t="s">
        <v>31</v>
      </c>
      <c r="H3827" s="4" t="s">
        <v>32</v>
      </c>
      <c r="I3827" s="4" t="s">
        <v>33</v>
      </c>
      <c r="J3827" s="4">
        <v>5</v>
      </c>
      <c r="K3827" s="4">
        <v>2</v>
      </c>
      <c r="L3827" s="4">
        <f>J3827+K3827</f>
        <v>0</v>
      </c>
      <c r="M3827" s="4"/>
      <c r="N3827" s="4"/>
      <c r="O3827" s="4">
        <v>0</v>
      </c>
      <c r="P3827" s="4"/>
      <c r="Q3827" s="4"/>
      <c r="R3827" s="7">
        <v>0</v>
      </c>
      <c r="S3827" s="7">
        <v>0</v>
      </c>
      <c r="T3827" s="7">
        <f>R3827-S3827</f>
        <v>0</v>
      </c>
      <c r="U3827" s="7">
        <f>T3827*O3827</f>
        <v>0</v>
      </c>
    </row>
  </sheetData>
  <autoFilter ref="A4:U3827"/>
  <mergeCells count="6">
    <mergeCell ref="B1:F1"/>
    <mergeCell ref="A3:B3"/>
    <mergeCell ref="C3:E3"/>
    <mergeCell ref="F3:L3"/>
    <mergeCell ref="M3:P3"/>
    <mergeCell ref="Q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2025-12-01T02:38:35Z</dcterms:created>
  <dcterms:modified xsi:type="dcterms:W3CDTF">2025-12-01T02:38:35Z</dcterms:modified>
</cp:coreProperties>
</file>